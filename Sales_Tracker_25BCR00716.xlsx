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13_ncr:1_{B233B7C6-C923-49F5-85C2-A4FC0927D24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  <c r="B3" i="5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8" i="4"/>
  <c r="I4807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3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A13" i="5" s="1"/>
  <c r="C11" i="5" l="1"/>
</calcChain>
</file>

<file path=xl/sharedStrings.xml><?xml version="1.0" encoding="utf-8"?>
<sst xmlns="http://schemas.openxmlformats.org/spreadsheetml/2006/main" count="26258" uniqueCount="5869">
  <si>
    <t>ProductID</t>
  </si>
  <si>
    <t>StoreID</t>
  </si>
  <si>
    <t>CustomerID</t>
  </si>
  <si>
    <t>TransactionID</t>
  </si>
  <si>
    <t>ProductName</t>
  </si>
  <si>
    <t>Category</t>
  </si>
  <si>
    <t>SubCategory</t>
  </si>
  <si>
    <t>UnitPrice</t>
  </si>
  <si>
    <t>FirstName</t>
  </si>
  <si>
    <t>LastName</t>
  </si>
  <si>
    <t>Gender</t>
  </si>
  <si>
    <t>BirthDate</t>
  </si>
  <si>
    <t>StoreName</t>
  </si>
  <si>
    <t>City</t>
  </si>
  <si>
    <t>JoinDate</t>
  </si>
  <si>
    <t>Region</t>
  </si>
  <si>
    <t>C001</t>
  </si>
  <si>
    <t>Michael</t>
  </si>
  <si>
    <t>Davis</t>
  </si>
  <si>
    <t>M</t>
  </si>
  <si>
    <t>Date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</si>
  <si>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</si>
  <si>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</si>
  <si>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</si>
  <si>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</si>
  <si>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</si>
  <si>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</si>
  <si>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</si>
  <si>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</si>
  <si>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</si>
  <si>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</si>
  <si>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</si>
  <si>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West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</si>
  <si>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</si>
  <si>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</si>
  <si>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</si>
  <si>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</si>
  <si>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</si>
  <si>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</si>
  <si>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</si>
  <si>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Quantity</t>
  </si>
  <si>
    <t>Discount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</si>
  <si>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</si>
  <si>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</si>
  <si>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</si>
  <si>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</si>
  <si>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</si>
  <si>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</si>
  <si>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</si>
  <si>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</si>
  <si>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</si>
  <si>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</si>
  <si>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</si>
  <si>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</si>
  <si>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</si>
  <si>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</si>
  <si>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</si>
  <si>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</si>
  <si>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</si>
  <si>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Osborneport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</si>
  <si>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</si>
  <si>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</si>
  <si>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</si>
  <si>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</si>
  <si>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</si>
  <si>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</si>
  <si>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</si>
  <si>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</si>
  <si>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</si>
  <si>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C002</t>
  </si>
  <si>
    <t>P009</t>
  </si>
  <si>
    <t>Us Snacks</t>
  </si>
  <si>
    <t>Miller</t>
  </si>
  <si>
    <t>Snacks</t>
  </si>
  <si>
    <t>P010</t>
  </si>
  <si>
    <t>Step Smartphone</t>
  </si>
  <si>
    <t>Smartphone</t>
  </si>
  <si>
    <t>P011</t>
  </si>
  <si>
    <t>New Gabrielleport</t>
  </si>
  <si>
    <t>Either Headphones</t>
  </si>
  <si>
    <t>Headphones</t>
  </si>
  <si>
    <t>C003</t>
  </si>
  <si>
    <t>P012</t>
  </si>
  <si>
    <t>Carol</t>
  </si>
  <si>
    <t>Above Camera</t>
  </si>
  <si>
    <t>Hays</t>
  </si>
  <si>
    <t>F</t>
  </si>
  <si>
    <t>Port Allen</t>
  </si>
  <si>
    <t>PaymentMethod</t>
  </si>
  <si>
    <t>P013</t>
  </si>
  <si>
    <t>World Watches</t>
  </si>
  <si>
    <t>C004</t>
  </si>
  <si>
    <t>Joseph</t>
  </si>
  <si>
    <t>Watches</t>
  </si>
  <si>
    <t>Ward</t>
  </si>
  <si>
    <t>P014</t>
  </si>
  <si>
    <t>Total Sales</t>
  </si>
  <si>
    <t>Add Clothing</t>
  </si>
  <si>
    <t>East Edgarborough</t>
  </si>
  <si>
    <t>Clothing</t>
  </si>
  <si>
    <t>C005</t>
  </si>
  <si>
    <t>Jamie</t>
  </si>
  <si>
    <t>Salinas</t>
  </si>
  <si>
    <t>P015</t>
  </si>
  <si>
    <t>Whether Bags</t>
  </si>
  <si>
    <t>Port Kimberly</t>
  </si>
  <si>
    <t>C006</t>
  </si>
  <si>
    <t>Danny</t>
  </si>
  <si>
    <t>Moore</t>
  </si>
  <si>
    <t>P016</t>
  </si>
  <si>
    <t>House Accessories</t>
  </si>
  <si>
    <t>Costaberg</t>
  </si>
  <si>
    <t>T00001</t>
  </si>
  <si>
    <t>C007</t>
  </si>
  <si>
    <t>Erin</t>
  </si>
  <si>
    <t>P017</t>
  </si>
  <si>
    <t>Walker</t>
  </si>
  <si>
    <t>Find Headphones</t>
  </si>
  <si>
    <t>West Jasmine</t>
  </si>
  <si>
    <t>P018</t>
  </si>
  <si>
    <t>Democratic Smartphone</t>
  </si>
  <si>
    <t>C008</t>
  </si>
  <si>
    <t>P019</t>
  </si>
  <si>
    <t>Isaiah</t>
  </si>
  <si>
    <t>Traditional Laptop</t>
  </si>
  <si>
    <t>Williams</t>
  </si>
  <si>
    <t>Laptop</t>
  </si>
  <si>
    <t>New Michaelland</t>
  </si>
  <si>
    <t>P020</t>
  </si>
  <si>
    <t>C009</t>
  </si>
  <si>
    <t>Simple Accessories</t>
  </si>
  <si>
    <t>Richard</t>
  </si>
  <si>
    <t>Pacheco</t>
  </si>
  <si>
    <t>West Lisaville</t>
  </si>
  <si>
    <t>P021</t>
  </si>
  <si>
    <t>Firm Dairy</t>
  </si>
  <si>
    <t>Dairy</t>
  </si>
  <si>
    <t>C010</t>
  </si>
  <si>
    <t>Catherine</t>
  </si>
  <si>
    <t>Rice</t>
  </si>
  <si>
    <t>P022</t>
  </si>
  <si>
    <t>West Carol</t>
  </si>
  <si>
    <t>How Vegetables</t>
  </si>
  <si>
    <t>Vegetables</t>
  </si>
  <si>
    <t>C011</t>
  </si>
  <si>
    <t>Haley</t>
  </si>
  <si>
    <t>Leburgh</t>
  </si>
  <si>
    <t>P023</t>
  </si>
  <si>
    <t>And Footwear</t>
  </si>
  <si>
    <t>C012</t>
  </si>
  <si>
    <t>Dale</t>
  </si>
  <si>
    <t>Perry</t>
  </si>
  <si>
    <t>Lake Dawn</t>
  </si>
  <si>
    <t>P024</t>
  </si>
  <si>
    <t>Him Smartphone</t>
  </si>
  <si>
    <t>C013</t>
  </si>
  <si>
    <t>Robert</t>
  </si>
  <si>
    <t>Anderson</t>
  </si>
  <si>
    <t>Jillianhaven</t>
  </si>
  <si>
    <t>C014</t>
  </si>
  <si>
    <t>Brittany</t>
  </si>
  <si>
    <t>Green</t>
  </si>
  <si>
    <t>P025</t>
  </si>
  <si>
    <t>East Samantha</t>
  </si>
  <si>
    <t>Little Watches</t>
  </si>
  <si>
    <t>C015</t>
  </si>
  <si>
    <t>Matthew</t>
  </si>
  <si>
    <t>Molina</t>
  </si>
  <si>
    <t>P026</t>
  </si>
  <si>
    <t>Quinnville</t>
  </si>
  <si>
    <t>Behavior Dairy</t>
  </si>
  <si>
    <t>C016</t>
  </si>
  <si>
    <t>Miguel</t>
  </si>
  <si>
    <t>Johnson</t>
  </si>
  <si>
    <t>Murrayborough</t>
  </si>
  <si>
    <t>P027</t>
  </si>
  <si>
    <t>Hospital Smartphone</t>
  </si>
  <si>
    <t>C017</t>
  </si>
  <si>
    <t>Vanessa</t>
  </si>
  <si>
    <t>Peterside</t>
  </si>
  <si>
    <t>P028</t>
  </si>
  <si>
    <t>C018</t>
  </si>
  <si>
    <t>Breanna</t>
  </si>
  <si>
    <t>Deal Smartphone</t>
  </si>
  <si>
    <t>East William</t>
  </si>
  <si>
    <t>C019</t>
  </si>
  <si>
    <t>John</t>
  </si>
  <si>
    <t>Smith</t>
  </si>
  <si>
    <t>P029</t>
  </si>
  <si>
    <t>Road Clothing</t>
  </si>
  <si>
    <t>Stephaniechester</t>
  </si>
  <si>
    <t>C020</t>
  </si>
  <si>
    <t>Ryan</t>
  </si>
  <si>
    <t>P030</t>
  </si>
  <si>
    <t>Cole</t>
  </si>
  <si>
    <t>National Watches</t>
  </si>
  <si>
    <t>Travisstad</t>
  </si>
  <si>
    <t>C021</t>
  </si>
  <si>
    <t>Debbie</t>
  </si>
  <si>
    <t>Martin</t>
  </si>
  <si>
    <t>P031</t>
  </si>
  <si>
    <t>Foot Snacks</t>
  </si>
  <si>
    <t>Meganmouth</t>
  </si>
  <si>
    <t>C022</t>
  </si>
  <si>
    <t>Megan</t>
  </si>
  <si>
    <t>Velasquez</t>
  </si>
  <si>
    <t>P032</t>
  </si>
  <si>
    <t>Difficult Vegetables</t>
  </si>
  <si>
    <t>East James</t>
  </si>
  <si>
    <t>C023</t>
  </si>
  <si>
    <t>Mark</t>
  </si>
  <si>
    <t>Martinez</t>
  </si>
  <si>
    <t>P033</t>
  </si>
  <si>
    <t>Beat Accessories</t>
  </si>
  <si>
    <t>New Christophermouth</t>
  </si>
  <si>
    <t>C024</t>
  </si>
  <si>
    <t>Molly</t>
  </si>
  <si>
    <t>P034</t>
  </si>
  <si>
    <t>Murray</t>
  </si>
  <si>
    <t>Everything Laptop</t>
  </si>
  <si>
    <t>North April</t>
  </si>
  <si>
    <t>P035</t>
  </si>
  <si>
    <t>Chair Laptop</t>
  </si>
  <si>
    <t>C025</t>
  </si>
  <si>
    <t>Cheryl</t>
  </si>
  <si>
    <t>Gilbert</t>
  </si>
  <si>
    <t>P036</t>
  </si>
  <si>
    <t>New Watches</t>
  </si>
  <si>
    <t>Bradyshire</t>
  </si>
  <si>
    <t>C026</t>
  </si>
  <si>
    <t>Justin</t>
  </si>
  <si>
    <t>Macdonald</t>
  </si>
  <si>
    <t>P037</t>
  </si>
  <si>
    <t>Book Television</t>
  </si>
  <si>
    <t>Shepherdburgh</t>
  </si>
  <si>
    <t>C027</t>
  </si>
  <si>
    <t>Jacqueline</t>
  </si>
  <si>
    <t>P038</t>
  </si>
  <si>
    <t>Robertmouth</t>
  </si>
  <si>
    <t>Stage Footwear</t>
  </si>
  <si>
    <t>C028</t>
  </si>
  <si>
    <t>Carr</t>
  </si>
  <si>
    <t>New David</t>
  </si>
  <si>
    <t>P039</t>
  </si>
  <si>
    <t>Church Clothing</t>
  </si>
  <si>
    <t>C029</t>
  </si>
  <si>
    <t>Tyler</t>
  </si>
  <si>
    <t>Levine</t>
  </si>
  <si>
    <t>West Charles</t>
  </si>
  <si>
    <t>P040</t>
  </si>
  <si>
    <t>C030</t>
  </si>
  <si>
    <t>Lacey</t>
  </si>
  <si>
    <t>Piece Headphones</t>
  </si>
  <si>
    <t>Hall</t>
  </si>
  <si>
    <t>Thomashaven</t>
  </si>
  <si>
    <t>C031</t>
  </si>
  <si>
    <t>P041</t>
  </si>
  <si>
    <t>Ashley</t>
  </si>
  <si>
    <t>Present Television</t>
  </si>
  <si>
    <t>Gibson</t>
  </si>
  <si>
    <t>East Carrieberg</t>
  </si>
  <si>
    <t>C032</t>
  </si>
  <si>
    <t>P042</t>
  </si>
  <si>
    <t>Valerie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</si>
  <si>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</si>
  <si>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</si>
  <si>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</si>
  <si>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</si>
  <si>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</si>
  <si>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</si>
  <si>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</si>
  <si>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East Shelby</t>
  </si>
  <si>
    <t>P046</t>
  </si>
  <si>
    <t>Nature Clothing</t>
  </si>
  <si>
    <t>C033</t>
  </si>
  <si>
    <t>Jenny</t>
  </si>
  <si>
    <t>P047</t>
  </si>
  <si>
    <t>Or Smartphone</t>
  </si>
  <si>
    <t>Beck</t>
  </si>
  <si>
    <t>Lake Cody</t>
  </si>
  <si>
    <t>P048</t>
  </si>
  <si>
    <t>C034</t>
  </si>
  <si>
    <t>Nor Bags</t>
  </si>
  <si>
    <t>Kari</t>
  </si>
  <si>
    <t>East Mary</t>
  </si>
  <si>
    <t>P049</t>
  </si>
  <si>
    <t>C035</t>
  </si>
  <si>
    <t>Possible Watches</t>
  </si>
  <si>
    <t>Kimberly</t>
  </si>
  <si>
    <t>King</t>
  </si>
  <si>
    <t>North George</t>
  </si>
  <si>
    <t>P050</t>
  </si>
  <si>
    <t>C036</t>
  </si>
  <si>
    <t>Maybe Footwear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</si>
  <si>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</si>
  <si>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</si>
  <si>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</si>
  <si>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</si>
  <si>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</si>
  <si>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</si>
  <si>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</si>
  <si>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</si>
  <si>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</si>
  <si>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DAILY SALES SUMMARY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</si>
  <si>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</si>
  <si>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</si>
  <si>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</si>
  <si>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</si>
  <si>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</si>
  <si>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</si>
  <si>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</si>
  <si>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</si>
  <si>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</si>
  <si>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</si>
  <si>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</si>
  <si>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</si>
  <si>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Target Date</t>
  </si>
  <si>
    <t>C042</t>
  </si>
  <si>
    <t>Anna</t>
  </si>
  <si>
    <t>Andrews</t>
  </si>
  <si>
    <t>Daily Total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</si>
  <si>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</si>
  <si>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</si>
  <si>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</si>
  <si>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</si>
  <si>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</si>
  <si>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</si>
  <si>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</si>
  <si>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</si>
  <si>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</si>
  <si>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</si>
  <si>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</si>
  <si>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</si>
  <si>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</si>
  <si>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</si>
  <si>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</si>
  <si>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</si>
  <si>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</si>
  <si>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</si>
  <si>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</si>
  <si>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</si>
  <si>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</si>
  <si>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</si>
  <si>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</si>
  <si>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</si>
  <si>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</si>
  <si>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</si>
  <si>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</si>
  <si>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</si>
  <si>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</si>
  <si>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</si>
  <si>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</si>
  <si>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</si>
  <si>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</si>
  <si>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</si>
  <si>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</si>
  <si>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</si>
  <si>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</si>
  <si>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</si>
  <si>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</si>
  <si>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</si>
  <si>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</si>
  <si>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</si>
  <si>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</si>
  <si>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</si>
  <si>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</si>
  <si>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</si>
  <si>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</si>
  <si>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</si>
  <si>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</si>
  <si>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</si>
  <si>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</si>
  <si>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</si>
  <si>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</si>
  <si>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</si>
  <si>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</si>
  <si>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</si>
  <si>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</si>
  <si>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</si>
  <si>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WEEKLY SALES SUMMARY</t>
  </si>
  <si>
    <t>C058</t>
  </si>
  <si>
    <t>Lawrence</t>
  </si>
  <si>
    <t>Stewart</t>
  </si>
  <si>
    <t>Start Date</t>
  </si>
  <si>
    <t>End Date</t>
  </si>
  <si>
    <t>Weekly Total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</si>
  <si>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</si>
  <si>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</si>
  <si>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</si>
  <si>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</si>
  <si>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</si>
  <si>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</si>
  <si>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</si>
  <si>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</si>
  <si>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</si>
  <si>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</si>
  <si>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</si>
  <si>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</si>
  <si>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</si>
  <si>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</si>
  <si>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MONTHLY SALES SUMMARY</t>
  </si>
  <si>
    <t>C063</t>
  </si>
  <si>
    <t>C160</t>
  </si>
  <si>
    <t>Monthly Total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</si>
  <si>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</si>
  <si>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</si>
  <si>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</si>
  <si>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</si>
  <si>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</si>
  <si>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</si>
  <si>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</si>
  <si>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</si>
  <si>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</si>
  <si>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</si>
  <si>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</si>
  <si>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</si>
  <si>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</si>
  <si>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</si>
  <si>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</si>
  <si>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</si>
  <si>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</si>
  <si>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</si>
  <si>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</si>
  <si>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</si>
  <si>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TOTAL REVENUE- OUTPUT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</si>
  <si>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</si>
  <si>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</si>
  <si>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</si>
  <si>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</si>
  <si>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</si>
  <si>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</si>
  <si>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</si>
  <si>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</si>
  <si>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</si>
  <si>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</si>
  <si>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</si>
  <si>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</si>
  <si>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</si>
  <si>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</si>
  <si>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</si>
  <si>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</si>
  <si>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</si>
  <si>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</si>
  <si>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</si>
  <si>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</si>
  <si>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</si>
  <si>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</si>
  <si>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</si>
  <si>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</si>
  <si>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</si>
  <si>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</si>
  <si>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</si>
  <si>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</si>
  <si>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</si>
  <si>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Bank Transfer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</si>
  <si>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</si>
  <si>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</si>
  <si>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</si>
  <si>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</si>
  <si>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</si>
  <si>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</si>
  <si>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</si>
  <si>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</si>
  <si>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</si>
  <si>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</si>
  <si>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</si>
  <si>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</si>
  <si>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</si>
  <si>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</si>
  <si>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</si>
  <si>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</si>
  <si>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</si>
  <si>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</si>
  <si>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</si>
  <si>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</si>
  <si>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</si>
  <si>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</si>
  <si>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</si>
  <si>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</si>
  <si>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</si>
  <si>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</si>
  <si>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</si>
  <si>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</si>
  <si>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</si>
  <si>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</si>
  <si>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</si>
  <si>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</si>
  <si>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</si>
  <si>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</si>
  <si>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</si>
  <si>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</si>
  <si>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</si>
  <si>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</si>
  <si>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</si>
  <si>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</si>
  <si>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</si>
  <si>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</si>
  <si>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</si>
  <si>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</si>
  <si>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</si>
  <si>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</si>
  <si>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</si>
  <si>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</si>
  <si>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</si>
  <si>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</si>
  <si>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</si>
  <si>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</si>
  <si>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</si>
  <si>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</si>
  <si>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</si>
  <si>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</si>
  <si>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</si>
  <si>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</si>
  <si>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</si>
  <si>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</si>
  <si>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</si>
  <si>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</si>
  <si>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</si>
  <si>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</si>
  <si>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</si>
  <si>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</si>
  <si>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</si>
  <si>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</si>
  <si>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</si>
  <si>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</si>
  <si>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</si>
  <si>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</si>
  <si>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</si>
  <si>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</si>
  <si>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</si>
  <si>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</si>
  <si>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</si>
  <si>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</si>
  <si>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</si>
  <si>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</si>
  <si>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</si>
  <si>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</si>
  <si>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</si>
  <si>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</si>
  <si>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</si>
  <si>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</si>
  <si>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</si>
  <si>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</si>
  <si>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</si>
  <si>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</si>
  <si>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</si>
  <si>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</si>
  <si>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</si>
  <si>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</si>
  <si>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</si>
  <si>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</si>
  <si>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</si>
  <si>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</si>
  <si>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</si>
  <si>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</si>
  <si>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</si>
  <si>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</si>
  <si>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</si>
  <si>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</si>
  <si>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</si>
  <si>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</si>
  <si>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</si>
  <si>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</si>
  <si>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</si>
  <si>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</si>
  <si>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</si>
  <si>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</si>
  <si>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</si>
  <si>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</si>
  <si>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</si>
  <si>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</si>
  <si>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</si>
  <si>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</si>
  <si>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</si>
  <si>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</si>
  <si>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</si>
  <si>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</si>
  <si>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</si>
  <si>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</si>
  <si>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</si>
  <si>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</si>
  <si>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</si>
  <si>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</si>
  <si>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</si>
  <si>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</si>
  <si>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</si>
  <si>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</si>
  <si>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</si>
  <si>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</si>
  <si>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</si>
  <si>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</si>
  <si>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</si>
  <si>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</si>
  <si>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</si>
  <si>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</si>
  <si>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T00002</t>
  </si>
  <si>
    <t>Smithburgh</t>
  </si>
  <si>
    <t>C116</t>
  </si>
  <si>
    <t>Webb</t>
  </si>
  <si>
    <t>Zacharyberg</t>
  </si>
  <si>
    <t>C117</t>
  </si>
  <si>
    <t>Timothy</t>
  </si>
  <si>
    <t>C171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</si>
  <si>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</si>
  <si>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</si>
  <si>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</si>
  <si>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</si>
  <si>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</si>
  <si>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</si>
  <si>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</si>
  <si>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</si>
  <si>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</si>
  <si>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</si>
  <si>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</si>
  <si>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</si>
  <si>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</si>
  <si>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</si>
  <si>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</si>
  <si>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</si>
  <si>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</si>
  <si>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</si>
  <si>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</si>
  <si>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</si>
  <si>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</si>
  <si>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</si>
  <si>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</si>
  <si>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</si>
  <si>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</si>
  <si>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</si>
  <si>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T00003</t>
  </si>
  <si>
    <t>Lake Christopher</t>
  </si>
  <si>
    <t>C126</t>
  </si>
  <si>
    <t>Monique</t>
  </si>
  <si>
    <t>West Paulfurt</t>
  </si>
  <si>
    <t>C127</t>
  </si>
  <si>
    <t>C142</t>
  </si>
  <si>
    <t>Kimland</t>
  </si>
  <si>
    <t>Mobile Money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</si>
  <si>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</si>
  <si>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</si>
  <si>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</si>
  <si>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</si>
  <si>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</si>
  <si>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</si>
  <si>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</si>
  <si>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</si>
  <si>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</si>
  <si>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</si>
  <si>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</si>
  <si>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</si>
  <si>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</si>
  <si>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</si>
  <si>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</si>
  <si>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</si>
  <si>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</si>
  <si>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T00004</t>
  </si>
  <si>
    <t>Cisnerosville</t>
  </si>
  <si>
    <t>C133</t>
  </si>
  <si>
    <t>Yvette</t>
  </si>
  <si>
    <t>Roth</t>
  </si>
  <si>
    <t>East Melissashire</t>
  </si>
  <si>
    <t>C134</t>
  </si>
  <si>
    <t>C174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</si>
  <si>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</si>
  <si>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</si>
  <si>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</si>
  <si>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</si>
  <si>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</si>
  <si>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</si>
  <si>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</si>
  <si>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</si>
  <si>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</si>
  <si>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</si>
  <si>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</si>
  <si>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</si>
  <si>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</si>
  <si>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</si>
  <si>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</si>
  <si>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</si>
  <si>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</si>
  <si>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</si>
  <si>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</si>
  <si>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</si>
  <si>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</si>
  <si>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</si>
  <si>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</si>
  <si>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</si>
  <si>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T00005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</si>
  <si>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</si>
  <si>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</si>
  <si>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</si>
  <si>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</si>
  <si>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</si>
  <si>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</si>
  <si>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</si>
  <si>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</si>
  <si>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</si>
  <si>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Credit Card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</si>
  <si>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</si>
  <si>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</si>
  <si>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</si>
  <si>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</si>
  <si>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</si>
  <si>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</si>
  <si>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</si>
  <si>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</si>
  <si>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</si>
  <si>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</si>
  <si>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</si>
  <si>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</si>
  <si>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</si>
  <si>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</si>
  <si>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</si>
  <si>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T00006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</si>
  <si>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</si>
  <si>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</si>
  <si>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</si>
  <si>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</si>
  <si>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</si>
  <si>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</si>
  <si>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</si>
  <si>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</si>
  <si>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</si>
  <si>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</si>
  <si>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</si>
  <si>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</si>
  <si>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</si>
  <si>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</si>
  <si>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</si>
  <si>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</si>
  <si>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</si>
  <si>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</si>
  <si>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</si>
  <si>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</si>
  <si>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</si>
  <si>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</si>
  <si>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</si>
  <si>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</si>
  <si>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</si>
  <si>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</si>
  <si>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</si>
  <si>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</si>
  <si>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</si>
  <si>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T00007</t>
  </si>
  <si>
    <t>C159</t>
  </si>
  <si>
    <t>Thomas</t>
  </si>
  <si>
    <t>Chung</t>
  </si>
  <si>
    <t>Joshuamouth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</si>
  <si>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</si>
  <si>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</si>
  <si>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</si>
  <si>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</si>
  <si>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</si>
  <si>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</si>
  <si>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</si>
  <si>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</si>
  <si>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</si>
  <si>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</si>
  <si>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</si>
  <si>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</si>
  <si>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</si>
  <si>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</si>
  <si>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</si>
  <si>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</si>
  <si>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</si>
  <si>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</si>
  <si>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</si>
  <si>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</si>
  <si>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</si>
  <si>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T00008</t>
  </si>
  <si>
    <t>C167</t>
  </si>
  <si>
    <t>Lin</t>
  </si>
  <si>
    <t>Wilsonland</t>
  </si>
  <si>
    <t>C169</t>
  </si>
  <si>
    <t>C168</t>
  </si>
  <si>
    <t>Lake Steventown</t>
  </si>
  <si>
    <t>Cash</t>
  </si>
  <si>
    <t>Watson</t>
  </si>
  <si>
    <t>Christopherburgh</t>
  </si>
  <si>
    <t>C170</t>
  </si>
  <si>
    <t>Amber</t>
  </si>
  <si>
    <t>Graham</t>
  </si>
  <si>
    <t>Lake Melissaborough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</si>
  <si>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</si>
  <si>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</si>
  <si>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</si>
  <si>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</si>
  <si>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</si>
  <si>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</si>
  <si>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</si>
  <si>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</si>
  <si>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</si>
  <si>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Howell</t>
  </si>
  <si>
    <t>T00009</t>
  </si>
  <si>
    <t>South Jennifer</t>
  </si>
  <si>
    <t>C175</t>
  </si>
  <si>
    <t>Stacey</t>
  </si>
  <si>
    <t>Thompson</t>
  </si>
  <si>
    <t>Davidtown</t>
  </si>
  <si>
    <t>C193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</si>
  <si>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</si>
  <si>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</si>
  <si>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</si>
  <si>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</si>
  <si>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</si>
  <si>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</si>
  <si>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</si>
  <si>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</si>
  <si>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</si>
  <si>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</si>
  <si>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</si>
  <si>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</si>
  <si>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</si>
  <si>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</si>
  <si>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</si>
  <si>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</si>
  <si>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</si>
  <si>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</si>
  <si>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T00010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</si>
  <si>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</si>
  <si>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</si>
  <si>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</si>
  <si>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</si>
  <si>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</si>
  <si>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</si>
  <si>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</si>
  <si>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</si>
  <si>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</si>
  <si>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</si>
  <si>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</si>
  <si>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</si>
  <si>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</si>
  <si>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</si>
  <si>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</si>
  <si>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</si>
  <si>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</si>
  <si>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</si>
  <si>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</si>
  <si>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</si>
  <si>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</si>
  <si>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</si>
  <si>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</si>
  <si>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</si>
  <si>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</si>
  <si>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</si>
  <si>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</si>
  <si>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T00011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</si>
  <si>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</si>
  <si>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</si>
  <si>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</si>
  <si>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</si>
  <si>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</si>
  <si>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</si>
  <si>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</si>
  <si>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</si>
  <si>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</si>
  <si>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</si>
  <si>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Meza</t>
  </si>
  <si>
    <t>North Kelly</t>
  </si>
  <si>
    <t>C194</t>
  </si>
  <si>
    <t>Ann</t>
  </si>
  <si>
    <t>Craigshire</t>
  </si>
  <si>
    <t>C195</t>
  </si>
  <si>
    <t>Mitchell</t>
  </si>
  <si>
    <t>East Raymond</t>
  </si>
  <si>
    <t>C196</t>
  </si>
  <si>
    <t>T00012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</si>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</sst>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0" fontId="2" fillId="4" borderId="0" xfId="0" applyFont="1" applyFill="1"/>
    <xf numFmtId="0" fontId="2" fillId="0" borderId="0" xfId="0" applyFont="1"/>
    <xf numFmtId="0" fontId="2" fillId="3" borderId="0" xfId="0" applyFont="1" applyFill="1"/>
    <xf numFmtId="164" fontId="1" fillId="2" borderId="1" xfId="0" applyNumberFormat="1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2" fillId="2" borderId="0" xfId="0" applyFont="1" applyFill="1"/>
    <xf numFmtId="165" fontId="2" fillId="0" borderId="0" xfId="0" applyNumberFormat="1" applyFont="1"/>
    <xf numFmtId="164" fontId="3" fillId="0" borderId="0" xfId="0" applyNumberFormat="1" applyFont="1"/>
    <xf numFmtId="10" fontId="1" fillId="2" borderId="1" xfId="0" applyNumberFormat="1" applyFont="1" applyFill="1" applyBorder="1" applyAlignment="1">
      <alignment horizontal="center" vertical="top"/>
    </xf>
    <xf numFmtId="165" fontId="1" fillId="2" borderId="0" xfId="0" applyNumberFormat="1" applyFont="1" applyFill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0" fontId="4" fillId="3" borderId="0" xfId="0" applyFont="1" applyFill="1"/>
    <xf numFmtId="0" fontId="4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0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B12" sqref="B12"/>
    </sheetView>
  </sheetViews>
  <sheetFormatPr defaultColWidth="14.44140625" defaultRowHeight="15" customHeight="1" x14ac:dyDescent="0.3"/>
  <cols>
    <col min="1" max="1" width="12.6640625" customWidth="1"/>
    <col min="2" max="2" width="13.109375" customWidth="1"/>
    <col min="3" max="3" width="13.5546875" customWidth="1"/>
    <col min="4" max="5" width="13.6640625" customWidth="1"/>
    <col min="6" max="6" width="13.33203125" customWidth="1"/>
    <col min="7" max="7" width="18" customWidth="1"/>
    <col min="8" max="26" width="8.6640625" customWidth="1"/>
  </cols>
  <sheetData>
    <row r="1" spans="1:8" ht="14.4" x14ac:dyDescent="0.3">
      <c r="A1" s="2" t="s">
        <v>2</v>
      </c>
      <c r="B1" s="2" t="s">
        <v>8</v>
      </c>
      <c r="C1" s="2" t="s">
        <v>9</v>
      </c>
      <c r="D1" s="2" t="s">
        <v>10</v>
      </c>
      <c r="E1" s="3" t="s">
        <v>11</v>
      </c>
      <c r="F1" s="2" t="s">
        <v>13</v>
      </c>
      <c r="G1" s="3" t="s">
        <v>14</v>
      </c>
      <c r="H1" s="4"/>
    </row>
    <row r="2" spans="1:8" ht="14.4" x14ac:dyDescent="0.3">
      <c r="A2" s="5" t="s">
        <v>16</v>
      </c>
      <c r="B2" s="5" t="s">
        <v>17</v>
      </c>
      <c r="C2" s="5" t="s">
        <v>18</v>
      </c>
      <c r="D2" s="5" t="s">
        <v>19</v>
      </c>
      <c r="E2" s="11">
        <v>35319</v>
      </c>
      <c r="F2" s="5" t="s">
        <v>59</v>
      </c>
      <c r="G2" s="11">
        <v>44829</v>
      </c>
    </row>
    <row r="3" spans="1:8" ht="14.4" x14ac:dyDescent="0.3">
      <c r="A3" s="5" t="s">
        <v>69</v>
      </c>
      <c r="B3" s="5" t="s">
        <v>17</v>
      </c>
      <c r="C3" s="5" t="s">
        <v>72</v>
      </c>
      <c r="D3" s="5" t="s">
        <v>19</v>
      </c>
      <c r="E3" s="11">
        <v>21780</v>
      </c>
      <c r="F3" s="5" t="s">
        <v>78</v>
      </c>
      <c r="G3" s="11">
        <v>44138</v>
      </c>
    </row>
    <row r="4" spans="1:8" ht="14.4" x14ac:dyDescent="0.3">
      <c r="A4" s="5" t="s">
        <v>81</v>
      </c>
      <c r="B4" s="5" t="s">
        <v>83</v>
      </c>
      <c r="C4" s="5" t="s">
        <v>85</v>
      </c>
      <c r="D4" s="5" t="s">
        <v>86</v>
      </c>
      <c r="E4" s="11">
        <v>38461</v>
      </c>
      <c r="F4" s="5" t="s">
        <v>87</v>
      </c>
      <c r="G4" s="11">
        <v>45334</v>
      </c>
    </row>
    <row r="5" spans="1:8" ht="14.4" x14ac:dyDescent="0.3">
      <c r="A5" s="5" t="s">
        <v>91</v>
      </c>
      <c r="B5" s="5" t="s">
        <v>92</v>
      </c>
      <c r="C5" s="5" t="s">
        <v>94</v>
      </c>
      <c r="D5" s="5" t="s">
        <v>19</v>
      </c>
      <c r="E5" s="11">
        <v>33771</v>
      </c>
      <c r="F5" s="5" t="s">
        <v>98</v>
      </c>
      <c r="G5" s="11">
        <v>45544</v>
      </c>
    </row>
    <row r="6" spans="1:8" ht="14.4" x14ac:dyDescent="0.3">
      <c r="A6" s="5" t="s">
        <v>100</v>
      </c>
      <c r="B6" s="5" t="s">
        <v>101</v>
      </c>
      <c r="C6" s="5" t="s">
        <v>102</v>
      </c>
      <c r="D6" s="5" t="s">
        <v>19</v>
      </c>
      <c r="E6" s="11">
        <v>33773</v>
      </c>
      <c r="F6" s="5" t="s">
        <v>105</v>
      </c>
      <c r="G6" s="11">
        <v>44616</v>
      </c>
    </row>
    <row r="7" spans="1:8" ht="14.4" x14ac:dyDescent="0.3">
      <c r="A7" s="5" t="s">
        <v>106</v>
      </c>
      <c r="B7" s="5" t="s">
        <v>107</v>
      </c>
      <c r="C7" s="5" t="s">
        <v>108</v>
      </c>
      <c r="D7" s="5" t="s">
        <v>19</v>
      </c>
      <c r="E7" s="11">
        <v>31688</v>
      </c>
      <c r="F7" s="5" t="s">
        <v>111</v>
      </c>
      <c r="G7" s="11">
        <v>44751</v>
      </c>
    </row>
    <row r="8" spans="1:8" ht="14.4" x14ac:dyDescent="0.3">
      <c r="A8" s="5" t="s">
        <v>113</v>
      </c>
      <c r="B8" s="5" t="s">
        <v>114</v>
      </c>
      <c r="C8" s="5" t="s">
        <v>116</v>
      </c>
      <c r="D8" s="5" t="s">
        <v>19</v>
      </c>
      <c r="E8" s="11">
        <v>31058</v>
      </c>
      <c r="F8" s="5" t="s">
        <v>118</v>
      </c>
      <c r="G8" s="11">
        <v>44482</v>
      </c>
    </row>
    <row r="9" spans="1:8" ht="14.4" x14ac:dyDescent="0.3">
      <c r="A9" s="5" t="s">
        <v>121</v>
      </c>
      <c r="B9" s="5" t="s">
        <v>123</v>
      </c>
      <c r="C9" s="5" t="s">
        <v>125</v>
      </c>
      <c r="D9" s="5" t="s">
        <v>19</v>
      </c>
      <c r="E9" s="11">
        <v>22233</v>
      </c>
      <c r="F9" s="5" t="s">
        <v>127</v>
      </c>
      <c r="G9" s="11">
        <v>45720</v>
      </c>
    </row>
    <row r="10" spans="1:8" ht="14.4" x14ac:dyDescent="0.3">
      <c r="A10" s="5" t="s">
        <v>129</v>
      </c>
      <c r="B10" s="5" t="s">
        <v>131</v>
      </c>
      <c r="C10" s="5" t="s">
        <v>132</v>
      </c>
      <c r="D10" s="5" t="s">
        <v>86</v>
      </c>
      <c r="E10" s="11">
        <v>38214</v>
      </c>
      <c r="F10" s="5" t="s">
        <v>133</v>
      </c>
      <c r="G10" s="11">
        <v>45764</v>
      </c>
    </row>
    <row r="11" spans="1:8" ht="14.4" x14ac:dyDescent="0.3">
      <c r="A11" s="5" t="s">
        <v>137</v>
      </c>
      <c r="B11" s="5" t="s">
        <v>138</v>
      </c>
      <c r="C11" s="5" t="s">
        <v>139</v>
      </c>
      <c r="D11" s="5" t="s">
        <v>19</v>
      </c>
      <c r="E11" s="11">
        <v>28106</v>
      </c>
      <c r="F11" s="5" t="s">
        <v>141</v>
      </c>
      <c r="G11" s="11">
        <v>45861</v>
      </c>
    </row>
    <row r="12" spans="1:8" ht="14.4" x14ac:dyDescent="0.3">
      <c r="A12" s="5" t="s">
        <v>144</v>
      </c>
      <c r="B12" s="5" t="s">
        <v>145</v>
      </c>
      <c r="C12" s="5" t="s">
        <v>125</v>
      </c>
      <c r="D12" s="5" t="s">
        <v>19</v>
      </c>
      <c r="E12" s="11">
        <v>35492</v>
      </c>
      <c r="F12" s="5" t="s">
        <v>146</v>
      </c>
      <c r="G12" s="11">
        <v>45058</v>
      </c>
    </row>
    <row r="13" spans="1:8" ht="14.4" x14ac:dyDescent="0.3">
      <c r="A13" s="5" t="s">
        <v>149</v>
      </c>
      <c r="B13" s="5" t="s">
        <v>150</v>
      </c>
      <c r="C13" s="5" t="s">
        <v>151</v>
      </c>
      <c r="D13" s="5" t="s">
        <v>19</v>
      </c>
      <c r="E13" s="11">
        <v>32850</v>
      </c>
      <c r="F13" s="5" t="s">
        <v>152</v>
      </c>
      <c r="G13" s="11">
        <v>44393</v>
      </c>
    </row>
    <row r="14" spans="1:8" ht="14.4" x14ac:dyDescent="0.3">
      <c r="A14" s="5" t="s">
        <v>155</v>
      </c>
      <c r="B14" s="5" t="s">
        <v>156</v>
      </c>
      <c r="C14" s="5" t="s">
        <v>157</v>
      </c>
      <c r="D14" s="5" t="s">
        <v>19</v>
      </c>
      <c r="E14" s="11">
        <v>20117</v>
      </c>
      <c r="F14" s="5" t="s">
        <v>158</v>
      </c>
      <c r="G14" s="11">
        <v>45007</v>
      </c>
    </row>
    <row r="15" spans="1:8" ht="14.4" x14ac:dyDescent="0.3">
      <c r="A15" s="5" t="s">
        <v>159</v>
      </c>
      <c r="B15" s="5" t="s">
        <v>160</v>
      </c>
      <c r="C15" s="5" t="s">
        <v>161</v>
      </c>
      <c r="D15" s="5" t="s">
        <v>19</v>
      </c>
      <c r="E15" s="11">
        <v>27205</v>
      </c>
      <c r="F15" s="5" t="s">
        <v>163</v>
      </c>
      <c r="G15" s="11">
        <v>44509</v>
      </c>
    </row>
    <row r="16" spans="1:8" ht="14.4" x14ac:dyDescent="0.3">
      <c r="A16" s="5" t="s">
        <v>165</v>
      </c>
      <c r="B16" s="5" t="s">
        <v>166</v>
      </c>
      <c r="C16" s="5" t="s">
        <v>167</v>
      </c>
      <c r="D16" s="5" t="s">
        <v>19</v>
      </c>
      <c r="E16" s="11">
        <v>34315</v>
      </c>
      <c r="F16" s="5" t="s">
        <v>169</v>
      </c>
      <c r="G16" s="11">
        <v>44892</v>
      </c>
    </row>
    <row r="17" spans="1:7" ht="14.4" x14ac:dyDescent="0.3">
      <c r="A17" s="5" t="s">
        <v>171</v>
      </c>
      <c r="B17" s="5" t="s">
        <v>172</v>
      </c>
      <c r="C17" s="5" t="s">
        <v>173</v>
      </c>
      <c r="D17" s="5" t="s">
        <v>19</v>
      </c>
      <c r="E17" s="11">
        <v>27877</v>
      </c>
      <c r="F17" s="5" t="s">
        <v>174</v>
      </c>
      <c r="G17" s="11">
        <v>44613</v>
      </c>
    </row>
    <row r="18" spans="1:7" ht="14.4" x14ac:dyDescent="0.3">
      <c r="A18" s="5" t="s">
        <v>177</v>
      </c>
      <c r="B18" s="5" t="s">
        <v>178</v>
      </c>
      <c r="C18" s="5" t="s">
        <v>157</v>
      </c>
      <c r="D18" s="5" t="s">
        <v>86</v>
      </c>
      <c r="E18" s="11">
        <v>30021</v>
      </c>
      <c r="F18" s="5" t="s">
        <v>179</v>
      </c>
      <c r="G18" s="11">
        <v>45560</v>
      </c>
    </row>
    <row r="19" spans="1:7" ht="14.4" x14ac:dyDescent="0.3">
      <c r="A19" s="5" t="s">
        <v>181</v>
      </c>
      <c r="B19" s="5" t="s">
        <v>182</v>
      </c>
      <c r="C19" s="5" t="s">
        <v>18</v>
      </c>
      <c r="D19" s="5" t="s">
        <v>19</v>
      </c>
      <c r="E19" s="11">
        <v>34565</v>
      </c>
      <c r="F19" s="5" t="s">
        <v>184</v>
      </c>
      <c r="G19" s="11">
        <v>45608</v>
      </c>
    </row>
    <row r="20" spans="1:7" ht="14.4" x14ac:dyDescent="0.3">
      <c r="A20" s="5" t="s">
        <v>185</v>
      </c>
      <c r="B20" s="5" t="s">
        <v>186</v>
      </c>
      <c r="C20" s="5" t="s">
        <v>187</v>
      </c>
      <c r="D20" s="5" t="s">
        <v>86</v>
      </c>
      <c r="E20" s="11">
        <v>35931</v>
      </c>
      <c r="F20" s="5" t="s">
        <v>190</v>
      </c>
      <c r="G20" s="11">
        <v>45063</v>
      </c>
    </row>
    <row r="21" spans="1:7" ht="15.75" customHeight="1" x14ac:dyDescent="0.3">
      <c r="A21" s="5" t="s">
        <v>191</v>
      </c>
      <c r="B21" s="5" t="s">
        <v>192</v>
      </c>
      <c r="C21" s="5" t="s">
        <v>194</v>
      </c>
      <c r="D21" s="5" t="s">
        <v>86</v>
      </c>
      <c r="E21" s="11">
        <v>30128</v>
      </c>
      <c r="F21" s="5" t="s">
        <v>196</v>
      </c>
      <c r="G21" s="11">
        <v>45401</v>
      </c>
    </row>
    <row r="22" spans="1:7" ht="15.75" customHeight="1" x14ac:dyDescent="0.3">
      <c r="A22" s="5" t="s">
        <v>197</v>
      </c>
      <c r="B22" s="5" t="s">
        <v>198</v>
      </c>
      <c r="C22" s="5" t="s">
        <v>199</v>
      </c>
      <c r="D22" s="5" t="s">
        <v>19</v>
      </c>
      <c r="E22" s="11">
        <v>34290</v>
      </c>
      <c r="F22" s="5" t="s">
        <v>202</v>
      </c>
      <c r="G22" s="11">
        <v>44583</v>
      </c>
    </row>
    <row r="23" spans="1:7" ht="15.75" customHeight="1" x14ac:dyDescent="0.3">
      <c r="A23" s="5" t="s">
        <v>203</v>
      </c>
      <c r="B23" s="5" t="s">
        <v>204</v>
      </c>
      <c r="C23" s="5" t="s">
        <v>205</v>
      </c>
      <c r="D23" s="5" t="s">
        <v>19</v>
      </c>
      <c r="E23" s="11">
        <v>20409</v>
      </c>
      <c r="F23" s="5" t="s">
        <v>208</v>
      </c>
      <c r="G23" s="11">
        <v>44106</v>
      </c>
    </row>
    <row r="24" spans="1:7" ht="15.75" customHeight="1" x14ac:dyDescent="0.3">
      <c r="A24" s="5" t="s">
        <v>209</v>
      </c>
      <c r="B24" s="5" t="s">
        <v>210</v>
      </c>
      <c r="C24" s="5" t="s">
        <v>211</v>
      </c>
      <c r="D24" s="5" t="s">
        <v>86</v>
      </c>
      <c r="E24" s="11">
        <v>26428</v>
      </c>
      <c r="F24" s="5" t="s">
        <v>214</v>
      </c>
      <c r="G24" s="11">
        <v>44123</v>
      </c>
    </row>
    <row r="25" spans="1:7" ht="15.75" customHeight="1" x14ac:dyDescent="0.3">
      <c r="A25" s="5" t="s">
        <v>215</v>
      </c>
      <c r="B25" s="5" t="s">
        <v>216</v>
      </c>
      <c r="C25" s="5" t="s">
        <v>218</v>
      </c>
      <c r="D25" s="5" t="s">
        <v>86</v>
      </c>
      <c r="E25" s="11">
        <v>22610</v>
      </c>
      <c r="F25" s="5" t="s">
        <v>220</v>
      </c>
      <c r="G25" s="11">
        <v>45036</v>
      </c>
    </row>
    <row r="26" spans="1:7" ht="15.75" customHeight="1" x14ac:dyDescent="0.3">
      <c r="A26" s="5" t="s">
        <v>223</v>
      </c>
      <c r="B26" s="5" t="s">
        <v>224</v>
      </c>
      <c r="C26" s="5" t="s">
        <v>225</v>
      </c>
      <c r="D26" s="5" t="s">
        <v>86</v>
      </c>
      <c r="E26" s="11">
        <v>26004</v>
      </c>
      <c r="F26" s="5" t="s">
        <v>228</v>
      </c>
      <c r="G26" s="11">
        <v>44575</v>
      </c>
    </row>
    <row r="27" spans="1:7" ht="15.75" customHeight="1" x14ac:dyDescent="0.3">
      <c r="A27" s="5" t="s">
        <v>229</v>
      </c>
      <c r="B27" s="5" t="s">
        <v>230</v>
      </c>
      <c r="C27" s="5" t="s">
        <v>231</v>
      </c>
      <c r="D27" s="5" t="s">
        <v>19</v>
      </c>
      <c r="E27" s="11">
        <v>37990</v>
      </c>
      <c r="F27" s="5" t="s">
        <v>234</v>
      </c>
      <c r="G27" s="11">
        <v>45538</v>
      </c>
    </row>
    <row r="28" spans="1:7" ht="15.75" customHeight="1" x14ac:dyDescent="0.3">
      <c r="A28" s="5" t="s">
        <v>235</v>
      </c>
      <c r="B28" s="5" t="s">
        <v>236</v>
      </c>
      <c r="C28" s="5" t="s">
        <v>199</v>
      </c>
      <c r="D28" s="5" t="s">
        <v>19</v>
      </c>
      <c r="E28" s="11">
        <v>21586</v>
      </c>
      <c r="F28" s="5" t="s">
        <v>238</v>
      </c>
      <c r="G28" s="11">
        <v>45168</v>
      </c>
    </row>
    <row r="29" spans="1:7" ht="15.75" customHeight="1" x14ac:dyDescent="0.3">
      <c r="A29" s="5" t="s">
        <v>240</v>
      </c>
      <c r="B29" s="5" t="s">
        <v>186</v>
      </c>
      <c r="C29" s="5" t="s">
        <v>241</v>
      </c>
      <c r="D29" s="5" t="s">
        <v>86</v>
      </c>
      <c r="E29" s="11">
        <v>21956</v>
      </c>
      <c r="F29" s="5" t="s">
        <v>242</v>
      </c>
      <c r="G29" s="11">
        <v>44911</v>
      </c>
    </row>
    <row r="30" spans="1:7" ht="15.75" customHeight="1" x14ac:dyDescent="0.3">
      <c r="A30" s="5" t="s">
        <v>245</v>
      </c>
      <c r="B30" s="5" t="s">
        <v>246</v>
      </c>
      <c r="C30" s="5" t="s">
        <v>247</v>
      </c>
      <c r="D30" s="5" t="s">
        <v>19</v>
      </c>
      <c r="E30" s="11">
        <v>28630</v>
      </c>
      <c r="F30" s="5" t="s">
        <v>248</v>
      </c>
      <c r="G30" s="11">
        <v>44438</v>
      </c>
    </row>
    <row r="31" spans="1:7" ht="15.75" customHeight="1" x14ac:dyDescent="0.3">
      <c r="A31" s="5" t="s">
        <v>250</v>
      </c>
      <c r="B31" s="5" t="s">
        <v>251</v>
      </c>
      <c r="C31" s="5" t="s">
        <v>253</v>
      </c>
      <c r="D31" s="5" t="s">
        <v>19</v>
      </c>
      <c r="E31" s="11">
        <v>37417</v>
      </c>
      <c r="F31" s="5" t="s">
        <v>254</v>
      </c>
      <c r="G31" s="11">
        <v>44800</v>
      </c>
    </row>
    <row r="32" spans="1:7" ht="15.75" customHeight="1" x14ac:dyDescent="0.3">
      <c r="A32" s="5" t="s">
        <v>255</v>
      </c>
      <c r="B32" s="5" t="s">
        <v>257</v>
      </c>
      <c r="C32" s="5" t="s">
        <v>259</v>
      </c>
      <c r="D32" s="5" t="s">
        <v>86</v>
      </c>
      <c r="E32" s="11">
        <v>37694</v>
      </c>
      <c r="F32" s="5" t="s">
        <v>260</v>
      </c>
      <c r="G32" s="11">
        <v>45895</v>
      </c>
    </row>
    <row r="33" spans="1:7" ht="15.75" customHeight="1" x14ac:dyDescent="0.3">
      <c r="A33" s="5" t="s">
        <v>261</v>
      </c>
      <c r="B33" s="5" t="s">
        <v>263</v>
      </c>
      <c r="C33" s="5" t="s">
        <v>231</v>
      </c>
      <c r="D33" s="5" t="s">
        <v>19</v>
      </c>
      <c r="E33" s="11">
        <v>33917</v>
      </c>
      <c r="F33" s="5" t="s">
        <v>271</v>
      </c>
      <c r="G33" s="11">
        <v>44208</v>
      </c>
    </row>
    <row r="34" spans="1:7" ht="15.75" customHeight="1" x14ac:dyDescent="0.3">
      <c r="A34" s="5" t="s">
        <v>274</v>
      </c>
      <c r="B34" s="5" t="s">
        <v>275</v>
      </c>
      <c r="C34" s="5" t="s">
        <v>278</v>
      </c>
      <c r="D34" s="5" t="s">
        <v>86</v>
      </c>
      <c r="E34" s="11">
        <v>28698</v>
      </c>
      <c r="F34" s="5" t="s">
        <v>279</v>
      </c>
      <c r="G34" s="11">
        <v>45733</v>
      </c>
    </row>
    <row r="35" spans="1:7" ht="15.75" customHeight="1" x14ac:dyDescent="0.3">
      <c r="A35" s="5" t="s">
        <v>281</v>
      </c>
      <c r="B35" s="5" t="s">
        <v>283</v>
      </c>
      <c r="C35" s="5" t="s">
        <v>72</v>
      </c>
      <c r="D35" s="5" t="s">
        <v>86</v>
      </c>
      <c r="E35" s="11">
        <v>23730</v>
      </c>
      <c r="F35" s="5" t="s">
        <v>284</v>
      </c>
      <c r="G35" s="11">
        <v>45670</v>
      </c>
    </row>
    <row r="36" spans="1:7" ht="15.75" customHeight="1" x14ac:dyDescent="0.3">
      <c r="A36" s="5" t="s">
        <v>286</v>
      </c>
      <c r="B36" s="5" t="s">
        <v>288</v>
      </c>
      <c r="C36" s="5" t="s">
        <v>289</v>
      </c>
      <c r="D36" s="5" t="s">
        <v>86</v>
      </c>
      <c r="E36" s="11">
        <v>33347</v>
      </c>
      <c r="F36" s="5" t="s">
        <v>290</v>
      </c>
      <c r="G36" s="11">
        <v>45007</v>
      </c>
    </row>
    <row r="37" spans="1:7" ht="15.75" customHeight="1" x14ac:dyDescent="0.3">
      <c r="A37" s="5" t="s">
        <v>292</v>
      </c>
      <c r="B37" s="5" t="s">
        <v>17</v>
      </c>
      <c r="C37" s="5" t="s">
        <v>294</v>
      </c>
      <c r="D37" s="5" t="s">
        <v>19</v>
      </c>
      <c r="E37" s="11">
        <v>33546</v>
      </c>
      <c r="F37" s="5" t="s">
        <v>295</v>
      </c>
      <c r="G37" s="11">
        <v>44104</v>
      </c>
    </row>
    <row r="38" spans="1:7" ht="15.75" customHeight="1" x14ac:dyDescent="0.3">
      <c r="A38" s="5" t="s">
        <v>296</v>
      </c>
      <c r="B38" s="5" t="s">
        <v>297</v>
      </c>
      <c r="C38" s="5" t="s">
        <v>298</v>
      </c>
      <c r="D38" s="5" t="s">
        <v>86</v>
      </c>
      <c r="E38" s="11">
        <v>30193</v>
      </c>
      <c r="F38" s="5" t="s">
        <v>299</v>
      </c>
      <c r="G38" s="11">
        <v>45322</v>
      </c>
    </row>
    <row r="39" spans="1:7" ht="15.75" customHeight="1" x14ac:dyDescent="0.3">
      <c r="A39" s="5" t="s">
        <v>300</v>
      </c>
      <c r="B39" s="5" t="s">
        <v>301</v>
      </c>
      <c r="C39" s="5" t="s">
        <v>18</v>
      </c>
      <c r="D39" s="5" t="s">
        <v>19</v>
      </c>
      <c r="E39" s="11">
        <v>27138</v>
      </c>
      <c r="F39" s="5" t="s">
        <v>302</v>
      </c>
      <c r="G39" s="11">
        <v>44326</v>
      </c>
    </row>
    <row r="40" spans="1:7" ht="15.75" customHeight="1" x14ac:dyDescent="0.3">
      <c r="A40" s="5" t="s">
        <v>304</v>
      </c>
      <c r="B40" s="5" t="s">
        <v>305</v>
      </c>
      <c r="C40" s="5" t="s">
        <v>306</v>
      </c>
      <c r="D40" s="5" t="s">
        <v>86</v>
      </c>
      <c r="E40" s="11">
        <v>35371</v>
      </c>
      <c r="F40" s="5" t="s">
        <v>307</v>
      </c>
      <c r="G40" s="11">
        <v>44851</v>
      </c>
    </row>
    <row r="41" spans="1:7" ht="15.75" customHeight="1" x14ac:dyDescent="0.3">
      <c r="A41" s="5" t="s">
        <v>308</v>
      </c>
      <c r="B41" s="5" t="s">
        <v>309</v>
      </c>
      <c r="C41" s="5" t="s">
        <v>310</v>
      </c>
      <c r="D41" s="5" t="s">
        <v>19</v>
      </c>
      <c r="E41" s="11">
        <v>27339</v>
      </c>
      <c r="F41" s="5" t="s">
        <v>311</v>
      </c>
      <c r="G41" s="11">
        <v>44754</v>
      </c>
    </row>
    <row r="42" spans="1:7" ht="15.75" customHeight="1" x14ac:dyDescent="0.3">
      <c r="A42" s="5" t="s">
        <v>312</v>
      </c>
      <c r="B42" s="5" t="s">
        <v>313</v>
      </c>
      <c r="C42" s="5" t="s">
        <v>314</v>
      </c>
      <c r="D42" s="5" t="s">
        <v>86</v>
      </c>
      <c r="E42" s="11">
        <v>29405</v>
      </c>
      <c r="F42" s="5" t="s">
        <v>315</v>
      </c>
      <c r="G42" s="11">
        <v>44950</v>
      </c>
    </row>
    <row r="43" spans="1:7" ht="15.75" customHeight="1" x14ac:dyDescent="0.3">
      <c r="A43" s="5" t="s">
        <v>317</v>
      </c>
      <c r="B43" s="5" t="s">
        <v>318</v>
      </c>
      <c r="C43" s="5" t="s">
        <v>319</v>
      </c>
      <c r="D43" s="5" t="s">
        <v>86</v>
      </c>
      <c r="E43" s="11">
        <v>36564</v>
      </c>
      <c r="F43" s="5" t="s">
        <v>321</v>
      </c>
      <c r="G43" s="11">
        <v>44509</v>
      </c>
    </row>
    <row r="44" spans="1:7" ht="15.75" customHeight="1" x14ac:dyDescent="0.3">
      <c r="A44" s="5" t="s">
        <v>322</v>
      </c>
      <c r="B44" s="5" t="s">
        <v>323</v>
      </c>
      <c r="C44" s="5" t="s">
        <v>324</v>
      </c>
      <c r="D44" s="5" t="s">
        <v>19</v>
      </c>
      <c r="E44" s="11">
        <v>32400</v>
      </c>
      <c r="F44" s="5" t="s">
        <v>325</v>
      </c>
      <c r="G44" s="11">
        <v>45213</v>
      </c>
    </row>
    <row r="45" spans="1:7" ht="15.75" customHeight="1" x14ac:dyDescent="0.3">
      <c r="A45" s="5" t="s">
        <v>326</v>
      </c>
      <c r="B45" s="5" t="s">
        <v>327</v>
      </c>
      <c r="C45" s="5" t="s">
        <v>328</v>
      </c>
      <c r="D45" s="5" t="s">
        <v>19</v>
      </c>
      <c r="E45" s="11">
        <v>22326</v>
      </c>
      <c r="F45" s="5" t="s">
        <v>329</v>
      </c>
      <c r="G45" s="11">
        <v>45653</v>
      </c>
    </row>
    <row r="46" spans="1:7" ht="15.75" customHeight="1" x14ac:dyDescent="0.3">
      <c r="A46" s="5" t="s">
        <v>330</v>
      </c>
      <c r="B46" s="5" t="s">
        <v>331</v>
      </c>
      <c r="C46" s="5" t="s">
        <v>332</v>
      </c>
      <c r="D46" s="5" t="s">
        <v>19</v>
      </c>
      <c r="E46" s="11">
        <v>27756</v>
      </c>
      <c r="F46" s="5" t="s">
        <v>333</v>
      </c>
      <c r="G46" s="11">
        <v>45208</v>
      </c>
    </row>
    <row r="47" spans="1:7" ht="15.75" customHeight="1" x14ac:dyDescent="0.3">
      <c r="A47" s="5" t="s">
        <v>334</v>
      </c>
      <c r="B47" s="5" t="s">
        <v>335</v>
      </c>
      <c r="C47" s="5" t="s">
        <v>336</v>
      </c>
      <c r="D47" s="5" t="s">
        <v>19</v>
      </c>
      <c r="E47" s="11">
        <v>23397</v>
      </c>
      <c r="F47" s="5" t="s">
        <v>337</v>
      </c>
      <c r="G47" s="11">
        <v>44737</v>
      </c>
    </row>
    <row r="48" spans="1:7" ht="15.75" customHeight="1" x14ac:dyDescent="0.3">
      <c r="A48" s="5" t="s">
        <v>338</v>
      </c>
      <c r="B48" s="5" t="s">
        <v>339</v>
      </c>
      <c r="C48" s="5" t="s">
        <v>340</v>
      </c>
      <c r="D48" s="5" t="s">
        <v>86</v>
      </c>
      <c r="E48" s="11">
        <v>38901</v>
      </c>
      <c r="F48" s="5" t="s">
        <v>341</v>
      </c>
      <c r="G48" s="11">
        <v>45713</v>
      </c>
    </row>
    <row r="49" spans="1:7" ht="15.75" customHeight="1" x14ac:dyDescent="0.3">
      <c r="A49" s="5" t="s">
        <v>342</v>
      </c>
      <c r="B49" s="5" t="s">
        <v>343</v>
      </c>
      <c r="C49" s="5" t="s">
        <v>344</v>
      </c>
      <c r="D49" s="5" t="s">
        <v>19</v>
      </c>
      <c r="E49" s="11">
        <v>38351</v>
      </c>
      <c r="F49" s="5" t="s">
        <v>345</v>
      </c>
      <c r="G49" s="11">
        <v>44661</v>
      </c>
    </row>
    <row r="50" spans="1:7" ht="15.75" customHeight="1" x14ac:dyDescent="0.3">
      <c r="A50" s="5" t="s">
        <v>346</v>
      </c>
      <c r="B50" s="5" t="s">
        <v>347</v>
      </c>
      <c r="C50" s="5" t="s">
        <v>348</v>
      </c>
      <c r="D50" s="5" t="s">
        <v>19</v>
      </c>
      <c r="E50" s="11">
        <v>35433</v>
      </c>
      <c r="F50" s="5" t="s">
        <v>349</v>
      </c>
      <c r="G50" s="11">
        <v>44735</v>
      </c>
    </row>
    <row r="51" spans="1:7" ht="15.75" customHeight="1" x14ac:dyDescent="0.3">
      <c r="A51" s="5" t="s">
        <v>350</v>
      </c>
      <c r="B51" s="5" t="s">
        <v>331</v>
      </c>
      <c r="C51" s="5" t="s">
        <v>351</v>
      </c>
      <c r="D51" s="5" t="s">
        <v>19</v>
      </c>
      <c r="E51" s="11">
        <v>25009</v>
      </c>
      <c r="F51" s="5" t="s">
        <v>352</v>
      </c>
      <c r="G51" s="11">
        <v>44798</v>
      </c>
    </row>
    <row r="52" spans="1:7" ht="15.75" customHeight="1" x14ac:dyDescent="0.3">
      <c r="A52" s="5" t="s">
        <v>353</v>
      </c>
      <c r="B52" s="5" t="s">
        <v>354</v>
      </c>
      <c r="C52" s="5" t="s">
        <v>355</v>
      </c>
      <c r="D52" s="5" t="s">
        <v>86</v>
      </c>
      <c r="E52" s="11">
        <v>38340</v>
      </c>
      <c r="F52" s="5" t="s">
        <v>356</v>
      </c>
      <c r="G52" s="11">
        <v>45347</v>
      </c>
    </row>
    <row r="53" spans="1:7" ht="15.75" customHeight="1" x14ac:dyDescent="0.3">
      <c r="A53" s="5" t="s">
        <v>357</v>
      </c>
      <c r="B53" s="5" t="s">
        <v>358</v>
      </c>
      <c r="C53" s="5" t="s">
        <v>359</v>
      </c>
      <c r="D53" s="5" t="s">
        <v>86</v>
      </c>
      <c r="E53" s="11">
        <v>33492</v>
      </c>
      <c r="F53" s="5" t="s">
        <v>360</v>
      </c>
      <c r="G53" s="11">
        <v>45407</v>
      </c>
    </row>
    <row r="54" spans="1:7" ht="15.75" customHeight="1" x14ac:dyDescent="0.3">
      <c r="A54" s="5" t="s">
        <v>361</v>
      </c>
      <c r="B54" s="5" t="s">
        <v>362</v>
      </c>
      <c r="C54" s="5" t="s">
        <v>363</v>
      </c>
      <c r="D54" s="5" t="s">
        <v>86</v>
      </c>
      <c r="E54" s="11">
        <v>35905</v>
      </c>
      <c r="F54" s="5" t="s">
        <v>364</v>
      </c>
      <c r="G54" s="11">
        <v>45389</v>
      </c>
    </row>
    <row r="55" spans="1:7" ht="15.75" customHeight="1" x14ac:dyDescent="0.3">
      <c r="A55" s="5" t="s">
        <v>365</v>
      </c>
      <c r="B55" s="5" t="s">
        <v>366</v>
      </c>
      <c r="C55" s="5" t="s">
        <v>173</v>
      </c>
      <c r="D55" s="5" t="s">
        <v>86</v>
      </c>
      <c r="E55" s="11">
        <v>37570</v>
      </c>
      <c r="F55" s="5" t="s">
        <v>367</v>
      </c>
      <c r="G55" s="11">
        <v>44274</v>
      </c>
    </row>
    <row r="56" spans="1:7" ht="15.75" customHeight="1" x14ac:dyDescent="0.3">
      <c r="A56" s="5" t="s">
        <v>368</v>
      </c>
      <c r="B56" s="5" t="s">
        <v>369</v>
      </c>
      <c r="C56" s="5" t="s">
        <v>370</v>
      </c>
      <c r="D56" s="5" t="s">
        <v>19</v>
      </c>
      <c r="E56" s="11">
        <v>27950</v>
      </c>
      <c r="F56" s="5" t="s">
        <v>371</v>
      </c>
      <c r="G56" s="11">
        <v>44232</v>
      </c>
    </row>
    <row r="57" spans="1:7" ht="15.75" customHeight="1" x14ac:dyDescent="0.3">
      <c r="A57" s="5" t="s">
        <v>372</v>
      </c>
      <c r="B57" s="5" t="s">
        <v>373</v>
      </c>
      <c r="C57" s="5" t="s">
        <v>374</v>
      </c>
      <c r="D57" s="5" t="s">
        <v>86</v>
      </c>
      <c r="E57" s="11">
        <v>38253</v>
      </c>
      <c r="F57" s="5" t="s">
        <v>375</v>
      </c>
      <c r="G57" s="11">
        <v>44366</v>
      </c>
    </row>
    <row r="58" spans="1:7" ht="15.75" customHeight="1" x14ac:dyDescent="0.3">
      <c r="A58" s="5" t="s">
        <v>376</v>
      </c>
      <c r="B58" s="5" t="s">
        <v>377</v>
      </c>
      <c r="C58" s="5" t="s">
        <v>259</v>
      </c>
      <c r="D58" s="5" t="s">
        <v>86</v>
      </c>
      <c r="E58" s="11">
        <v>36064</v>
      </c>
      <c r="F58" s="5" t="s">
        <v>378</v>
      </c>
      <c r="G58" s="11">
        <v>45011</v>
      </c>
    </row>
    <row r="59" spans="1:7" ht="15.75" customHeight="1" x14ac:dyDescent="0.3">
      <c r="A59" s="5" t="s">
        <v>380</v>
      </c>
      <c r="B59" s="5" t="s">
        <v>381</v>
      </c>
      <c r="C59" s="5" t="s">
        <v>382</v>
      </c>
      <c r="D59" s="5" t="s">
        <v>19</v>
      </c>
      <c r="E59" s="11">
        <v>38555</v>
      </c>
      <c r="F59" s="5" t="s">
        <v>386</v>
      </c>
      <c r="G59" s="11">
        <v>44145</v>
      </c>
    </row>
    <row r="60" spans="1:7" ht="15.75" customHeight="1" x14ac:dyDescent="0.3">
      <c r="A60" s="5" t="s">
        <v>387</v>
      </c>
      <c r="B60" s="5" t="s">
        <v>309</v>
      </c>
      <c r="C60" s="5" t="s">
        <v>374</v>
      </c>
      <c r="D60" s="5" t="s">
        <v>86</v>
      </c>
      <c r="E60" s="11">
        <v>23142</v>
      </c>
      <c r="F60" s="5" t="s">
        <v>388</v>
      </c>
      <c r="G60" s="11">
        <v>45562</v>
      </c>
    </row>
    <row r="61" spans="1:7" ht="15.75" customHeight="1" x14ac:dyDescent="0.3">
      <c r="A61" s="5" t="s">
        <v>389</v>
      </c>
      <c r="B61" s="5" t="s">
        <v>390</v>
      </c>
      <c r="C61" s="5" t="s">
        <v>391</v>
      </c>
      <c r="D61" s="5" t="s">
        <v>19</v>
      </c>
      <c r="E61" s="11">
        <v>35712</v>
      </c>
      <c r="F61" s="5" t="s">
        <v>392</v>
      </c>
      <c r="G61" s="11">
        <v>45823</v>
      </c>
    </row>
    <row r="62" spans="1:7" ht="15.75" customHeight="1" x14ac:dyDescent="0.3">
      <c r="A62" s="5" t="s">
        <v>393</v>
      </c>
      <c r="B62" s="5" t="s">
        <v>394</v>
      </c>
      <c r="C62" s="5" t="s">
        <v>395</v>
      </c>
      <c r="D62" s="5" t="s">
        <v>19</v>
      </c>
      <c r="E62" s="11">
        <v>25132</v>
      </c>
      <c r="F62" s="5" t="s">
        <v>396</v>
      </c>
      <c r="G62" s="11">
        <v>44228</v>
      </c>
    </row>
    <row r="63" spans="1:7" ht="15.75" customHeight="1" x14ac:dyDescent="0.3">
      <c r="A63" s="5" t="s">
        <v>397</v>
      </c>
      <c r="B63" s="5" t="s">
        <v>398</v>
      </c>
      <c r="C63" s="5" t="s">
        <v>102</v>
      </c>
      <c r="D63" s="5" t="s">
        <v>19</v>
      </c>
      <c r="E63" s="11">
        <v>36698</v>
      </c>
      <c r="F63" s="5" t="s">
        <v>399</v>
      </c>
      <c r="G63" s="11">
        <v>44462</v>
      </c>
    </row>
    <row r="64" spans="1:7" ht="15.75" customHeight="1" x14ac:dyDescent="0.3">
      <c r="A64" s="5" t="s">
        <v>401</v>
      </c>
      <c r="B64" s="5" t="s">
        <v>17</v>
      </c>
      <c r="C64" s="5" t="s">
        <v>173</v>
      </c>
      <c r="D64" s="5" t="s">
        <v>19</v>
      </c>
      <c r="E64" s="11">
        <v>26671</v>
      </c>
      <c r="F64" s="5" t="s">
        <v>404</v>
      </c>
      <c r="G64" s="11">
        <v>45075</v>
      </c>
    </row>
    <row r="65" spans="1:7" ht="15.75" customHeight="1" x14ac:dyDescent="0.3">
      <c r="A65" s="5" t="s">
        <v>405</v>
      </c>
      <c r="B65" s="5" t="s">
        <v>406</v>
      </c>
      <c r="C65" s="5" t="s">
        <v>407</v>
      </c>
      <c r="D65" s="5" t="s">
        <v>86</v>
      </c>
      <c r="E65" s="11">
        <v>26908</v>
      </c>
      <c r="F65" s="5" t="s">
        <v>408</v>
      </c>
      <c r="G65" s="11">
        <v>45561</v>
      </c>
    </row>
    <row r="66" spans="1:7" ht="15.75" customHeight="1" x14ac:dyDescent="0.3">
      <c r="A66" s="5" t="s">
        <v>409</v>
      </c>
      <c r="B66" s="5" t="s">
        <v>309</v>
      </c>
      <c r="C66" s="5" t="s">
        <v>410</v>
      </c>
      <c r="D66" s="5" t="s">
        <v>86</v>
      </c>
      <c r="E66" s="11">
        <v>25547</v>
      </c>
      <c r="F66" s="5" t="s">
        <v>411</v>
      </c>
      <c r="G66" s="11">
        <v>45312</v>
      </c>
    </row>
    <row r="67" spans="1:7" ht="15.75" customHeight="1" x14ac:dyDescent="0.3">
      <c r="A67" s="5" t="s">
        <v>412</v>
      </c>
      <c r="B67" s="5" t="s">
        <v>413</v>
      </c>
      <c r="C67" s="5" t="s">
        <v>414</v>
      </c>
      <c r="D67" s="5" t="s">
        <v>86</v>
      </c>
      <c r="E67" s="11">
        <v>31304</v>
      </c>
      <c r="F67" s="5" t="s">
        <v>415</v>
      </c>
      <c r="G67" s="11">
        <v>44186</v>
      </c>
    </row>
    <row r="68" spans="1:7" ht="15.75" customHeight="1" x14ac:dyDescent="0.3">
      <c r="A68" s="5" t="s">
        <v>416</v>
      </c>
      <c r="B68" s="5" t="s">
        <v>417</v>
      </c>
      <c r="C68" s="5" t="s">
        <v>418</v>
      </c>
      <c r="D68" s="5" t="s">
        <v>19</v>
      </c>
      <c r="E68" s="11">
        <v>26914</v>
      </c>
      <c r="F68" s="5" t="s">
        <v>419</v>
      </c>
      <c r="G68" s="11">
        <v>44266</v>
      </c>
    </row>
    <row r="69" spans="1:7" ht="15.75" customHeight="1" x14ac:dyDescent="0.3">
      <c r="A69" s="5" t="s">
        <v>420</v>
      </c>
      <c r="B69" s="5" t="s">
        <v>421</v>
      </c>
      <c r="C69" s="5" t="s">
        <v>422</v>
      </c>
      <c r="D69" s="5" t="s">
        <v>86</v>
      </c>
      <c r="E69" s="11">
        <v>29746</v>
      </c>
      <c r="F69" s="5" t="s">
        <v>423</v>
      </c>
      <c r="G69" s="11">
        <v>45456</v>
      </c>
    </row>
    <row r="70" spans="1:7" ht="15.75" customHeight="1" x14ac:dyDescent="0.3">
      <c r="A70" s="5" t="s">
        <v>425</v>
      </c>
      <c r="B70" s="5" t="s">
        <v>426</v>
      </c>
      <c r="C70" s="5" t="s">
        <v>427</v>
      </c>
      <c r="D70" s="5" t="s">
        <v>19</v>
      </c>
      <c r="E70" s="11">
        <v>24029</v>
      </c>
      <c r="F70" s="5" t="s">
        <v>428</v>
      </c>
      <c r="G70" s="11">
        <v>44937</v>
      </c>
    </row>
    <row r="71" spans="1:7" ht="15.75" customHeight="1" x14ac:dyDescent="0.3">
      <c r="A71" s="5" t="s">
        <v>429</v>
      </c>
      <c r="B71" s="5" t="s">
        <v>430</v>
      </c>
      <c r="C71" s="5" t="s">
        <v>431</v>
      </c>
      <c r="D71" s="5" t="s">
        <v>19</v>
      </c>
      <c r="E71" s="11">
        <v>26230</v>
      </c>
      <c r="F71" s="5" t="s">
        <v>432</v>
      </c>
      <c r="G71" s="11">
        <v>44259</v>
      </c>
    </row>
    <row r="72" spans="1:7" ht="15.75" customHeight="1" x14ac:dyDescent="0.3">
      <c r="A72" s="5" t="s">
        <v>433</v>
      </c>
      <c r="B72" s="5" t="s">
        <v>434</v>
      </c>
      <c r="C72" s="5" t="s">
        <v>435</v>
      </c>
      <c r="D72" s="5" t="s">
        <v>19</v>
      </c>
      <c r="E72" s="11">
        <v>22815</v>
      </c>
      <c r="F72" s="5" t="s">
        <v>436</v>
      </c>
      <c r="G72" s="11">
        <v>44340</v>
      </c>
    </row>
    <row r="73" spans="1:7" ht="15.75" customHeight="1" x14ac:dyDescent="0.3">
      <c r="A73" s="5" t="s">
        <v>437</v>
      </c>
      <c r="B73" s="5" t="s">
        <v>430</v>
      </c>
      <c r="C73" s="5" t="s">
        <v>438</v>
      </c>
      <c r="D73" s="5" t="s">
        <v>86</v>
      </c>
      <c r="E73" s="11">
        <v>34856</v>
      </c>
      <c r="F73" s="5" t="s">
        <v>439</v>
      </c>
      <c r="G73" s="11">
        <v>44744</v>
      </c>
    </row>
    <row r="74" spans="1:7" ht="15.75" customHeight="1" x14ac:dyDescent="0.3">
      <c r="A74" s="5" t="s">
        <v>440</v>
      </c>
      <c r="B74" s="5" t="s">
        <v>373</v>
      </c>
      <c r="C74" s="5" t="s">
        <v>441</v>
      </c>
      <c r="D74" s="5" t="s">
        <v>86</v>
      </c>
      <c r="E74" s="11">
        <v>23715</v>
      </c>
      <c r="F74" s="5" t="s">
        <v>442</v>
      </c>
      <c r="G74" s="11">
        <v>44601</v>
      </c>
    </row>
    <row r="75" spans="1:7" ht="15.75" customHeight="1" x14ac:dyDescent="0.3">
      <c r="A75" s="5" t="s">
        <v>443</v>
      </c>
      <c r="B75" s="5" t="s">
        <v>444</v>
      </c>
      <c r="C75" s="5" t="s">
        <v>445</v>
      </c>
      <c r="D75" s="5" t="s">
        <v>86</v>
      </c>
      <c r="E75" s="11">
        <v>21701</v>
      </c>
      <c r="F75" s="5" t="s">
        <v>446</v>
      </c>
      <c r="G75" s="11">
        <v>44966</v>
      </c>
    </row>
    <row r="76" spans="1:7" ht="15.75" customHeight="1" x14ac:dyDescent="0.3">
      <c r="A76" s="5" t="s">
        <v>447</v>
      </c>
      <c r="B76" s="5" t="s">
        <v>448</v>
      </c>
      <c r="C76" s="5" t="s">
        <v>108</v>
      </c>
      <c r="D76" s="5" t="s">
        <v>19</v>
      </c>
      <c r="E76" s="11">
        <v>19984</v>
      </c>
      <c r="F76" s="5" t="s">
        <v>449</v>
      </c>
      <c r="G76" s="11">
        <v>44328</v>
      </c>
    </row>
    <row r="77" spans="1:7" ht="15.75" customHeight="1" x14ac:dyDescent="0.3">
      <c r="A77" s="5" t="s">
        <v>450</v>
      </c>
      <c r="B77" s="5" t="s">
        <v>451</v>
      </c>
      <c r="C77" s="5" t="s">
        <v>452</v>
      </c>
      <c r="D77" s="5" t="s">
        <v>19</v>
      </c>
      <c r="E77" s="11">
        <v>38700</v>
      </c>
      <c r="F77" s="5" t="s">
        <v>453</v>
      </c>
      <c r="G77" s="11">
        <v>44688</v>
      </c>
    </row>
    <row r="78" spans="1:7" ht="15.75" customHeight="1" x14ac:dyDescent="0.3">
      <c r="A78" s="5" t="s">
        <v>455</v>
      </c>
      <c r="B78" s="5" t="s">
        <v>166</v>
      </c>
      <c r="C78" s="5" t="s">
        <v>456</v>
      </c>
      <c r="D78" s="5" t="s">
        <v>86</v>
      </c>
      <c r="E78" s="11">
        <v>37614</v>
      </c>
      <c r="F78" s="5" t="s">
        <v>457</v>
      </c>
      <c r="G78" s="11">
        <v>44855</v>
      </c>
    </row>
    <row r="79" spans="1:7" ht="15.75" customHeight="1" x14ac:dyDescent="0.3">
      <c r="A79" s="5" t="s">
        <v>458</v>
      </c>
      <c r="B79" s="5" t="s">
        <v>459</v>
      </c>
      <c r="C79" s="5" t="s">
        <v>460</v>
      </c>
      <c r="D79" s="5" t="s">
        <v>19</v>
      </c>
      <c r="E79" s="11">
        <v>32411</v>
      </c>
      <c r="F79" s="5" t="s">
        <v>461</v>
      </c>
      <c r="G79" s="11">
        <v>45671</v>
      </c>
    </row>
    <row r="80" spans="1:7" ht="15.75" customHeight="1" x14ac:dyDescent="0.3">
      <c r="A80" s="5" t="s">
        <v>462</v>
      </c>
      <c r="B80" s="5" t="s">
        <v>463</v>
      </c>
      <c r="C80" s="5" t="s">
        <v>464</v>
      </c>
      <c r="D80" s="5" t="s">
        <v>86</v>
      </c>
      <c r="E80" s="11">
        <v>29021</v>
      </c>
      <c r="F80" s="5" t="s">
        <v>465</v>
      </c>
      <c r="G80" s="11">
        <v>45479</v>
      </c>
    </row>
    <row r="81" spans="1:7" ht="15.75" customHeight="1" x14ac:dyDescent="0.3">
      <c r="A81" s="5" t="s">
        <v>466</v>
      </c>
      <c r="B81" s="5" t="s">
        <v>467</v>
      </c>
      <c r="C81" s="5" t="s">
        <v>468</v>
      </c>
      <c r="D81" s="5" t="s">
        <v>86</v>
      </c>
      <c r="E81" s="11">
        <v>37929</v>
      </c>
      <c r="F81" s="5" t="s">
        <v>469</v>
      </c>
      <c r="G81" s="11">
        <v>44928</v>
      </c>
    </row>
    <row r="82" spans="1:7" ht="15.75" customHeight="1" x14ac:dyDescent="0.3">
      <c r="A82" s="5" t="s">
        <v>470</v>
      </c>
      <c r="B82" s="5" t="s">
        <v>471</v>
      </c>
      <c r="C82" s="5" t="s">
        <v>472</v>
      </c>
      <c r="D82" s="5" t="s">
        <v>86</v>
      </c>
      <c r="E82" s="11">
        <v>32344</v>
      </c>
      <c r="F82" s="5" t="s">
        <v>473</v>
      </c>
      <c r="G82" s="11">
        <v>44826</v>
      </c>
    </row>
    <row r="83" spans="1:7" ht="15.75" customHeight="1" x14ac:dyDescent="0.3">
      <c r="A83" s="5" t="s">
        <v>474</v>
      </c>
      <c r="B83" s="5" t="s">
        <v>475</v>
      </c>
      <c r="C83" s="5" t="s">
        <v>145</v>
      </c>
      <c r="D83" s="5" t="s">
        <v>19</v>
      </c>
      <c r="E83" s="11">
        <v>37752</v>
      </c>
      <c r="F83" s="5" t="s">
        <v>476</v>
      </c>
      <c r="G83" s="11">
        <v>45472</v>
      </c>
    </row>
    <row r="84" spans="1:7" ht="15.75" customHeight="1" x14ac:dyDescent="0.3">
      <c r="A84" s="5" t="s">
        <v>477</v>
      </c>
      <c r="B84" s="5" t="s">
        <v>478</v>
      </c>
      <c r="C84" s="5" t="s">
        <v>479</v>
      </c>
      <c r="D84" s="5" t="s">
        <v>86</v>
      </c>
      <c r="E84" s="11">
        <v>29674</v>
      </c>
      <c r="F84" s="5" t="s">
        <v>480</v>
      </c>
      <c r="G84" s="11">
        <v>44600</v>
      </c>
    </row>
    <row r="85" spans="1:7" ht="15.75" customHeight="1" x14ac:dyDescent="0.3">
      <c r="A85" s="5" t="s">
        <v>481</v>
      </c>
      <c r="B85" s="5" t="s">
        <v>406</v>
      </c>
      <c r="C85" s="5" t="s">
        <v>482</v>
      </c>
      <c r="D85" s="5" t="s">
        <v>19</v>
      </c>
      <c r="E85" s="11">
        <v>26377</v>
      </c>
      <c r="F85" s="5" t="s">
        <v>483</v>
      </c>
      <c r="G85" s="11">
        <v>45539</v>
      </c>
    </row>
    <row r="86" spans="1:7" ht="15.75" customHeight="1" x14ac:dyDescent="0.3">
      <c r="A86" s="5" t="s">
        <v>484</v>
      </c>
      <c r="B86" s="5" t="s">
        <v>485</v>
      </c>
      <c r="C86" s="5" t="s">
        <v>486</v>
      </c>
      <c r="D86" s="5" t="s">
        <v>19</v>
      </c>
      <c r="E86" s="11">
        <v>28937</v>
      </c>
      <c r="F86" s="5" t="s">
        <v>487</v>
      </c>
      <c r="G86" s="11">
        <v>45210</v>
      </c>
    </row>
    <row r="87" spans="1:7" ht="15.75" customHeight="1" x14ac:dyDescent="0.3">
      <c r="A87" s="5" t="s">
        <v>488</v>
      </c>
      <c r="B87" s="5" t="s">
        <v>381</v>
      </c>
      <c r="C87" s="5" t="s">
        <v>489</v>
      </c>
      <c r="D87" s="5" t="s">
        <v>86</v>
      </c>
      <c r="E87" s="11">
        <v>27663</v>
      </c>
      <c r="F87" s="5" t="s">
        <v>490</v>
      </c>
      <c r="G87" s="11">
        <v>45133</v>
      </c>
    </row>
    <row r="88" spans="1:7" ht="15.75" customHeight="1" x14ac:dyDescent="0.3">
      <c r="A88" s="5" t="s">
        <v>491</v>
      </c>
      <c r="B88" s="5" t="s">
        <v>492</v>
      </c>
      <c r="C88" s="5" t="s">
        <v>493</v>
      </c>
      <c r="D88" s="5" t="s">
        <v>86</v>
      </c>
      <c r="E88" s="11">
        <v>27567</v>
      </c>
      <c r="F88" s="5" t="s">
        <v>494</v>
      </c>
      <c r="G88" s="11">
        <v>45840</v>
      </c>
    </row>
    <row r="89" spans="1:7" ht="15.75" customHeight="1" x14ac:dyDescent="0.3">
      <c r="A89" s="5" t="s">
        <v>495</v>
      </c>
      <c r="B89" s="5" t="s">
        <v>496</v>
      </c>
      <c r="C89" s="5" t="s">
        <v>497</v>
      </c>
      <c r="D89" s="5" t="s">
        <v>86</v>
      </c>
      <c r="E89" s="11">
        <v>35714</v>
      </c>
      <c r="F89" s="5" t="s">
        <v>498</v>
      </c>
      <c r="G89" s="11">
        <v>44816</v>
      </c>
    </row>
    <row r="90" spans="1:7" ht="15.75" customHeight="1" x14ac:dyDescent="0.3">
      <c r="A90" s="5" t="s">
        <v>499</v>
      </c>
      <c r="B90" s="5" t="s">
        <v>500</v>
      </c>
      <c r="C90" s="5" t="s">
        <v>501</v>
      </c>
      <c r="D90" s="5" t="s">
        <v>86</v>
      </c>
      <c r="E90" s="11">
        <v>25396</v>
      </c>
      <c r="F90" s="5" t="s">
        <v>502</v>
      </c>
      <c r="G90" s="11">
        <v>44890</v>
      </c>
    </row>
    <row r="91" spans="1:7" ht="15.75" customHeight="1" x14ac:dyDescent="0.3">
      <c r="A91" s="5" t="s">
        <v>503</v>
      </c>
      <c r="B91" s="5" t="s">
        <v>504</v>
      </c>
      <c r="C91" s="5" t="s">
        <v>505</v>
      </c>
      <c r="D91" s="5" t="s">
        <v>19</v>
      </c>
      <c r="E91" s="11">
        <v>27624</v>
      </c>
      <c r="F91" s="5" t="s">
        <v>506</v>
      </c>
      <c r="G91" s="11">
        <v>44577</v>
      </c>
    </row>
    <row r="92" spans="1:7" ht="15.75" customHeight="1" x14ac:dyDescent="0.3">
      <c r="A92" s="5" t="s">
        <v>507</v>
      </c>
      <c r="B92" s="5" t="s">
        <v>508</v>
      </c>
      <c r="C92" s="5" t="s">
        <v>509</v>
      </c>
      <c r="D92" s="5" t="s">
        <v>19</v>
      </c>
      <c r="E92" s="11">
        <v>23046</v>
      </c>
      <c r="F92" s="5" t="s">
        <v>510</v>
      </c>
      <c r="G92" s="11">
        <v>44431</v>
      </c>
    </row>
    <row r="93" spans="1:7" ht="15.75" customHeight="1" x14ac:dyDescent="0.3">
      <c r="A93" s="5" t="s">
        <v>511</v>
      </c>
      <c r="B93" s="5" t="s">
        <v>512</v>
      </c>
      <c r="C93" s="5" t="s">
        <v>513</v>
      </c>
      <c r="D93" s="5" t="s">
        <v>86</v>
      </c>
      <c r="E93" s="11">
        <v>37223</v>
      </c>
      <c r="F93" s="5" t="s">
        <v>514</v>
      </c>
      <c r="G93" s="11">
        <v>45277</v>
      </c>
    </row>
    <row r="94" spans="1:7" ht="15.75" customHeight="1" x14ac:dyDescent="0.3">
      <c r="A94" s="5" t="s">
        <v>515</v>
      </c>
      <c r="B94" s="5" t="s">
        <v>516</v>
      </c>
      <c r="C94" s="5" t="s">
        <v>517</v>
      </c>
      <c r="D94" s="5" t="s">
        <v>19</v>
      </c>
      <c r="E94" s="11">
        <v>28594</v>
      </c>
      <c r="F94" s="5" t="s">
        <v>518</v>
      </c>
      <c r="G94" s="11">
        <v>44617</v>
      </c>
    </row>
    <row r="95" spans="1:7" ht="15.75" customHeight="1" x14ac:dyDescent="0.3">
      <c r="A95" s="5" t="s">
        <v>519</v>
      </c>
      <c r="B95" s="5" t="s">
        <v>288</v>
      </c>
      <c r="C95" s="5" t="s">
        <v>520</v>
      </c>
      <c r="D95" s="5" t="s">
        <v>19</v>
      </c>
      <c r="E95" s="11">
        <v>22937</v>
      </c>
      <c r="F95" s="5" t="s">
        <v>521</v>
      </c>
      <c r="G95" s="11">
        <v>45876</v>
      </c>
    </row>
    <row r="96" spans="1:7" ht="15.75" customHeight="1" x14ac:dyDescent="0.3">
      <c r="A96" s="5" t="s">
        <v>522</v>
      </c>
      <c r="B96" s="5" t="s">
        <v>523</v>
      </c>
      <c r="C96" s="5" t="s">
        <v>524</v>
      </c>
      <c r="D96" s="5" t="s">
        <v>19</v>
      </c>
      <c r="E96" s="11">
        <v>30183</v>
      </c>
      <c r="F96" s="5" t="s">
        <v>525</v>
      </c>
      <c r="G96" s="11">
        <v>44184</v>
      </c>
    </row>
    <row r="97" spans="1:7" ht="15.75" customHeight="1" x14ac:dyDescent="0.3">
      <c r="A97" s="5" t="s">
        <v>526</v>
      </c>
      <c r="B97" s="5" t="s">
        <v>430</v>
      </c>
      <c r="C97" s="5" t="s">
        <v>289</v>
      </c>
      <c r="D97" s="5" t="s">
        <v>19</v>
      </c>
      <c r="E97" s="11">
        <v>32514</v>
      </c>
      <c r="F97" s="5" t="s">
        <v>527</v>
      </c>
      <c r="G97" s="11">
        <v>44496</v>
      </c>
    </row>
    <row r="98" spans="1:7" ht="15.75" customHeight="1" x14ac:dyDescent="0.3">
      <c r="A98" s="5" t="s">
        <v>528</v>
      </c>
      <c r="B98" s="5" t="s">
        <v>529</v>
      </c>
      <c r="C98" s="5" t="s">
        <v>530</v>
      </c>
      <c r="D98" s="5" t="s">
        <v>19</v>
      </c>
      <c r="E98" s="11">
        <v>34560</v>
      </c>
      <c r="F98" s="5" t="s">
        <v>531</v>
      </c>
      <c r="G98" s="11">
        <v>45822</v>
      </c>
    </row>
    <row r="99" spans="1:7" ht="15.75" customHeight="1" x14ac:dyDescent="0.3">
      <c r="A99" s="5" t="s">
        <v>532</v>
      </c>
      <c r="B99" s="5" t="s">
        <v>533</v>
      </c>
      <c r="C99" s="5" t="s">
        <v>534</v>
      </c>
      <c r="D99" s="5" t="s">
        <v>86</v>
      </c>
      <c r="E99" s="11">
        <v>38361</v>
      </c>
      <c r="F99" s="5" t="s">
        <v>535</v>
      </c>
      <c r="G99" s="11">
        <v>45068</v>
      </c>
    </row>
    <row r="100" spans="1:7" ht="15.75" customHeight="1" x14ac:dyDescent="0.3">
      <c r="A100" s="5" t="s">
        <v>536</v>
      </c>
      <c r="B100" s="5" t="s">
        <v>288</v>
      </c>
      <c r="C100" s="5" t="s">
        <v>537</v>
      </c>
      <c r="D100" s="5" t="s">
        <v>19</v>
      </c>
      <c r="E100" s="11">
        <v>23580</v>
      </c>
      <c r="F100" s="5" t="s">
        <v>538</v>
      </c>
      <c r="G100" s="11">
        <v>44213</v>
      </c>
    </row>
    <row r="101" spans="1:7" ht="15.75" customHeight="1" x14ac:dyDescent="0.3">
      <c r="A101" s="5" t="s">
        <v>539</v>
      </c>
      <c r="B101" s="5" t="s">
        <v>540</v>
      </c>
      <c r="C101" s="5" t="s">
        <v>541</v>
      </c>
      <c r="D101" s="5" t="s">
        <v>86</v>
      </c>
      <c r="E101" s="11">
        <v>19995</v>
      </c>
      <c r="F101" s="5" t="s">
        <v>542</v>
      </c>
      <c r="G101" s="11">
        <v>45602</v>
      </c>
    </row>
    <row r="102" spans="1:7" ht="15.75" customHeight="1" x14ac:dyDescent="0.3">
      <c r="A102" s="5" t="s">
        <v>543</v>
      </c>
      <c r="B102" s="5" t="s">
        <v>500</v>
      </c>
      <c r="C102" s="5" t="s">
        <v>544</v>
      </c>
      <c r="D102" s="5" t="s">
        <v>86</v>
      </c>
      <c r="E102" s="11">
        <v>20604</v>
      </c>
      <c r="F102" s="5" t="s">
        <v>545</v>
      </c>
      <c r="G102" s="11">
        <v>45543</v>
      </c>
    </row>
    <row r="103" spans="1:7" ht="15.75" customHeight="1" x14ac:dyDescent="0.3">
      <c r="A103" s="5" t="s">
        <v>546</v>
      </c>
      <c r="B103" s="5" t="s">
        <v>547</v>
      </c>
      <c r="C103" s="5" t="s">
        <v>548</v>
      </c>
      <c r="D103" s="5" t="s">
        <v>86</v>
      </c>
      <c r="E103" s="11">
        <v>35236</v>
      </c>
      <c r="F103" s="5" t="s">
        <v>549</v>
      </c>
      <c r="G103" s="11">
        <v>45242</v>
      </c>
    </row>
    <row r="104" spans="1:7" ht="15.75" customHeight="1" x14ac:dyDescent="0.3">
      <c r="A104" s="5" t="s">
        <v>550</v>
      </c>
      <c r="B104" s="5" t="s">
        <v>551</v>
      </c>
      <c r="C104" s="5" t="s">
        <v>552</v>
      </c>
      <c r="D104" s="5" t="s">
        <v>86</v>
      </c>
      <c r="E104" s="11">
        <v>23676</v>
      </c>
      <c r="F104" s="5" t="s">
        <v>553</v>
      </c>
      <c r="G104" s="11">
        <v>44351</v>
      </c>
    </row>
    <row r="105" spans="1:7" ht="15.75" customHeight="1" x14ac:dyDescent="0.3">
      <c r="A105" s="5" t="s">
        <v>554</v>
      </c>
      <c r="B105" s="5" t="s">
        <v>496</v>
      </c>
      <c r="C105" s="5" t="s">
        <v>555</v>
      </c>
      <c r="D105" s="5" t="s">
        <v>19</v>
      </c>
      <c r="E105" s="11">
        <v>23821</v>
      </c>
      <c r="F105" s="5" t="s">
        <v>556</v>
      </c>
      <c r="G105" s="11">
        <v>45308</v>
      </c>
    </row>
    <row r="106" spans="1:7" ht="15.75" customHeight="1" x14ac:dyDescent="0.3">
      <c r="A106" s="5" t="s">
        <v>557</v>
      </c>
      <c r="B106" s="5" t="s">
        <v>323</v>
      </c>
      <c r="C106" s="5" t="s">
        <v>558</v>
      </c>
      <c r="D106" s="5" t="s">
        <v>19</v>
      </c>
      <c r="E106" s="11">
        <v>25566</v>
      </c>
      <c r="F106" s="5" t="s">
        <v>559</v>
      </c>
      <c r="G106" s="11">
        <v>45113</v>
      </c>
    </row>
    <row r="107" spans="1:7" ht="15.75" customHeight="1" x14ac:dyDescent="0.3">
      <c r="A107" s="5" t="s">
        <v>560</v>
      </c>
      <c r="B107" s="5" t="s">
        <v>523</v>
      </c>
      <c r="C107" s="5" t="s">
        <v>561</v>
      </c>
      <c r="D107" s="5" t="s">
        <v>86</v>
      </c>
      <c r="E107" s="11">
        <v>31890</v>
      </c>
      <c r="F107" s="5" t="s">
        <v>562</v>
      </c>
      <c r="G107" s="11">
        <v>45694</v>
      </c>
    </row>
    <row r="108" spans="1:7" ht="15.75" customHeight="1" x14ac:dyDescent="0.3">
      <c r="A108" s="5" t="s">
        <v>563</v>
      </c>
      <c r="B108" s="5" t="s">
        <v>564</v>
      </c>
      <c r="C108" s="5" t="s">
        <v>565</v>
      </c>
      <c r="D108" s="5" t="s">
        <v>86</v>
      </c>
      <c r="E108" s="11">
        <v>34980</v>
      </c>
      <c r="F108" s="5" t="s">
        <v>566</v>
      </c>
      <c r="G108" s="11">
        <v>45124</v>
      </c>
    </row>
    <row r="109" spans="1:7" ht="15.75" customHeight="1" x14ac:dyDescent="0.3">
      <c r="A109" s="5" t="s">
        <v>567</v>
      </c>
      <c r="B109" s="5" t="s">
        <v>568</v>
      </c>
      <c r="C109" s="5" t="s">
        <v>569</v>
      </c>
      <c r="D109" s="5" t="s">
        <v>19</v>
      </c>
      <c r="E109" s="11">
        <v>22241</v>
      </c>
      <c r="F109" s="5" t="s">
        <v>570</v>
      </c>
      <c r="G109" s="11">
        <v>44720</v>
      </c>
    </row>
    <row r="110" spans="1:7" ht="15.75" customHeight="1" x14ac:dyDescent="0.3">
      <c r="A110" s="5" t="s">
        <v>571</v>
      </c>
      <c r="B110" s="5" t="s">
        <v>572</v>
      </c>
      <c r="C110" s="5" t="s">
        <v>573</v>
      </c>
      <c r="D110" s="5" t="s">
        <v>86</v>
      </c>
      <c r="E110" s="11">
        <v>38779</v>
      </c>
      <c r="F110" s="5" t="s">
        <v>574</v>
      </c>
      <c r="G110" s="11">
        <v>44406</v>
      </c>
    </row>
    <row r="111" spans="1:7" ht="15.75" customHeight="1" x14ac:dyDescent="0.3">
      <c r="A111" s="5" t="s">
        <v>575</v>
      </c>
      <c r="B111" s="5" t="s">
        <v>576</v>
      </c>
      <c r="C111" s="5" t="s">
        <v>577</v>
      </c>
      <c r="D111" s="5" t="s">
        <v>86</v>
      </c>
      <c r="E111" s="11">
        <v>24112</v>
      </c>
      <c r="F111" s="5" t="s">
        <v>578</v>
      </c>
      <c r="G111" s="11">
        <v>44926</v>
      </c>
    </row>
    <row r="112" spans="1:7" ht="15.75" customHeight="1" x14ac:dyDescent="0.3">
      <c r="A112" s="5" t="s">
        <v>579</v>
      </c>
      <c r="B112" s="5" t="s">
        <v>580</v>
      </c>
      <c r="C112" s="5" t="s">
        <v>581</v>
      </c>
      <c r="D112" s="5" t="s">
        <v>19</v>
      </c>
      <c r="E112" s="11">
        <v>34163</v>
      </c>
      <c r="F112" s="5" t="s">
        <v>582</v>
      </c>
      <c r="G112" s="11">
        <v>44573</v>
      </c>
    </row>
    <row r="113" spans="1:7" ht="15.75" customHeight="1" x14ac:dyDescent="0.3">
      <c r="A113" s="5" t="s">
        <v>583</v>
      </c>
      <c r="B113" s="5" t="s">
        <v>584</v>
      </c>
      <c r="C113" s="5" t="s">
        <v>187</v>
      </c>
      <c r="D113" s="5" t="s">
        <v>86</v>
      </c>
      <c r="E113" s="11">
        <v>30679</v>
      </c>
      <c r="F113" s="5" t="s">
        <v>585</v>
      </c>
      <c r="G113" s="11">
        <v>45006</v>
      </c>
    </row>
    <row r="114" spans="1:7" ht="15.75" customHeight="1" x14ac:dyDescent="0.3">
      <c r="A114" s="5" t="s">
        <v>586</v>
      </c>
      <c r="B114" s="5" t="s">
        <v>587</v>
      </c>
      <c r="C114" s="5" t="s">
        <v>588</v>
      </c>
      <c r="D114" s="5" t="s">
        <v>19</v>
      </c>
      <c r="E114" s="11">
        <v>28268</v>
      </c>
      <c r="F114" s="5" t="s">
        <v>589</v>
      </c>
      <c r="G114" s="11">
        <v>44926</v>
      </c>
    </row>
    <row r="115" spans="1:7" ht="15.75" customHeight="1" x14ac:dyDescent="0.3">
      <c r="A115" s="5" t="s">
        <v>590</v>
      </c>
      <c r="B115" s="5" t="s">
        <v>297</v>
      </c>
      <c r="C115" s="5" t="s">
        <v>591</v>
      </c>
      <c r="D115" s="5" t="s">
        <v>86</v>
      </c>
      <c r="E115" s="11">
        <v>29406</v>
      </c>
      <c r="F115" s="5" t="s">
        <v>592</v>
      </c>
      <c r="G115" s="11">
        <v>45892</v>
      </c>
    </row>
    <row r="116" spans="1:7" ht="15.75" customHeight="1" x14ac:dyDescent="0.3">
      <c r="A116" s="5" t="s">
        <v>593</v>
      </c>
      <c r="B116" s="5" t="s">
        <v>594</v>
      </c>
      <c r="C116" s="5" t="s">
        <v>187</v>
      </c>
      <c r="D116" s="5" t="s">
        <v>19</v>
      </c>
      <c r="E116" s="11">
        <v>21971</v>
      </c>
      <c r="F116" s="5" t="s">
        <v>596</v>
      </c>
      <c r="G116" s="11">
        <v>45242</v>
      </c>
    </row>
    <row r="117" spans="1:7" ht="15.75" customHeight="1" x14ac:dyDescent="0.3">
      <c r="A117" s="5" t="s">
        <v>597</v>
      </c>
      <c r="B117" s="5" t="s">
        <v>101</v>
      </c>
      <c r="C117" s="5" t="s">
        <v>598</v>
      </c>
      <c r="D117" s="5" t="s">
        <v>19</v>
      </c>
      <c r="E117" s="11">
        <v>20358</v>
      </c>
      <c r="F117" s="5" t="s">
        <v>599</v>
      </c>
      <c r="G117" s="11">
        <v>45869</v>
      </c>
    </row>
    <row r="118" spans="1:7" ht="15.75" customHeight="1" x14ac:dyDescent="0.3">
      <c r="A118" s="5" t="s">
        <v>600</v>
      </c>
      <c r="B118" s="5" t="s">
        <v>601</v>
      </c>
      <c r="C118" s="5" t="s">
        <v>278</v>
      </c>
      <c r="D118" s="5" t="s">
        <v>86</v>
      </c>
      <c r="E118" s="11">
        <v>32027</v>
      </c>
      <c r="F118" s="5" t="s">
        <v>603</v>
      </c>
      <c r="G118" s="11">
        <v>44913</v>
      </c>
    </row>
    <row r="119" spans="1:7" ht="15.75" customHeight="1" x14ac:dyDescent="0.3">
      <c r="A119" s="5" t="s">
        <v>604</v>
      </c>
      <c r="B119" s="5" t="s">
        <v>605</v>
      </c>
      <c r="C119" s="5" t="s">
        <v>606</v>
      </c>
      <c r="D119" s="5" t="s">
        <v>19</v>
      </c>
      <c r="E119" s="11">
        <v>27633</v>
      </c>
      <c r="F119" s="5" t="s">
        <v>607</v>
      </c>
      <c r="G119" s="11">
        <v>45850</v>
      </c>
    </row>
    <row r="120" spans="1:7" ht="15.75" customHeight="1" x14ac:dyDescent="0.3">
      <c r="A120" s="5" t="s">
        <v>608</v>
      </c>
      <c r="B120" s="5" t="s">
        <v>413</v>
      </c>
      <c r="C120" s="5" t="s">
        <v>609</v>
      </c>
      <c r="D120" s="5" t="s">
        <v>19</v>
      </c>
      <c r="E120" s="11">
        <v>33450</v>
      </c>
      <c r="F120" s="5" t="s">
        <v>610</v>
      </c>
      <c r="G120" s="11">
        <v>45747</v>
      </c>
    </row>
    <row r="121" spans="1:7" ht="15.75" customHeight="1" x14ac:dyDescent="0.3">
      <c r="A121" s="5" t="s">
        <v>611</v>
      </c>
      <c r="B121" s="5" t="s">
        <v>612</v>
      </c>
      <c r="C121" s="5" t="s">
        <v>613</v>
      </c>
      <c r="D121" s="5" t="s">
        <v>86</v>
      </c>
      <c r="E121" s="11">
        <v>23386</v>
      </c>
      <c r="F121" s="5" t="s">
        <v>614</v>
      </c>
      <c r="G121" s="11">
        <v>44122</v>
      </c>
    </row>
    <row r="122" spans="1:7" ht="15.75" customHeight="1" x14ac:dyDescent="0.3">
      <c r="A122" s="5" t="s">
        <v>615</v>
      </c>
      <c r="B122" s="5" t="s">
        <v>186</v>
      </c>
      <c r="C122" s="5" t="s">
        <v>616</v>
      </c>
      <c r="D122" s="5" t="s">
        <v>19</v>
      </c>
      <c r="E122" s="11">
        <v>24531</v>
      </c>
      <c r="F122" s="5" t="s">
        <v>617</v>
      </c>
      <c r="G122" s="11">
        <v>44480</v>
      </c>
    </row>
    <row r="123" spans="1:7" ht="15.75" customHeight="1" x14ac:dyDescent="0.3">
      <c r="A123" s="5" t="s">
        <v>618</v>
      </c>
      <c r="B123" s="5" t="s">
        <v>475</v>
      </c>
      <c r="C123" s="5" t="s">
        <v>187</v>
      </c>
      <c r="D123" s="5" t="s">
        <v>19</v>
      </c>
      <c r="E123" s="11">
        <v>22556</v>
      </c>
      <c r="F123" s="5" t="s">
        <v>619</v>
      </c>
      <c r="G123" s="11">
        <v>45467</v>
      </c>
    </row>
    <row r="124" spans="1:7" ht="15.75" customHeight="1" x14ac:dyDescent="0.3">
      <c r="A124" s="5" t="s">
        <v>620</v>
      </c>
      <c r="B124" s="5" t="s">
        <v>621</v>
      </c>
      <c r="C124" s="5" t="s">
        <v>622</v>
      </c>
      <c r="D124" s="5" t="s">
        <v>86</v>
      </c>
      <c r="E124" s="11">
        <v>32818</v>
      </c>
      <c r="F124" s="5" t="s">
        <v>623</v>
      </c>
      <c r="G124" s="11">
        <v>44718</v>
      </c>
    </row>
    <row r="125" spans="1:7" ht="15.75" customHeight="1" x14ac:dyDescent="0.3">
      <c r="A125" s="5" t="s">
        <v>624</v>
      </c>
      <c r="B125" s="5" t="s">
        <v>625</v>
      </c>
      <c r="C125" s="5" t="s">
        <v>626</v>
      </c>
      <c r="D125" s="5" t="s">
        <v>86</v>
      </c>
      <c r="E125" s="11">
        <v>22804</v>
      </c>
      <c r="F125" s="5" t="s">
        <v>627</v>
      </c>
      <c r="G125" s="11">
        <v>44237</v>
      </c>
    </row>
    <row r="126" spans="1:7" ht="15.75" customHeight="1" x14ac:dyDescent="0.3">
      <c r="A126" s="5" t="s">
        <v>628</v>
      </c>
      <c r="B126" s="5" t="s">
        <v>288</v>
      </c>
      <c r="C126" s="5" t="s">
        <v>327</v>
      </c>
      <c r="D126" s="5" t="s">
        <v>19</v>
      </c>
      <c r="E126" s="11">
        <v>32966</v>
      </c>
      <c r="F126" s="5" t="s">
        <v>630</v>
      </c>
      <c r="G126" s="11">
        <v>44269</v>
      </c>
    </row>
    <row r="127" spans="1:7" ht="15.75" customHeight="1" x14ac:dyDescent="0.3">
      <c r="A127" s="5" t="s">
        <v>631</v>
      </c>
      <c r="B127" s="5" t="s">
        <v>632</v>
      </c>
      <c r="C127" s="5" t="s">
        <v>173</v>
      </c>
      <c r="D127" s="5" t="s">
        <v>19</v>
      </c>
      <c r="E127" s="11">
        <v>29315</v>
      </c>
      <c r="F127" s="5" t="s">
        <v>633</v>
      </c>
      <c r="G127" s="11">
        <v>45654</v>
      </c>
    </row>
    <row r="128" spans="1:7" ht="15.75" customHeight="1" x14ac:dyDescent="0.3">
      <c r="A128" s="5" t="s">
        <v>634</v>
      </c>
      <c r="B128" s="5" t="s">
        <v>186</v>
      </c>
      <c r="C128" s="5" t="s">
        <v>324</v>
      </c>
      <c r="D128" s="5" t="s">
        <v>86</v>
      </c>
      <c r="E128" s="11">
        <v>30272</v>
      </c>
      <c r="F128" s="5" t="s">
        <v>636</v>
      </c>
      <c r="G128" s="11">
        <v>44218</v>
      </c>
    </row>
    <row r="129" spans="1:7" ht="15.75" customHeight="1" x14ac:dyDescent="0.3">
      <c r="A129" s="5" t="s">
        <v>638</v>
      </c>
      <c r="B129" s="5" t="s">
        <v>156</v>
      </c>
      <c r="C129" s="5" t="s">
        <v>639</v>
      </c>
      <c r="D129" s="5" t="s">
        <v>86</v>
      </c>
      <c r="E129" s="11">
        <v>27978</v>
      </c>
      <c r="F129" s="5" t="s">
        <v>640</v>
      </c>
      <c r="G129" s="11">
        <v>45697</v>
      </c>
    </row>
    <row r="130" spans="1:7" ht="15.75" customHeight="1" x14ac:dyDescent="0.3">
      <c r="A130" s="5" t="s">
        <v>641</v>
      </c>
      <c r="B130" s="5" t="s">
        <v>642</v>
      </c>
      <c r="C130" s="5" t="s">
        <v>643</v>
      </c>
      <c r="D130" s="5" t="s">
        <v>19</v>
      </c>
      <c r="E130" s="11">
        <v>21466</v>
      </c>
      <c r="F130" s="5" t="s">
        <v>644</v>
      </c>
      <c r="G130" s="11">
        <v>45636</v>
      </c>
    </row>
    <row r="131" spans="1:7" ht="15.75" customHeight="1" x14ac:dyDescent="0.3">
      <c r="A131" s="5" t="s">
        <v>645</v>
      </c>
      <c r="B131" s="5" t="s">
        <v>646</v>
      </c>
      <c r="C131" s="5" t="s">
        <v>647</v>
      </c>
      <c r="D131" s="5" t="s">
        <v>19</v>
      </c>
      <c r="E131" s="11">
        <v>29985</v>
      </c>
      <c r="F131" s="5" t="s">
        <v>648</v>
      </c>
      <c r="G131" s="11">
        <v>45488</v>
      </c>
    </row>
    <row r="132" spans="1:7" ht="15.75" customHeight="1" x14ac:dyDescent="0.3">
      <c r="A132" s="5" t="s">
        <v>649</v>
      </c>
      <c r="B132" s="5" t="s">
        <v>434</v>
      </c>
      <c r="C132" s="5" t="s">
        <v>650</v>
      </c>
      <c r="D132" s="5" t="s">
        <v>19</v>
      </c>
      <c r="E132" s="11">
        <v>35356</v>
      </c>
      <c r="F132" s="5" t="s">
        <v>651</v>
      </c>
      <c r="G132" s="11">
        <v>44915</v>
      </c>
    </row>
    <row r="133" spans="1:7" ht="15.75" customHeight="1" x14ac:dyDescent="0.3">
      <c r="A133" s="5" t="s">
        <v>652</v>
      </c>
      <c r="B133" s="5" t="s">
        <v>653</v>
      </c>
      <c r="C133" s="5" t="s">
        <v>654</v>
      </c>
      <c r="D133" s="5" t="s">
        <v>19</v>
      </c>
      <c r="E133" s="11">
        <v>21543</v>
      </c>
      <c r="F133" s="5" t="s">
        <v>656</v>
      </c>
      <c r="G133" s="11">
        <v>45035</v>
      </c>
    </row>
    <row r="134" spans="1:7" ht="15.75" customHeight="1" x14ac:dyDescent="0.3">
      <c r="A134" s="5" t="s">
        <v>657</v>
      </c>
      <c r="B134" s="5" t="s">
        <v>658</v>
      </c>
      <c r="C134" s="5" t="s">
        <v>659</v>
      </c>
      <c r="D134" s="5" t="s">
        <v>19</v>
      </c>
      <c r="E134" s="11">
        <v>22750</v>
      </c>
      <c r="F134" s="5" t="s">
        <v>660</v>
      </c>
      <c r="G134" s="11">
        <v>45831</v>
      </c>
    </row>
    <row r="135" spans="1:7" ht="15.75" customHeight="1" x14ac:dyDescent="0.3">
      <c r="A135" s="5" t="s">
        <v>661</v>
      </c>
      <c r="B135" s="5" t="s">
        <v>663</v>
      </c>
      <c r="C135" s="5" t="s">
        <v>541</v>
      </c>
      <c r="D135" s="5" t="s">
        <v>86</v>
      </c>
      <c r="E135" s="11">
        <v>31076</v>
      </c>
      <c r="F135" s="5" t="s">
        <v>664</v>
      </c>
      <c r="G135" s="11">
        <v>45799</v>
      </c>
    </row>
    <row r="136" spans="1:7" ht="15.75" customHeight="1" x14ac:dyDescent="0.3">
      <c r="A136" s="5" t="s">
        <v>665</v>
      </c>
      <c r="B136" s="5" t="s">
        <v>666</v>
      </c>
      <c r="C136" s="5" t="s">
        <v>667</v>
      </c>
      <c r="D136" s="5" t="s">
        <v>19</v>
      </c>
      <c r="E136" s="11">
        <v>31478</v>
      </c>
      <c r="F136" s="5" t="s">
        <v>668</v>
      </c>
      <c r="G136" s="11">
        <v>45172</v>
      </c>
    </row>
    <row r="137" spans="1:7" ht="15.75" customHeight="1" x14ac:dyDescent="0.3">
      <c r="A137" s="5" t="s">
        <v>669</v>
      </c>
      <c r="B137" s="5" t="s">
        <v>406</v>
      </c>
      <c r="C137" s="5" t="s">
        <v>468</v>
      </c>
      <c r="D137" s="5" t="s">
        <v>19</v>
      </c>
      <c r="E137" s="11">
        <v>39260</v>
      </c>
      <c r="F137" s="5" t="s">
        <v>670</v>
      </c>
      <c r="G137" s="11">
        <v>45038</v>
      </c>
    </row>
    <row r="138" spans="1:7" ht="15.75" customHeight="1" x14ac:dyDescent="0.3">
      <c r="A138" s="5" t="s">
        <v>671</v>
      </c>
      <c r="B138" s="5" t="s">
        <v>642</v>
      </c>
      <c r="C138" s="5" t="s">
        <v>672</v>
      </c>
      <c r="D138" s="5" t="s">
        <v>19</v>
      </c>
      <c r="E138" s="11">
        <v>30899</v>
      </c>
      <c r="F138" s="5" t="s">
        <v>673</v>
      </c>
      <c r="G138" s="11">
        <v>45421</v>
      </c>
    </row>
    <row r="139" spans="1:7" ht="15.75" customHeight="1" x14ac:dyDescent="0.3">
      <c r="A139" s="5" t="s">
        <v>674</v>
      </c>
      <c r="B139" s="5" t="s">
        <v>182</v>
      </c>
      <c r="C139" s="5" t="s">
        <v>108</v>
      </c>
      <c r="D139" s="5" t="s">
        <v>86</v>
      </c>
      <c r="E139" s="11">
        <v>22552</v>
      </c>
      <c r="F139" s="5" t="s">
        <v>675</v>
      </c>
      <c r="G139" s="11">
        <v>44326</v>
      </c>
    </row>
    <row r="140" spans="1:7" ht="15.75" customHeight="1" x14ac:dyDescent="0.3">
      <c r="A140" s="5" t="s">
        <v>676</v>
      </c>
      <c r="B140" s="5" t="s">
        <v>677</v>
      </c>
      <c r="C140" s="5" t="s">
        <v>678</v>
      </c>
      <c r="D140" s="5" t="s">
        <v>19</v>
      </c>
      <c r="E140" s="11">
        <v>21996</v>
      </c>
      <c r="F140" s="5" t="s">
        <v>679</v>
      </c>
      <c r="G140" s="11">
        <v>44455</v>
      </c>
    </row>
    <row r="141" spans="1:7" ht="15.75" customHeight="1" x14ac:dyDescent="0.3">
      <c r="A141" s="5" t="s">
        <v>680</v>
      </c>
      <c r="B141" s="5" t="s">
        <v>681</v>
      </c>
      <c r="C141" s="5" t="s">
        <v>125</v>
      </c>
      <c r="D141" s="5" t="s">
        <v>86</v>
      </c>
      <c r="E141" s="11">
        <v>26827</v>
      </c>
      <c r="F141" s="5" t="s">
        <v>682</v>
      </c>
      <c r="G141" s="11">
        <v>45532</v>
      </c>
    </row>
    <row r="142" spans="1:7" ht="15.75" customHeight="1" x14ac:dyDescent="0.3">
      <c r="A142" s="5" t="s">
        <v>683</v>
      </c>
      <c r="B142" s="5" t="s">
        <v>684</v>
      </c>
      <c r="C142" s="5" t="s">
        <v>685</v>
      </c>
      <c r="D142" s="5" t="s">
        <v>86</v>
      </c>
      <c r="E142" s="11">
        <v>28708</v>
      </c>
      <c r="F142" s="5" t="s">
        <v>686</v>
      </c>
      <c r="G142" s="11">
        <v>45298</v>
      </c>
    </row>
    <row r="143" spans="1:7" ht="15.75" customHeight="1" x14ac:dyDescent="0.3">
      <c r="A143" s="5" t="s">
        <v>635</v>
      </c>
      <c r="B143" s="5" t="s">
        <v>688</v>
      </c>
      <c r="C143" s="5" t="s">
        <v>689</v>
      </c>
      <c r="D143" s="5" t="s">
        <v>19</v>
      </c>
      <c r="E143" s="11">
        <v>38558</v>
      </c>
      <c r="F143" s="5" t="s">
        <v>690</v>
      </c>
      <c r="G143" s="11">
        <v>44192</v>
      </c>
    </row>
    <row r="144" spans="1:7" ht="15.75" customHeight="1" x14ac:dyDescent="0.3">
      <c r="A144" s="5" t="s">
        <v>691</v>
      </c>
      <c r="B144" s="5" t="s">
        <v>692</v>
      </c>
      <c r="C144" s="5" t="s">
        <v>693</v>
      </c>
      <c r="D144" s="5" t="s">
        <v>19</v>
      </c>
      <c r="E144" s="11">
        <v>22435</v>
      </c>
      <c r="F144" s="5" t="s">
        <v>694</v>
      </c>
      <c r="G144" s="11">
        <v>45087</v>
      </c>
    </row>
    <row r="145" spans="1:7" ht="15.75" customHeight="1" x14ac:dyDescent="0.3">
      <c r="A145" s="5" t="s">
        <v>695</v>
      </c>
      <c r="B145" s="5" t="s">
        <v>696</v>
      </c>
      <c r="C145" s="5" t="s">
        <v>173</v>
      </c>
      <c r="D145" s="5" t="s">
        <v>86</v>
      </c>
      <c r="E145" s="11">
        <v>23256</v>
      </c>
      <c r="F145" s="5" t="s">
        <v>698</v>
      </c>
      <c r="G145" s="11">
        <v>44258</v>
      </c>
    </row>
    <row r="146" spans="1:7" ht="15.75" customHeight="1" x14ac:dyDescent="0.3">
      <c r="A146" s="5" t="s">
        <v>699</v>
      </c>
      <c r="B146" s="5" t="s">
        <v>700</v>
      </c>
      <c r="C146" s="5" t="s">
        <v>701</v>
      </c>
      <c r="D146" s="5" t="s">
        <v>86</v>
      </c>
      <c r="E146" s="11">
        <v>21861</v>
      </c>
      <c r="F146" s="5" t="s">
        <v>702</v>
      </c>
      <c r="G146" s="11">
        <v>44427</v>
      </c>
    </row>
    <row r="147" spans="1:7" ht="15.75" customHeight="1" x14ac:dyDescent="0.3">
      <c r="A147" s="5" t="s">
        <v>703</v>
      </c>
      <c r="B147" s="5" t="s">
        <v>186</v>
      </c>
      <c r="C147" s="5" t="s">
        <v>173</v>
      </c>
      <c r="D147" s="5" t="s">
        <v>86</v>
      </c>
      <c r="E147" s="11">
        <v>35515</v>
      </c>
      <c r="F147" s="5" t="s">
        <v>704</v>
      </c>
      <c r="G147" s="11">
        <v>44804</v>
      </c>
    </row>
    <row r="148" spans="1:7" ht="15.75" customHeight="1" x14ac:dyDescent="0.3">
      <c r="A148" s="5" t="s">
        <v>705</v>
      </c>
      <c r="B148" s="5" t="s">
        <v>366</v>
      </c>
      <c r="C148" s="5" t="s">
        <v>706</v>
      </c>
      <c r="D148" s="5" t="s">
        <v>86</v>
      </c>
      <c r="E148" s="11">
        <v>24506</v>
      </c>
      <c r="F148" s="5" t="s">
        <v>707</v>
      </c>
      <c r="G148" s="11">
        <v>45066</v>
      </c>
    </row>
    <row r="149" spans="1:7" ht="15.75" customHeight="1" x14ac:dyDescent="0.3">
      <c r="A149" s="5" t="s">
        <v>708</v>
      </c>
      <c r="B149" s="5" t="s">
        <v>186</v>
      </c>
      <c r="C149" s="5" t="s">
        <v>709</v>
      </c>
      <c r="D149" s="5" t="s">
        <v>86</v>
      </c>
      <c r="E149" s="11">
        <v>38541</v>
      </c>
      <c r="F149" s="5" t="s">
        <v>710</v>
      </c>
      <c r="G149" s="11">
        <v>45601</v>
      </c>
    </row>
    <row r="150" spans="1:7" ht="15.75" customHeight="1" x14ac:dyDescent="0.3">
      <c r="A150" s="5" t="s">
        <v>711</v>
      </c>
      <c r="B150" s="5" t="s">
        <v>313</v>
      </c>
      <c r="C150" s="5" t="s">
        <v>712</v>
      </c>
      <c r="D150" s="5" t="s">
        <v>19</v>
      </c>
      <c r="E150" s="11">
        <v>28514</v>
      </c>
      <c r="F150" s="5" t="s">
        <v>714</v>
      </c>
      <c r="G150" s="11">
        <v>45779</v>
      </c>
    </row>
    <row r="151" spans="1:7" ht="15.75" customHeight="1" x14ac:dyDescent="0.3">
      <c r="A151" s="5" t="s">
        <v>715</v>
      </c>
      <c r="B151" s="5" t="s">
        <v>716</v>
      </c>
      <c r="C151" s="5" t="s">
        <v>359</v>
      </c>
      <c r="D151" s="5" t="s">
        <v>19</v>
      </c>
      <c r="E151" s="11">
        <v>26101</v>
      </c>
      <c r="F151" s="5" t="s">
        <v>717</v>
      </c>
      <c r="G151" s="11">
        <v>44841</v>
      </c>
    </row>
    <row r="152" spans="1:7" ht="15.75" customHeight="1" x14ac:dyDescent="0.3">
      <c r="A152" s="5" t="s">
        <v>718</v>
      </c>
      <c r="B152" s="5" t="s">
        <v>719</v>
      </c>
      <c r="C152" s="5" t="s">
        <v>720</v>
      </c>
      <c r="D152" s="5" t="s">
        <v>19</v>
      </c>
      <c r="E152" s="11">
        <v>38959</v>
      </c>
      <c r="F152" s="5" t="s">
        <v>721</v>
      </c>
      <c r="G152" s="11">
        <v>44587</v>
      </c>
    </row>
    <row r="153" spans="1:7" ht="15.75" customHeight="1" x14ac:dyDescent="0.3">
      <c r="A153" s="5" t="s">
        <v>722</v>
      </c>
      <c r="B153" s="5" t="s">
        <v>160</v>
      </c>
      <c r="C153" s="5" t="s">
        <v>161</v>
      </c>
      <c r="D153" s="5" t="s">
        <v>19</v>
      </c>
      <c r="E153" s="11">
        <v>31945</v>
      </c>
      <c r="F153" s="5" t="s">
        <v>723</v>
      </c>
      <c r="G153" s="11">
        <v>44261</v>
      </c>
    </row>
    <row r="154" spans="1:7" ht="15.75" customHeight="1" x14ac:dyDescent="0.3">
      <c r="A154" s="5" t="s">
        <v>724</v>
      </c>
      <c r="B154" s="5" t="s">
        <v>305</v>
      </c>
      <c r="C154" s="5" t="s">
        <v>725</v>
      </c>
      <c r="D154" s="5" t="s">
        <v>86</v>
      </c>
      <c r="E154" s="11">
        <v>32240</v>
      </c>
      <c r="F154" s="5" t="s">
        <v>726</v>
      </c>
      <c r="G154" s="11">
        <v>44962</v>
      </c>
    </row>
    <row r="155" spans="1:7" ht="15.75" customHeight="1" x14ac:dyDescent="0.3">
      <c r="A155" s="5" t="s">
        <v>727</v>
      </c>
      <c r="B155" s="5" t="s">
        <v>533</v>
      </c>
      <c r="C155" s="5" t="s">
        <v>211</v>
      </c>
      <c r="D155" s="5" t="s">
        <v>19</v>
      </c>
      <c r="E155" s="11">
        <v>26178</v>
      </c>
      <c r="F155" s="5" t="s">
        <v>728</v>
      </c>
      <c r="G155" s="11">
        <v>45251</v>
      </c>
    </row>
    <row r="156" spans="1:7" ht="15.75" customHeight="1" x14ac:dyDescent="0.3">
      <c r="A156" s="5" t="s">
        <v>729</v>
      </c>
      <c r="B156" s="5" t="s">
        <v>730</v>
      </c>
      <c r="C156" s="5" t="s">
        <v>731</v>
      </c>
      <c r="D156" s="5" t="s">
        <v>19</v>
      </c>
      <c r="E156" s="11">
        <v>24005</v>
      </c>
      <c r="F156" s="5" t="s">
        <v>732</v>
      </c>
      <c r="G156" s="11">
        <v>45374</v>
      </c>
    </row>
    <row r="157" spans="1:7" ht="15.75" customHeight="1" x14ac:dyDescent="0.3">
      <c r="A157" s="5" t="s">
        <v>733</v>
      </c>
      <c r="B157" s="5" t="s">
        <v>734</v>
      </c>
      <c r="C157" s="5" t="s">
        <v>460</v>
      </c>
      <c r="D157" s="5" t="s">
        <v>19</v>
      </c>
      <c r="E157" s="11">
        <v>20787</v>
      </c>
      <c r="F157" s="5" t="s">
        <v>735</v>
      </c>
      <c r="G157" s="11">
        <v>45295</v>
      </c>
    </row>
    <row r="158" spans="1:7" ht="15.75" customHeight="1" x14ac:dyDescent="0.3">
      <c r="A158" s="5" t="s">
        <v>736</v>
      </c>
      <c r="B158" s="5" t="s">
        <v>737</v>
      </c>
      <c r="C158" s="5" t="s">
        <v>738</v>
      </c>
      <c r="D158" s="5" t="s">
        <v>19</v>
      </c>
      <c r="E158" s="11">
        <v>24092</v>
      </c>
      <c r="F158" s="5" t="s">
        <v>739</v>
      </c>
      <c r="G158" s="11">
        <v>44917</v>
      </c>
    </row>
    <row r="159" spans="1:7" ht="15.75" customHeight="1" x14ac:dyDescent="0.3">
      <c r="A159" s="5" t="s">
        <v>740</v>
      </c>
      <c r="B159" s="5" t="s">
        <v>366</v>
      </c>
      <c r="C159" s="5" t="s">
        <v>741</v>
      </c>
      <c r="D159" s="5" t="s">
        <v>19</v>
      </c>
      <c r="E159" s="11">
        <v>29791</v>
      </c>
      <c r="F159" s="5" t="s">
        <v>742</v>
      </c>
      <c r="G159" s="11">
        <v>45184</v>
      </c>
    </row>
    <row r="160" spans="1:7" ht="15.75" customHeight="1" x14ac:dyDescent="0.3">
      <c r="A160" s="5" t="s">
        <v>744</v>
      </c>
      <c r="B160" s="5" t="s">
        <v>745</v>
      </c>
      <c r="C160" s="5" t="s">
        <v>746</v>
      </c>
      <c r="D160" s="5" t="s">
        <v>19</v>
      </c>
      <c r="E160" s="11">
        <v>33160</v>
      </c>
      <c r="F160" s="5" t="s">
        <v>747</v>
      </c>
      <c r="G160" s="11">
        <v>44587</v>
      </c>
    </row>
    <row r="161" spans="1:7" ht="15.75" customHeight="1" x14ac:dyDescent="0.3">
      <c r="A161" s="5" t="s">
        <v>402</v>
      </c>
      <c r="B161" s="5" t="s">
        <v>748</v>
      </c>
      <c r="C161" s="5" t="s">
        <v>231</v>
      </c>
      <c r="D161" s="5" t="s">
        <v>19</v>
      </c>
      <c r="E161" s="11">
        <v>33491</v>
      </c>
      <c r="F161" s="5" t="s">
        <v>749</v>
      </c>
      <c r="G161" s="11">
        <v>44496</v>
      </c>
    </row>
    <row r="162" spans="1:7" ht="15.75" customHeight="1" x14ac:dyDescent="0.3">
      <c r="A162" s="5" t="s">
        <v>750</v>
      </c>
      <c r="B162" s="5" t="s">
        <v>17</v>
      </c>
      <c r="C162" s="5" t="s">
        <v>548</v>
      </c>
      <c r="D162" s="5" t="s">
        <v>19</v>
      </c>
      <c r="E162" s="11">
        <v>23030</v>
      </c>
      <c r="F162" s="5" t="s">
        <v>751</v>
      </c>
      <c r="G162" s="11">
        <v>44957</v>
      </c>
    </row>
    <row r="163" spans="1:7" ht="15.75" customHeight="1" x14ac:dyDescent="0.3">
      <c r="A163" s="5" t="s">
        <v>752</v>
      </c>
      <c r="B163" s="5" t="s">
        <v>730</v>
      </c>
      <c r="C163" s="5" t="s">
        <v>753</v>
      </c>
      <c r="D163" s="5" t="s">
        <v>19</v>
      </c>
      <c r="E163" s="11">
        <v>36768</v>
      </c>
      <c r="F163" s="5" t="s">
        <v>754</v>
      </c>
      <c r="G163" s="11">
        <v>44715</v>
      </c>
    </row>
    <row r="164" spans="1:7" ht="15.75" customHeight="1" x14ac:dyDescent="0.3">
      <c r="A164" s="5" t="s">
        <v>755</v>
      </c>
      <c r="B164" s="5" t="s">
        <v>114</v>
      </c>
      <c r="C164" s="5" t="s">
        <v>756</v>
      </c>
      <c r="D164" s="5" t="s">
        <v>86</v>
      </c>
      <c r="E164" s="11">
        <v>31328</v>
      </c>
      <c r="F164" s="5" t="s">
        <v>757</v>
      </c>
      <c r="G164" s="11">
        <v>45889</v>
      </c>
    </row>
    <row r="165" spans="1:7" ht="15.75" customHeight="1" x14ac:dyDescent="0.3">
      <c r="A165" s="5" t="s">
        <v>758</v>
      </c>
      <c r="B165" s="5" t="s">
        <v>759</v>
      </c>
      <c r="C165" s="5" t="s">
        <v>760</v>
      </c>
      <c r="D165" s="5" t="s">
        <v>19</v>
      </c>
      <c r="E165" s="11">
        <v>25047</v>
      </c>
      <c r="F165" s="5" t="s">
        <v>761</v>
      </c>
      <c r="G165" s="11">
        <v>44186</v>
      </c>
    </row>
    <row r="166" spans="1:7" ht="15.75" customHeight="1" x14ac:dyDescent="0.3">
      <c r="A166" s="5" t="s">
        <v>762</v>
      </c>
      <c r="B166" s="5" t="s">
        <v>763</v>
      </c>
      <c r="C166" s="5" t="s">
        <v>764</v>
      </c>
      <c r="D166" s="5" t="s">
        <v>19</v>
      </c>
      <c r="E166" s="11">
        <v>26659</v>
      </c>
      <c r="F166" s="5" t="s">
        <v>765</v>
      </c>
      <c r="G166" s="11">
        <v>45265</v>
      </c>
    </row>
    <row r="167" spans="1:7" ht="15.75" customHeight="1" x14ac:dyDescent="0.3">
      <c r="A167" s="5" t="s">
        <v>766</v>
      </c>
      <c r="B167" s="5" t="s">
        <v>748</v>
      </c>
      <c r="C167" s="5" t="s">
        <v>767</v>
      </c>
      <c r="D167" s="5" t="s">
        <v>86</v>
      </c>
      <c r="E167" s="11">
        <v>37024</v>
      </c>
      <c r="F167" s="5" t="s">
        <v>768</v>
      </c>
      <c r="G167" s="11">
        <v>45117</v>
      </c>
    </row>
    <row r="168" spans="1:7" ht="15.75" customHeight="1" x14ac:dyDescent="0.3">
      <c r="A168" s="5" t="s">
        <v>770</v>
      </c>
      <c r="B168" s="5" t="s">
        <v>288</v>
      </c>
      <c r="C168" s="5" t="s">
        <v>771</v>
      </c>
      <c r="D168" s="5" t="s">
        <v>86</v>
      </c>
      <c r="E168" s="11">
        <v>32848</v>
      </c>
      <c r="F168" s="5" t="s">
        <v>772</v>
      </c>
      <c r="G168" s="11">
        <v>44709</v>
      </c>
    </row>
    <row r="169" spans="1:7" ht="15.75" customHeight="1" x14ac:dyDescent="0.3">
      <c r="A169" s="5" t="s">
        <v>774</v>
      </c>
      <c r="B169" s="5" t="s">
        <v>131</v>
      </c>
      <c r="C169" s="5" t="s">
        <v>537</v>
      </c>
      <c r="D169" s="5" t="s">
        <v>19</v>
      </c>
      <c r="E169" s="11">
        <v>25414</v>
      </c>
      <c r="F169" s="5" t="s">
        <v>775</v>
      </c>
      <c r="G169" s="11">
        <v>44835</v>
      </c>
    </row>
    <row r="170" spans="1:7" ht="15.75" customHeight="1" x14ac:dyDescent="0.3">
      <c r="A170" s="5" t="s">
        <v>773</v>
      </c>
      <c r="B170" s="5" t="s">
        <v>576</v>
      </c>
      <c r="C170" s="5" t="s">
        <v>777</v>
      </c>
      <c r="D170" s="5" t="s">
        <v>19</v>
      </c>
      <c r="E170" s="11">
        <v>24638</v>
      </c>
      <c r="F170" s="5" t="s">
        <v>778</v>
      </c>
      <c r="G170" s="11">
        <v>44553</v>
      </c>
    </row>
    <row r="171" spans="1:7" ht="15.75" customHeight="1" x14ac:dyDescent="0.3">
      <c r="A171" s="5" t="s">
        <v>779</v>
      </c>
      <c r="B171" s="5" t="s">
        <v>780</v>
      </c>
      <c r="C171" s="5" t="s">
        <v>781</v>
      </c>
      <c r="D171" s="5" t="s">
        <v>86</v>
      </c>
      <c r="E171" s="11">
        <v>30807</v>
      </c>
      <c r="F171" s="5" t="s">
        <v>782</v>
      </c>
      <c r="G171" s="11">
        <v>45889</v>
      </c>
    </row>
    <row r="172" spans="1:7" ht="15.75" customHeight="1" x14ac:dyDescent="0.3">
      <c r="A172" s="5" t="s">
        <v>602</v>
      </c>
      <c r="B172" s="5" t="s">
        <v>783</v>
      </c>
      <c r="C172" s="5" t="s">
        <v>784</v>
      </c>
      <c r="D172" s="5" t="s">
        <v>19</v>
      </c>
      <c r="E172" s="11">
        <v>34043</v>
      </c>
      <c r="F172" s="5" t="s">
        <v>785</v>
      </c>
      <c r="G172" s="11">
        <v>45866</v>
      </c>
    </row>
    <row r="173" spans="1:7" ht="15.75" customHeight="1" x14ac:dyDescent="0.3">
      <c r="A173" s="5" t="s">
        <v>786</v>
      </c>
      <c r="B173" s="5" t="s">
        <v>787</v>
      </c>
      <c r="C173" s="5" t="s">
        <v>187</v>
      </c>
      <c r="D173" s="5" t="s">
        <v>86</v>
      </c>
      <c r="E173" s="11">
        <v>28198</v>
      </c>
      <c r="F173" s="5" t="s">
        <v>788</v>
      </c>
      <c r="G173" s="11">
        <v>45829</v>
      </c>
    </row>
    <row r="174" spans="1:7" ht="15.75" customHeight="1" x14ac:dyDescent="0.3">
      <c r="A174" s="5" t="s">
        <v>789</v>
      </c>
      <c r="B174" s="5" t="s">
        <v>533</v>
      </c>
      <c r="C174" s="5" t="s">
        <v>790</v>
      </c>
      <c r="D174" s="5" t="s">
        <v>86</v>
      </c>
      <c r="E174" s="11">
        <v>21425</v>
      </c>
      <c r="F174" s="5" t="s">
        <v>791</v>
      </c>
      <c r="G174" s="11">
        <v>45891</v>
      </c>
    </row>
    <row r="175" spans="1:7" ht="15.75" customHeight="1" x14ac:dyDescent="0.3">
      <c r="A175" s="5" t="s">
        <v>662</v>
      </c>
      <c r="B175" s="5" t="s">
        <v>309</v>
      </c>
      <c r="C175" s="5" t="s">
        <v>792</v>
      </c>
      <c r="D175" s="5" t="s">
        <v>19</v>
      </c>
      <c r="E175" s="11">
        <v>38540</v>
      </c>
      <c r="F175" s="5" t="s">
        <v>794</v>
      </c>
      <c r="G175" s="11">
        <v>45897</v>
      </c>
    </row>
    <row r="176" spans="1:7" ht="15.75" customHeight="1" x14ac:dyDescent="0.3">
      <c r="A176" s="5" t="s">
        <v>795</v>
      </c>
      <c r="B176" s="5" t="s">
        <v>796</v>
      </c>
      <c r="C176" s="5" t="s">
        <v>797</v>
      </c>
      <c r="D176" s="5" t="s">
        <v>19</v>
      </c>
      <c r="E176" s="11">
        <v>35802</v>
      </c>
      <c r="F176" s="5" t="s">
        <v>798</v>
      </c>
      <c r="G176" s="11">
        <v>44252</v>
      </c>
    </row>
    <row r="177" spans="1:7" ht="15.75" customHeight="1" x14ac:dyDescent="0.3">
      <c r="A177" s="5" t="s">
        <v>800</v>
      </c>
      <c r="B177" s="5" t="s">
        <v>621</v>
      </c>
      <c r="C177" s="5" t="s">
        <v>468</v>
      </c>
      <c r="D177" s="5" t="s">
        <v>19</v>
      </c>
      <c r="E177" s="11">
        <v>29135</v>
      </c>
      <c r="F177" s="5" t="s">
        <v>801</v>
      </c>
      <c r="G177" s="11">
        <v>44399</v>
      </c>
    </row>
    <row r="178" spans="1:7" ht="15.75" customHeight="1" x14ac:dyDescent="0.3">
      <c r="A178" s="5" t="s">
        <v>802</v>
      </c>
      <c r="B178" s="5" t="s">
        <v>390</v>
      </c>
      <c r="C178" s="5" t="s">
        <v>803</v>
      </c>
      <c r="D178" s="5" t="s">
        <v>86</v>
      </c>
      <c r="E178" s="11">
        <v>31052</v>
      </c>
      <c r="F178" s="5" t="s">
        <v>804</v>
      </c>
      <c r="G178" s="11">
        <v>44584</v>
      </c>
    </row>
    <row r="179" spans="1:7" ht="15.75" customHeight="1" x14ac:dyDescent="0.3">
      <c r="A179" s="5" t="s">
        <v>805</v>
      </c>
      <c r="B179" s="5" t="s">
        <v>210</v>
      </c>
      <c r="C179" s="5" t="s">
        <v>806</v>
      </c>
      <c r="D179" s="5" t="s">
        <v>86</v>
      </c>
      <c r="E179" s="11">
        <v>22255</v>
      </c>
      <c r="F179" s="5" t="s">
        <v>807</v>
      </c>
      <c r="G179" s="11">
        <v>45465</v>
      </c>
    </row>
    <row r="180" spans="1:7" ht="15.75" customHeight="1" x14ac:dyDescent="0.3">
      <c r="A180" s="5" t="s">
        <v>808</v>
      </c>
      <c r="B180" s="5" t="s">
        <v>335</v>
      </c>
      <c r="C180" s="5" t="s">
        <v>809</v>
      </c>
      <c r="D180" s="5" t="s">
        <v>86</v>
      </c>
      <c r="E180" s="11">
        <v>31092</v>
      </c>
      <c r="F180" s="5" t="s">
        <v>810</v>
      </c>
      <c r="G180" s="11">
        <v>45888</v>
      </c>
    </row>
    <row r="181" spans="1:7" ht="15.75" customHeight="1" x14ac:dyDescent="0.3">
      <c r="A181" s="5" t="s">
        <v>811</v>
      </c>
      <c r="B181" s="5" t="s">
        <v>812</v>
      </c>
      <c r="C181" s="5" t="s">
        <v>813</v>
      </c>
      <c r="D181" s="5" t="s">
        <v>86</v>
      </c>
      <c r="E181" s="11">
        <v>21899</v>
      </c>
      <c r="F181" s="5" t="s">
        <v>814</v>
      </c>
      <c r="G181" s="11">
        <v>44853</v>
      </c>
    </row>
    <row r="182" spans="1:7" ht="15.75" customHeight="1" x14ac:dyDescent="0.3">
      <c r="A182" s="5" t="s">
        <v>815</v>
      </c>
      <c r="B182" s="5" t="s">
        <v>160</v>
      </c>
      <c r="C182" s="5" t="s">
        <v>816</v>
      </c>
      <c r="D182" s="5" t="s">
        <v>86</v>
      </c>
      <c r="E182" s="11">
        <v>26631</v>
      </c>
      <c r="F182" s="5" t="s">
        <v>817</v>
      </c>
      <c r="G182" s="11">
        <v>45638</v>
      </c>
    </row>
    <row r="183" spans="1:7" ht="15.75" customHeight="1" x14ac:dyDescent="0.3">
      <c r="A183" s="5" t="s">
        <v>819</v>
      </c>
      <c r="B183" s="5" t="s">
        <v>820</v>
      </c>
      <c r="C183" s="5" t="s">
        <v>821</v>
      </c>
      <c r="D183" s="5" t="s">
        <v>19</v>
      </c>
      <c r="E183" s="11">
        <v>38193</v>
      </c>
      <c r="F183" s="5" t="s">
        <v>822</v>
      </c>
      <c r="G183" s="11">
        <v>44302</v>
      </c>
    </row>
    <row r="184" spans="1:7" ht="15.75" customHeight="1" x14ac:dyDescent="0.3">
      <c r="A184" s="5" t="s">
        <v>823</v>
      </c>
      <c r="B184" s="5" t="s">
        <v>339</v>
      </c>
      <c r="C184" s="5" t="s">
        <v>824</v>
      </c>
      <c r="D184" s="5" t="s">
        <v>19</v>
      </c>
      <c r="E184" s="11">
        <v>33196</v>
      </c>
      <c r="F184" s="5" t="s">
        <v>825</v>
      </c>
      <c r="G184" s="11">
        <v>44435</v>
      </c>
    </row>
    <row r="185" spans="1:7" ht="15.75" customHeight="1" x14ac:dyDescent="0.3">
      <c r="A185" s="5" t="s">
        <v>826</v>
      </c>
      <c r="B185" s="5" t="s">
        <v>417</v>
      </c>
      <c r="C185" s="5" t="s">
        <v>827</v>
      </c>
      <c r="D185" s="5" t="s">
        <v>19</v>
      </c>
      <c r="E185" s="11">
        <v>37724</v>
      </c>
      <c r="F185" s="5" t="s">
        <v>828</v>
      </c>
      <c r="G185" s="11">
        <v>44305</v>
      </c>
    </row>
    <row r="186" spans="1:7" ht="15.75" customHeight="1" x14ac:dyDescent="0.3">
      <c r="A186" s="5" t="s">
        <v>829</v>
      </c>
      <c r="B186" s="5" t="s">
        <v>830</v>
      </c>
      <c r="C186" s="5" t="s">
        <v>831</v>
      </c>
      <c r="D186" s="5" t="s">
        <v>86</v>
      </c>
      <c r="E186" s="11">
        <v>27579</v>
      </c>
      <c r="F186" s="5" t="s">
        <v>832</v>
      </c>
      <c r="G186" s="11">
        <v>45571</v>
      </c>
    </row>
    <row r="187" spans="1:7" ht="15.75" customHeight="1" x14ac:dyDescent="0.3">
      <c r="A187" s="5" t="s">
        <v>833</v>
      </c>
      <c r="B187" s="5" t="s">
        <v>834</v>
      </c>
      <c r="C187" s="5" t="s">
        <v>835</v>
      </c>
      <c r="D187" s="5" t="s">
        <v>86</v>
      </c>
      <c r="E187" s="11">
        <v>22041</v>
      </c>
      <c r="F187" s="5" t="s">
        <v>836</v>
      </c>
      <c r="G187" s="11">
        <v>45329</v>
      </c>
    </row>
    <row r="188" spans="1:7" ht="15.75" customHeight="1" x14ac:dyDescent="0.3">
      <c r="A188" s="5" t="s">
        <v>837</v>
      </c>
      <c r="B188" s="5" t="s">
        <v>692</v>
      </c>
      <c r="C188" s="5" t="s">
        <v>838</v>
      </c>
      <c r="D188" s="5" t="s">
        <v>19</v>
      </c>
      <c r="E188" s="11">
        <v>32522</v>
      </c>
      <c r="F188" s="5" t="s">
        <v>839</v>
      </c>
      <c r="G188" s="11">
        <v>45231</v>
      </c>
    </row>
    <row r="189" spans="1:7" ht="15.75" customHeight="1" x14ac:dyDescent="0.3">
      <c r="A189" s="5" t="s">
        <v>840</v>
      </c>
      <c r="B189" s="5" t="s">
        <v>192</v>
      </c>
      <c r="C189" s="5" t="s">
        <v>561</v>
      </c>
      <c r="D189" s="5" t="s">
        <v>19</v>
      </c>
      <c r="E189" s="11">
        <v>22243</v>
      </c>
      <c r="F189" s="5" t="s">
        <v>841</v>
      </c>
      <c r="G189" s="11">
        <v>45065</v>
      </c>
    </row>
    <row r="190" spans="1:7" ht="15.75" customHeight="1" x14ac:dyDescent="0.3">
      <c r="A190" s="5" t="s">
        <v>842</v>
      </c>
      <c r="B190" s="5" t="s">
        <v>843</v>
      </c>
      <c r="C190" s="5" t="s">
        <v>844</v>
      </c>
      <c r="D190" s="5" t="s">
        <v>19</v>
      </c>
      <c r="E190" s="11">
        <v>24326</v>
      </c>
      <c r="F190" s="5" t="s">
        <v>845</v>
      </c>
      <c r="G190" s="11">
        <v>44260</v>
      </c>
    </row>
    <row r="191" spans="1:7" ht="15.75" customHeight="1" x14ac:dyDescent="0.3">
      <c r="A191" s="5" t="s">
        <v>847</v>
      </c>
      <c r="B191" s="5" t="s">
        <v>417</v>
      </c>
      <c r="C191" s="5" t="s">
        <v>848</v>
      </c>
      <c r="D191" s="5" t="s">
        <v>19</v>
      </c>
      <c r="E191" s="11">
        <v>24703</v>
      </c>
      <c r="F191" s="5" t="s">
        <v>849</v>
      </c>
      <c r="G191" s="11">
        <v>45026</v>
      </c>
    </row>
    <row r="192" spans="1:7" ht="15.75" customHeight="1" x14ac:dyDescent="0.3">
      <c r="A192" s="5" t="s">
        <v>850</v>
      </c>
      <c r="B192" s="5" t="s">
        <v>851</v>
      </c>
      <c r="C192" s="5" t="s">
        <v>852</v>
      </c>
      <c r="D192" s="5" t="s">
        <v>86</v>
      </c>
      <c r="E192" s="11">
        <v>21380</v>
      </c>
      <c r="F192" s="5" t="s">
        <v>853</v>
      </c>
      <c r="G192" s="11">
        <v>44723</v>
      </c>
    </row>
    <row r="193" spans="1:7" ht="15.75" customHeight="1" x14ac:dyDescent="0.3">
      <c r="A193" s="5" t="s">
        <v>854</v>
      </c>
      <c r="B193" s="5" t="s">
        <v>855</v>
      </c>
      <c r="C193" s="5" t="s">
        <v>588</v>
      </c>
      <c r="D193" s="5" t="s">
        <v>19</v>
      </c>
      <c r="E193" s="11">
        <v>38926</v>
      </c>
      <c r="F193" s="5" t="s">
        <v>856</v>
      </c>
      <c r="G193" s="11">
        <v>45195</v>
      </c>
    </row>
    <row r="194" spans="1:7" ht="15.75" customHeight="1" x14ac:dyDescent="0.3">
      <c r="A194" s="5" t="s">
        <v>799</v>
      </c>
      <c r="B194" s="5" t="s">
        <v>463</v>
      </c>
      <c r="C194" s="5" t="s">
        <v>857</v>
      </c>
      <c r="D194" s="5" t="s">
        <v>86</v>
      </c>
      <c r="E194" s="11">
        <v>25513</v>
      </c>
      <c r="F194" s="5" t="s">
        <v>858</v>
      </c>
      <c r="G194" s="11">
        <v>44173</v>
      </c>
    </row>
    <row r="195" spans="1:7" ht="15.75" customHeight="1" x14ac:dyDescent="0.3">
      <c r="A195" s="5" t="s">
        <v>859</v>
      </c>
      <c r="B195" s="5" t="s">
        <v>860</v>
      </c>
      <c r="C195" s="5" t="s">
        <v>32</v>
      </c>
      <c r="D195" s="5" t="s">
        <v>19</v>
      </c>
      <c r="E195" s="11">
        <v>36771</v>
      </c>
      <c r="F195" s="5" t="s">
        <v>861</v>
      </c>
      <c r="G195" s="11">
        <v>44778</v>
      </c>
    </row>
    <row r="196" spans="1:7" ht="15.75" customHeight="1" x14ac:dyDescent="0.3">
      <c r="A196" s="5" t="s">
        <v>862</v>
      </c>
      <c r="B196" s="5" t="s">
        <v>855</v>
      </c>
      <c r="C196" s="5" t="s">
        <v>863</v>
      </c>
      <c r="D196" s="5" t="s">
        <v>86</v>
      </c>
      <c r="E196" s="11">
        <v>27995</v>
      </c>
      <c r="F196" s="5" t="s">
        <v>864</v>
      </c>
      <c r="G196" s="11">
        <v>45827</v>
      </c>
    </row>
    <row r="197" spans="1:7" ht="15.75" customHeight="1" x14ac:dyDescent="0.3">
      <c r="A197" s="5" t="s">
        <v>865</v>
      </c>
      <c r="B197" s="5" t="s">
        <v>855</v>
      </c>
      <c r="C197" s="5" t="s">
        <v>867</v>
      </c>
      <c r="D197" s="5" t="s">
        <v>86</v>
      </c>
      <c r="E197" s="11">
        <v>23491</v>
      </c>
      <c r="F197" s="5" t="s">
        <v>868</v>
      </c>
      <c r="G197" s="11">
        <v>45707</v>
      </c>
    </row>
    <row r="198" spans="1:7" ht="15.75" customHeight="1" x14ac:dyDescent="0.3">
      <c r="A198" s="5" t="s">
        <v>869</v>
      </c>
      <c r="B198" s="5" t="s">
        <v>166</v>
      </c>
      <c r="C198" s="5" t="s">
        <v>870</v>
      </c>
      <c r="D198" s="5" t="s">
        <v>19</v>
      </c>
      <c r="E198" s="11">
        <v>21086</v>
      </c>
      <c r="F198" s="5" t="s">
        <v>871</v>
      </c>
      <c r="G198" s="11">
        <v>44153</v>
      </c>
    </row>
    <row r="199" spans="1:7" ht="15.75" customHeight="1" x14ac:dyDescent="0.3">
      <c r="A199" s="5" t="s">
        <v>872</v>
      </c>
      <c r="B199" s="5" t="s">
        <v>873</v>
      </c>
      <c r="C199" s="5" t="s">
        <v>874</v>
      </c>
      <c r="D199" s="5" t="s">
        <v>19</v>
      </c>
      <c r="E199" s="11">
        <v>31435</v>
      </c>
      <c r="F199" s="5" t="s">
        <v>875</v>
      </c>
      <c r="G199" s="11">
        <v>44905</v>
      </c>
    </row>
    <row r="200" spans="1:7" ht="15.75" customHeight="1" x14ac:dyDescent="0.3">
      <c r="A200" s="5" t="s">
        <v>876</v>
      </c>
      <c r="B200" s="5" t="s">
        <v>485</v>
      </c>
      <c r="C200" s="5" t="s">
        <v>173</v>
      </c>
      <c r="D200" s="5" t="s">
        <v>86</v>
      </c>
      <c r="E200" s="11">
        <v>25706</v>
      </c>
      <c r="F200" s="5" t="s">
        <v>877</v>
      </c>
      <c r="G200" s="11">
        <v>44405</v>
      </c>
    </row>
    <row r="201" spans="1:7" ht="15.75" customHeight="1" x14ac:dyDescent="0.3">
      <c r="A201" s="5" t="s">
        <v>878</v>
      </c>
      <c r="B201" s="5" t="s">
        <v>879</v>
      </c>
      <c r="C201" s="5" t="s">
        <v>145</v>
      </c>
      <c r="D201" s="5" t="s">
        <v>19</v>
      </c>
      <c r="E201" s="11">
        <v>37249</v>
      </c>
      <c r="F201" s="5" t="s">
        <v>880</v>
      </c>
      <c r="G201" s="11">
        <v>45832</v>
      </c>
    </row>
    <row r="202" spans="1:7" ht="15.75" customHeight="1" x14ac:dyDescent="0.3">
      <c r="E202" s="20"/>
      <c r="G202" s="20"/>
    </row>
    <row r="203" spans="1:7" ht="15.75" customHeight="1" x14ac:dyDescent="0.3">
      <c r="E203" s="20"/>
      <c r="G203" s="20"/>
    </row>
    <row r="204" spans="1:7" ht="15.75" customHeight="1" x14ac:dyDescent="0.3">
      <c r="E204" s="20"/>
      <c r="G204" s="20"/>
    </row>
    <row r="205" spans="1:7" ht="15.75" customHeight="1" x14ac:dyDescent="0.3">
      <c r="E205" s="20"/>
      <c r="G205" s="20"/>
    </row>
    <row r="206" spans="1:7" ht="15.75" customHeight="1" x14ac:dyDescent="0.3">
      <c r="E206" s="20"/>
      <c r="G206" s="20"/>
    </row>
    <row r="207" spans="1:7" ht="15.75" customHeight="1" x14ac:dyDescent="0.3">
      <c r="E207" s="20"/>
      <c r="G207" s="20"/>
    </row>
    <row r="208" spans="1:7" ht="15.75" customHeight="1" x14ac:dyDescent="0.3">
      <c r="E208" s="20"/>
      <c r="G208" s="20"/>
    </row>
    <row r="209" spans="5:7" ht="15.75" customHeight="1" x14ac:dyDescent="0.3">
      <c r="E209" s="20"/>
      <c r="G209" s="20"/>
    </row>
    <row r="210" spans="5:7" ht="15.75" customHeight="1" x14ac:dyDescent="0.3">
      <c r="E210" s="20"/>
      <c r="G210" s="20"/>
    </row>
    <row r="211" spans="5:7" ht="15.75" customHeight="1" x14ac:dyDescent="0.3">
      <c r="E211" s="20"/>
      <c r="G211" s="20"/>
    </row>
    <row r="212" spans="5:7" ht="15.75" customHeight="1" x14ac:dyDescent="0.3">
      <c r="E212" s="20"/>
      <c r="G212" s="20"/>
    </row>
    <row r="213" spans="5:7" ht="15.75" customHeight="1" x14ac:dyDescent="0.3">
      <c r="E213" s="20"/>
      <c r="G213" s="20"/>
    </row>
    <row r="214" spans="5:7" ht="15.75" customHeight="1" x14ac:dyDescent="0.3">
      <c r="E214" s="20"/>
      <c r="G214" s="20"/>
    </row>
    <row r="215" spans="5:7" ht="15.75" customHeight="1" x14ac:dyDescent="0.3">
      <c r="E215" s="20"/>
      <c r="G215" s="20"/>
    </row>
    <row r="216" spans="5:7" ht="15.75" customHeight="1" x14ac:dyDescent="0.3">
      <c r="E216" s="20"/>
      <c r="G216" s="20"/>
    </row>
    <row r="217" spans="5:7" ht="15.75" customHeight="1" x14ac:dyDescent="0.3">
      <c r="E217" s="20"/>
      <c r="G217" s="20"/>
    </row>
    <row r="218" spans="5:7" ht="15.75" customHeight="1" x14ac:dyDescent="0.3">
      <c r="E218" s="20"/>
      <c r="G218" s="20"/>
    </row>
    <row r="219" spans="5:7" ht="15.75" customHeight="1" x14ac:dyDescent="0.3">
      <c r="E219" s="20"/>
      <c r="G219" s="20"/>
    </row>
    <row r="220" spans="5:7" ht="15.75" customHeight="1" x14ac:dyDescent="0.3">
      <c r="E220" s="20"/>
      <c r="G220" s="20"/>
    </row>
    <row r="221" spans="5:7" ht="15.75" customHeight="1" x14ac:dyDescent="0.3">
      <c r="E221" s="20"/>
      <c r="G221" s="20"/>
    </row>
    <row r="222" spans="5:7" ht="15.75" customHeight="1" x14ac:dyDescent="0.3">
      <c r="E222" s="20"/>
      <c r="G222" s="20"/>
    </row>
    <row r="223" spans="5:7" ht="15.75" customHeight="1" x14ac:dyDescent="0.3">
      <c r="E223" s="20"/>
      <c r="G223" s="20"/>
    </row>
    <row r="224" spans="5:7" ht="15.75" customHeight="1" x14ac:dyDescent="0.3">
      <c r="E224" s="20"/>
      <c r="G224" s="20"/>
    </row>
    <row r="225" spans="5:7" ht="15.75" customHeight="1" x14ac:dyDescent="0.3">
      <c r="E225" s="20"/>
      <c r="G225" s="20"/>
    </row>
    <row r="226" spans="5:7" ht="15.75" customHeight="1" x14ac:dyDescent="0.3">
      <c r="E226" s="20"/>
      <c r="G226" s="20"/>
    </row>
    <row r="227" spans="5:7" ht="15.75" customHeight="1" x14ac:dyDescent="0.3">
      <c r="E227" s="20"/>
      <c r="G227" s="20"/>
    </row>
    <row r="228" spans="5:7" ht="15.75" customHeight="1" x14ac:dyDescent="0.3">
      <c r="E228" s="20"/>
      <c r="G228" s="20"/>
    </row>
    <row r="229" spans="5:7" ht="15.75" customHeight="1" x14ac:dyDescent="0.3">
      <c r="E229" s="20"/>
      <c r="G229" s="20"/>
    </row>
    <row r="230" spans="5:7" ht="15.75" customHeight="1" x14ac:dyDescent="0.3">
      <c r="E230" s="20"/>
      <c r="G230" s="20"/>
    </row>
    <row r="231" spans="5:7" ht="15.75" customHeight="1" x14ac:dyDescent="0.3">
      <c r="E231" s="20"/>
      <c r="G231" s="20"/>
    </row>
    <row r="232" spans="5:7" ht="15.75" customHeight="1" x14ac:dyDescent="0.3">
      <c r="E232" s="20"/>
      <c r="G232" s="20"/>
    </row>
    <row r="233" spans="5:7" ht="15.75" customHeight="1" x14ac:dyDescent="0.3">
      <c r="E233" s="20"/>
      <c r="G233" s="20"/>
    </row>
    <row r="234" spans="5:7" ht="15.75" customHeight="1" x14ac:dyDescent="0.3">
      <c r="E234" s="20"/>
      <c r="G234" s="20"/>
    </row>
    <row r="235" spans="5:7" ht="15.75" customHeight="1" x14ac:dyDescent="0.3">
      <c r="E235" s="20"/>
      <c r="G235" s="20"/>
    </row>
    <row r="236" spans="5:7" ht="15.75" customHeight="1" x14ac:dyDescent="0.3">
      <c r="E236" s="20"/>
      <c r="G236" s="20"/>
    </row>
    <row r="237" spans="5:7" ht="15.75" customHeight="1" x14ac:dyDescent="0.3">
      <c r="E237" s="20"/>
      <c r="G237" s="20"/>
    </row>
    <row r="238" spans="5:7" ht="15.75" customHeight="1" x14ac:dyDescent="0.3">
      <c r="E238" s="20"/>
      <c r="G238" s="20"/>
    </row>
    <row r="239" spans="5:7" ht="15.75" customHeight="1" x14ac:dyDescent="0.3">
      <c r="E239" s="20"/>
      <c r="G239" s="20"/>
    </row>
    <row r="240" spans="5:7" ht="15.75" customHeight="1" x14ac:dyDescent="0.3">
      <c r="E240" s="20"/>
      <c r="G240" s="20"/>
    </row>
    <row r="241" spans="5:7" ht="15.75" customHeight="1" x14ac:dyDescent="0.3">
      <c r="E241" s="20"/>
      <c r="G241" s="20"/>
    </row>
    <row r="242" spans="5:7" ht="15.75" customHeight="1" x14ac:dyDescent="0.3">
      <c r="E242" s="20"/>
      <c r="G242" s="20"/>
    </row>
    <row r="243" spans="5:7" ht="15.75" customHeight="1" x14ac:dyDescent="0.3">
      <c r="E243" s="20"/>
      <c r="G243" s="20"/>
    </row>
    <row r="244" spans="5:7" ht="15.75" customHeight="1" x14ac:dyDescent="0.3">
      <c r="E244" s="20"/>
      <c r="G244" s="20"/>
    </row>
    <row r="245" spans="5:7" ht="15.75" customHeight="1" x14ac:dyDescent="0.3">
      <c r="E245" s="20"/>
      <c r="G245" s="20"/>
    </row>
    <row r="246" spans="5:7" ht="15.75" customHeight="1" x14ac:dyDescent="0.3">
      <c r="E246" s="20"/>
      <c r="G246" s="20"/>
    </row>
    <row r="247" spans="5:7" ht="15.75" customHeight="1" x14ac:dyDescent="0.3">
      <c r="E247" s="20"/>
      <c r="G247" s="20"/>
    </row>
    <row r="248" spans="5:7" ht="15.75" customHeight="1" x14ac:dyDescent="0.3">
      <c r="E248" s="20"/>
      <c r="G248" s="20"/>
    </row>
    <row r="249" spans="5:7" ht="15.75" customHeight="1" x14ac:dyDescent="0.3">
      <c r="E249" s="20"/>
      <c r="G249" s="20"/>
    </row>
    <row r="250" spans="5:7" ht="15.75" customHeight="1" x14ac:dyDescent="0.3">
      <c r="E250" s="20"/>
      <c r="G250" s="20"/>
    </row>
    <row r="251" spans="5:7" ht="15.75" customHeight="1" x14ac:dyDescent="0.3">
      <c r="E251" s="20"/>
      <c r="G251" s="20"/>
    </row>
    <row r="252" spans="5:7" ht="15.75" customHeight="1" x14ac:dyDescent="0.3">
      <c r="E252" s="20"/>
      <c r="G252" s="20"/>
    </row>
    <row r="253" spans="5:7" ht="15.75" customHeight="1" x14ac:dyDescent="0.3">
      <c r="E253" s="20"/>
      <c r="G253" s="20"/>
    </row>
    <row r="254" spans="5:7" ht="15.75" customHeight="1" x14ac:dyDescent="0.3">
      <c r="E254" s="20"/>
      <c r="G254" s="20"/>
    </row>
    <row r="255" spans="5:7" ht="15.75" customHeight="1" x14ac:dyDescent="0.3">
      <c r="E255" s="20"/>
      <c r="G255" s="20"/>
    </row>
    <row r="256" spans="5:7" ht="15.75" customHeight="1" x14ac:dyDescent="0.3">
      <c r="E256" s="20"/>
      <c r="G256" s="20"/>
    </row>
    <row r="257" spans="5:7" ht="15.75" customHeight="1" x14ac:dyDescent="0.3">
      <c r="E257" s="20"/>
      <c r="G257" s="20"/>
    </row>
    <row r="258" spans="5:7" ht="15.75" customHeight="1" x14ac:dyDescent="0.3">
      <c r="E258" s="20"/>
      <c r="G258" s="20"/>
    </row>
    <row r="259" spans="5:7" ht="15.75" customHeight="1" x14ac:dyDescent="0.3">
      <c r="E259" s="20"/>
      <c r="G259" s="20"/>
    </row>
    <row r="260" spans="5:7" ht="15.75" customHeight="1" x14ac:dyDescent="0.3">
      <c r="E260" s="20"/>
      <c r="G260" s="20"/>
    </row>
    <row r="261" spans="5:7" ht="15.75" customHeight="1" x14ac:dyDescent="0.3">
      <c r="E261" s="20"/>
      <c r="G261" s="20"/>
    </row>
    <row r="262" spans="5:7" ht="15.75" customHeight="1" x14ac:dyDescent="0.3">
      <c r="E262" s="20"/>
      <c r="G262" s="20"/>
    </row>
    <row r="263" spans="5:7" ht="15.75" customHeight="1" x14ac:dyDescent="0.3">
      <c r="E263" s="20"/>
      <c r="G263" s="20"/>
    </row>
    <row r="264" spans="5:7" ht="15.75" customHeight="1" x14ac:dyDescent="0.3">
      <c r="E264" s="20"/>
      <c r="G264" s="20"/>
    </row>
    <row r="265" spans="5:7" ht="15.75" customHeight="1" x14ac:dyDescent="0.3">
      <c r="E265" s="20"/>
      <c r="G265" s="20"/>
    </row>
    <row r="266" spans="5:7" ht="15.75" customHeight="1" x14ac:dyDescent="0.3">
      <c r="E266" s="20"/>
      <c r="G266" s="20"/>
    </row>
    <row r="267" spans="5:7" ht="15.75" customHeight="1" x14ac:dyDescent="0.3">
      <c r="E267" s="20"/>
      <c r="G267" s="20"/>
    </row>
    <row r="268" spans="5:7" ht="15.75" customHeight="1" x14ac:dyDescent="0.3">
      <c r="E268" s="20"/>
      <c r="G268" s="20"/>
    </row>
    <row r="269" spans="5:7" ht="15.75" customHeight="1" x14ac:dyDescent="0.3">
      <c r="E269" s="20"/>
      <c r="G269" s="20"/>
    </row>
    <row r="270" spans="5:7" ht="15.75" customHeight="1" x14ac:dyDescent="0.3">
      <c r="E270" s="20"/>
      <c r="G270" s="20"/>
    </row>
    <row r="271" spans="5:7" ht="15.75" customHeight="1" x14ac:dyDescent="0.3">
      <c r="E271" s="20"/>
      <c r="G271" s="20"/>
    </row>
    <row r="272" spans="5:7" ht="15.75" customHeight="1" x14ac:dyDescent="0.3">
      <c r="E272" s="20"/>
      <c r="G272" s="20"/>
    </row>
    <row r="273" spans="5:7" ht="15.75" customHeight="1" x14ac:dyDescent="0.3">
      <c r="E273" s="20"/>
      <c r="G273" s="20"/>
    </row>
    <row r="274" spans="5:7" ht="15.75" customHeight="1" x14ac:dyDescent="0.3">
      <c r="E274" s="20"/>
      <c r="G274" s="20"/>
    </row>
    <row r="275" spans="5:7" ht="15.75" customHeight="1" x14ac:dyDescent="0.3">
      <c r="E275" s="20"/>
      <c r="G275" s="20"/>
    </row>
    <row r="276" spans="5:7" ht="15.75" customHeight="1" x14ac:dyDescent="0.3">
      <c r="E276" s="20"/>
      <c r="G276" s="20"/>
    </row>
    <row r="277" spans="5:7" ht="15.75" customHeight="1" x14ac:dyDescent="0.3">
      <c r="E277" s="20"/>
      <c r="G277" s="20"/>
    </row>
    <row r="278" spans="5:7" ht="15.75" customHeight="1" x14ac:dyDescent="0.3">
      <c r="E278" s="20"/>
      <c r="G278" s="20"/>
    </row>
    <row r="279" spans="5:7" ht="15.75" customHeight="1" x14ac:dyDescent="0.3">
      <c r="E279" s="20"/>
      <c r="G279" s="20"/>
    </row>
    <row r="280" spans="5:7" ht="15.75" customHeight="1" x14ac:dyDescent="0.3">
      <c r="E280" s="20"/>
      <c r="G280" s="20"/>
    </row>
    <row r="281" spans="5:7" ht="15.75" customHeight="1" x14ac:dyDescent="0.3">
      <c r="E281" s="20"/>
      <c r="G281" s="20"/>
    </row>
    <row r="282" spans="5:7" ht="15.75" customHeight="1" x14ac:dyDescent="0.3">
      <c r="E282" s="20"/>
      <c r="G282" s="20"/>
    </row>
    <row r="283" spans="5:7" ht="15.75" customHeight="1" x14ac:dyDescent="0.3">
      <c r="E283" s="20"/>
      <c r="G283" s="20"/>
    </row>
    <row r="284" spans="5:7" ht="15.75" customHeight="1" x14ac:dyDescent="0.3">
      <c r="E284" s="20"/>
      <c r="G284" s="20"/>
    </row>
    <row r="285" spans="5:7" ht="15.75" customHeight="1" x14ac:dyDescent="0.3">
      <c r="E285" s="20"/>
      <c r="G285" s="20"/>
    </row>
    <row r="286" spans="5:7" ht="15.75" customHeight="1" x14ac:dyDescent="0.3">
      <c r="E286" s="20"/>
      <c r="G286" s="20"/>
    </row>
    <row r="287" spans="5:7" ht="15.75" customHeight="1" x14ac:dyDescent="0.3">
      <c r="E287" s="20"/>
      <c r="G287" s="20"/>
    </row>
    <row r="288" spans="5:7" ht="15.75" customHeight="1" x14ac:dyDescent="0.3">
      <c r="E288" s="20"/>
      <c r="G288" s="20"/>
    </row>
    <row r="289" spans="5:7" ht="15.75" customHeight="1" x14ac:dyDescent="0.3">
      <c r="E289" s="20"/>
      <c r="G289" s="20"/>
    </row>
    <row r="290" spans="5:7" ht="15.75" customHeight="1" x14ac:dyDescent="0.3">
      <c r="E290" s="20"/>
      <c r="G290" s="20"/>
    </row>
    <row r="291" spans="5:7" ht="15.75" customHeight="1" x14ac:dyDescent="0.3">
      <c r="E291" s="20"/>
      <c r="G291" s="20"/>
    </row>
    <row r="292" spans="5:7" ht="15.75" customHeight="1" x14ac:dyDescent="0.3">
      <c r="E292" s="20"/>
      <c r="G292" s="20"/>
    </row>
    <row r="293" spans="5:7" ht="15.75" customHeight="1" x14ac:dyDescent="0.3">
      <c r="E293" s="20"/>
      <c r="G293" s="20"/>
    </row>
    <row r="294" spans="5:7" ht="15.75" customHeight="1" x14ac:dyDescent="0.3">
      <c r="E294" s="20"/>
      <c r="G294" s="20"/>
    </row>
    <row r="295" spans="5:7" ht="15.75" customHeight="1" x14ac:dyDescent="0.3">
      <c r="E295" s="20"/>
      <c r="G295" s="20"/>
    </row>
    <row r="296" spans="5:7" ht="15.75" customHeight="1" x14ac:dyDescent="0.3">
      <c r="E296" s="20"/>
      <c r="G296" s="20"/>
    </row>
    <row r="297" spans="5:7" ht="15.75" customHeight="1" x14ac:dyDescent="0.3">
      <c r="E297" s="20"/>
      <c r="G297" s="20"/>
    </row>
    <row r="298" spans="5:7" ht="15.75" customHeight="1" x14ac:dyDescent="0.3">
      <c r="E298" s="20"/>
      <c r="G298" s="20"/>
    </row>
    <row r="299" spans="5:7" ht="15.75" customHeight="1" x14ac:dyDescent="0.3">
      <c r="E299" s="20"/>
      <c r="G299" s="20"/>
    </row>
    <row r="300" spans="5:7" ht="15.75" customHeight="1" x14ac:dyDescent="0.3">
      <c r="E300" s="20"/>
      <c r="G300" s="20"/>
    </row>
    <row r="301" spans="5:7" ht="15.75" customHeight="1" x14ac:dyDescent="0.3">
      <c r="E301" s="20"/>
      <c r="G301" s="20"/>
    </row>
    <row r="302" spans="5:7" ht="15.75" customHeight="1" x14ac:dyDescent="0.3">
      <c r="E302" s="20"/>
      <c r="G302" s="20"/>
    </row>
    <row r="303" spans="5:7" ht="15.75" customHeight="1" x14ac:dyDescent="0.3">
      <c r="E303" s="20"/>
      <c r="G303" s="20"/>
    </row>
    <row r="304" spans="5:7" ht="15.75" customHeight="1" x14ac:dyDescent="0.3">
      <c r="E304" s="20"/>
      <c r="G304" s="20"/>
    </row>
    <row r="305" spans="5:7" ht="15.75" customHeight="1" x14ac:dyDescent="0.3">
      <c r="E305" s="20"/>
      <c r="G305" s="20"/>
    </row>
    <row r="306" spans="5:7" ht="15.75" customHeight="1" x14ac:dyDescent="0.3">
      <c r="E306" s="20"/>
      <c r="G306" s="20"/>
    </row>
    <row r="307" spans="5:7" ht="15.75" customHeight="1" x14ac:dyDescent="0.3">
      <c r="E307" s="20"/>
      <c r="G307" s="20"/>
    </row>
    <row r="308" spans="5:7" ht="15.75" customHeight="1" x14ac:dyDescent="0.3">
      <c r="E308" s="20"/>
      <c r="G308" s="20"/>
    </row>
    <row r="309" spans="5:7" ht="15.75" customHeight="1" x14ac:dyDescent="0.3">
      <c r="E309" s="20"/>
      <c r="G309" s="20"/>
    </row>
    <row r="310" spans="5:7" ht="15.75" customHeight="1" x14ac:dyDescent="0.3">
      <c r="E310" s="20"/>
      <c r="G310" s="20"/>
    </row>
    <row r="311" spans="5:7" ht="15.75" customHeight="1" x14ac:dyDescent="0.3">
      <c r="E311" s="20"/>
      <c r="G311" s="20"/>
    </row>
    <row r="312" spans="5:7" ht="15.75" customHeight="1" x14ac:dyDescent="0.3">
      <c r="E312" s="20"/>
      <c r="G312" s="20"/>
    </row>
    <row r="313" spans="5:7" ht="15.75" customHeight="1" x14ac:dyDescent="0.3">
      <c r="E313" s="20"/>
      <c r="G313" s="20"/>
    </row>
    <row r="314" spans="5:7" ht="15.75" customHeight="1" x14ac:dyDescent="0.3">
      <c r="E314" s="20"/>
      <c r="G314" s="20"/>
    </row>
    <row r="315" spans="5:7" ht="15.75" customHeight="1" x14ac:dyDescent="0.3">
      <c r="E315" s="20"/>
      <c r="G315" s="20"/>
    </row>
    <row r="316" spans="5:7" ht="15.75" customHeight="1" x14ac:dyDescent="0.3">
      <c r="E316" s="20"/>
      <c r="G316" s="20"/>
    </row>
    <row r="317" spans="5:7" ht="15.75" customHeight="1" x14ac:dyDescent="0.3">
      <c r="E317" s="20"/>
      <c r="G317" s="20"/>
    </row>
    <row r="318" spans="5:7" ht="15.75" customHeight="1" x14ac:dyDescent="0.3">
      <c r="E318" s="20"/>
      <c r="G318" s="20"/>
    </row>
    <row r="319" spans="5:7" ht="15.75" customHeight="1" x14ac:dyDescent="0.3">
      <c r="E319" s="20"/>
      <c r="G319" s="20"/>
    </row>
    <row r="320" spans="5:7" ht="15.75" customHeight="1" x14ac:dyDescent="0.3">
      <c r="E320" s="20"/>
      <c r="G320" s="20"/>
    </row>
    <row r="321" spans="5:7" ht="15.75" customHeight="1" x14ac:dyDescent="0.3">
      <c r="E321" s="20"/>
      <c r="G321" s="20"/>
    </row>
    <row r="322" spans="5:7" ht="15.75" customHeight="1" x14ac:dyDescent="0.3">
      <c r="E322" s="20"/>
      <c r="G322" s="20"/>
    </row>
    <row r="323" spans="5:7" ht="15.75" customHeight="1" x14ac:dyDescent="0.3">
      <c r="E323" s="20"/>
      <c r="G323" s="20"/>
    </row>
    <row r="324" spans="5:7" ht="15.75" customHeight="1" x14ac:dyDescent="0.3">
      <c r="E324" s="20"/>
      <c r="G324" s="20"/>
    </row>
    <row r="325" spans="5:7" ht="15.75" customHeight="1" x14ac:dyDescent="0.3">
      <c r="E325" s="20"/>
      <c r="G325" s="20"/>
    </row>
    <row r="326" spans="5:7" ht="15.75" customHeight="1" x14ac:dyDescent="0.3">
      <c r="E326" s="20"/>
      <c r="G326" s="20"/>
    </row>
    <row r="327" spans="5:7" ht="15.75" customHeight="1" x14ac:dyDescent="0.3">
      <c r="E327" s="20"/>
      <c r="G327" s="20"/>
    </row>
    <row r="328" spans="5:7" ht="15.75" customHeight="1" x14ac:dyDescent="0.3">
      <c r="E328" s="20"/>
      <c r="G328" s="20"/>
    </row>
    <row r="329" spans="5:7" ht="15.75" customHeight="1" x14ac:dyDescent="0.3">
      <c r="E329" s="20"/>
      <c r="G329" s="20"/>
    </row>
    <row r="330" spans="5:7" ht="15.75" customHeight="1" x14ac:dyDescent="0.3">
      <c r="E330" s="20"/>
      <c r="G330" s="20"/>
    </row>
    <row r="331" spans="5:7" ht="15.75" customHeight="1" x14ac:dyDescent="0.3">
      <c r="E331" s="20"/>
      <c r="G331" s="20"/>
    </row>
    <row r="332" spans="5:7" ht="15.75" customHeight="1" x14ac:dyDescent="0.3">
      <c r="E332" s="20"/>
      <c r="G332" s="20"/>
    </row>
    <row r="333" spans="5:7" ht="15.75" customHeight="1" x14ac:dyDescent="0.3">
      <c r="E333" s="20"/>
      <c r="G333" s="20"/>
    </row>
    <row r="334" spans="5:7" ht="15.75" customHeight="1" x14ac:dyDescent="0.3">
      <c r="E334" s="20"/>
      <c r="G334" s="20"/>
    </row>
    <row r="335" spans="5:7" ht="15.75" customHeight="1" x14ac:dyDescent="0.3">
      <c r="E335" s="20"/>
      <c r="G335" s="20"/>
    </row>
    <row r="336" spans="5:7" ht="15.75" customHeight="1" x14ac:dyDescent="0.3">
      <c r="E336" s="20"/>
      <c r="G336" s="20"/>
    </row>
    <row r="337" spans="5:7" ht="15.75" customHeight="1" x14ac:dyDescent="0.3">
      <c r="E337" s="20"/>
      <c r="G337" s="20"/>
    </row>
    <row r="338" spans="5:7" ht="15.75" customHeight="1" x14ac:dyDescent="0.3">
      <c r="E338" s="20"/>
      <c r="G338" s="20"/>
    </row>
    <row r="339" spans="5:7" ht="15.75" customHeight="1" x14ac:dyDescent="0.3">
      <c r="E339" s="20"/>
      <c r="G339" s="20"/>
    </row>
    <row r="340" spans="5:7" ht="15.75" customHeight="1" x14ac:dyDescent="0.3">
      <c r="E340" s="20"/>
      <c r="G340" s="20"/>
    </row>
    <row r="341" spans="5:7" ht="15.75" customHeight="1" x14ac:dyDescent="0.3">
      <c r="E341" s="20"/>
      <c r="G341" s="20"/>
    </row>
    <row r="342" spans="5:7" ht="15.75" customHeight="1" x14ac:dyDescent="0.3">
      <c r="E342" s="20"/>
      <c r="G342" s="20"/>
    </row>
    <row r="343" spans="5:7" ht="15.75" customHeight="1" x14ac:dyDescent="0.3">
      <c r="E343" s="20"/>
      <c r="G343" s="20"/>
    </row>
    <row r="344" spans="5:7" ht="15.75" customHeight="1" x14ac:dyDescent="0.3">
      <c r="E344" s="20"/>
      <c r="G344" s="20"/>
    </row>
    <row r="345" spans="5:7" ht="15.75" customHeight="1" x14ac:dyDescent="0.3">
      <c r="E345" s="20"/>
      <c r="G345" s="20"/>
    </row>
    <row r="346" spans="5:7" ht="15.75" customHeight="1" x14ac:dyDescent="0.3">
      <c r="E346" s="20"/>
      <c r="G346" s="20"/>
    </row>
    <row r="347" spans="5:7" ht="15.75" customHeight="1" x14ac:dyDescent="0.3">
      <c r="E347" s="20"/>
      <c r="G347" s="20"/>
    </row>
    <row r="348" spans="5:7" ht="15.75" customHeight="1" x14ac:dyDescent="0.3">
      <c r="E348" s="20"/>
      <c r="G348" s="20"/>
    </row>
    <row r="349" spans="5:7" ht="15.75" customHeight="1" x14ac:dyDescent="0.3">
      <c r="E349" s="20"/>
      <c r="G349" s="20"/>
    </row>
    <row r="350" spans="5:7" ht="15.75" customHeight="1" x14ac:dyDescent="0.3">
      <c r="E350" s="20"/>
      <c r="G350" s="20"/>
    </row>
    <row r="351" spans="5:7" ht="15.75" customHeight="1" x14ac:dyDescent="0.3">
      <c r="E351" s="20"/>
      <c r="G351" s="20"/>
    </row>
    <row r="352" spans="5:7" ht="15.75" customHeight="1" x14ac:dyDescent="0.3">
      <c r="E352" s="20"/>
      <c r="G352" s="20"/>
    </row>
    <row r="353" spans="5:7" ht="15.75" customHeight="1" x14ac:dyDescent="0.3">
      <c r="E353" s="20"/>
      <c r="G353" s="20"/>
    </row>
    <row r="354" spans="5:7" ht="15.75" customHeight="1" x14ac:dyDescent="0.3">
      <c r="E354" s="20"/>
      <c r="G354" s="20"/>
    </row>
    <row r="355" spans="5:7" ht="15.75" customHeight="1" x14ac:dyDescent="0.3">
      <c r="E355" s="20"/>
      <c r="G355" s="20"/>
    </row>
    <row r="356" spans="5:7" ht="15.75" customHeight="1" x14ac:dyDescent="0.3">
      <c r="E356" s="20"/>
      <c r="G356" s="20"/>
    </row>
    <row r="357" spans="5:7" ht="15.75" customHeight="1" x14ac:dyDescent="0.3">
      <c r="E357" s="20"/>
      <c r="G357" s="20"/>
    </row>
    <row r="358" spans="5:7" ht="15.75" customHeight="1" x14ac:dyDescent="0.3">
      <c r="E358" s="20"/>
      <c r="G358" s="20"/>
    </row>
    <row r="359" spans="5:7" ht="15.75" customHeight="1" x14ac:dyDescent="0.3">
      <c r="E359" s="20"/>
      <c r="G359" s="20"/>
    </row>
    <row r="360" spans="5:7" ht="15.75" customHeight="1" x14ac:dyDescent="0.3">
      <c r="E360" s="20"/>
      <c r="G360" s="20"/>
    </row>
    <row r="361" spans="5:7" ht="15.75" customHeight="1" x14ac:dyDescent="0.3">
      <c r="E361" s="20"/>
      <c r="G361" s="20"/>
    </row>
    <row r="362" spans="5:7" ht="15.75" customHeight="1" x14ac:dyDescent="0.3">
      <c r="E362" s="20"/>
      <c r="G362" s="20"/>
    </row>
    <row r="363" spans="5:7" ht="15.75" customHeight="1" x14ac:dyDescent="0.3">
      <c r="E363" s="20"/>
      <c r="G363" s="20"/>
    </row>
    <row r="364" spans="5:7" ht="15.75" customHeight="1" x14ac:dyDescent="0.3">
      <c r="E364" s="20"/>
      <c r="G364" s="20"/>
    </row>
    <row r="365" spans="5:7" ht="15.75" customHeight="1" x14ac:dyDescent="0.3">
      <c r="E365" s="20"/>
      <c r="G365" s="20"/>
    </row>
    <row r="366" spans="5:7" ht="15.75" customHeight="1" x14ac:dyDescent="0.3">
      <c r="E366" s="20"/>
      <c r="G366" s="20"/>
    </row>
    <row r="367" spans="5:7" ht="15.75" customHeight="1" x14ac:dyDescent="0.3">
      <c r="E367" s="20"/>
      <c r="G367" s="20"/>
    </row>
    <row r="368" spans="5:7" ht="15.75" customHeight="1" x14ac:dyDescent="0.3">
      <c r="E368" s="20"/>
      <c r="G368" s="20"/>
    </row>
    <row r="369" spans="5:7" ht="15.75" customHeight="1" x14ac:dyDescent="0.3">
      <c r="E369" s="20"/>
      <c r="G369" s="20"/>
    </row>
    <row r="370" spans="5:7" ht="15.75" customHeight="1" x14ac:dyDescent="0.3">
      <c r="E370" s="20"/>
      <c r="G370" s="20"/>
    </row>
    <row r="371" spans="5:7" ht="15.75" customHeight="1" x14ac:dyDescent="0.3">
      <c r="E371" s="20"/>
      <c r="G371" s="20"/>
    </row>
    <row r="372" spans="5:7" ht="15.75" customHeight="1" x14ac:dyDescent="0.3">
      <c r="E372" s="20"/>
      <c r="G372" s="20"/>
    </row>
    <row r="373" spans="5:7" ht="15.75" customHeight="1" x14ac:dyDescent="0.3">
      <c r="E373" s="20"/>
      <c r="G373" s="20"/>
    </row>
    <row r="374" spans="5:7" ht="15.75" customHeight="1" x14ac:dyDescent="0.3">
      <c r="E374" s="20"/>
      <c r="G374" s="20"/>
    </row>
    <row r="375" spans="5:7" ht="15.75" customHeight="1" x14ac:dyDescent="0.3">
      <c r="E375" s="20"/>
      <c r="G375" s="20"/>
    </row>
    <row r="376" spans="5:7" ht="15.75" customHeight="1" x14ac:dyDescent="0.3">
      <c r="E376" s="20"/>
      <c r="G376" s="20"/>
    </row>
    <row r="377" spans="5:7" ht="15.75" customHeight="1" x14ac:dyDescent="0.3">
      <c r="E377" s="20"/>
      <c r="G377" s="20"/>
    </row>
    <row r="378" spans="5:7" ht="15.75" customHeight="1" x14ac:dyDescent="0.3">
      <c r="E378" s="20"/>
      <c r="G378" s="20"/>
    </row>
    <row r="379" spans="5:7" ht="15.75" customHeight="1" x14ac:dyDescent="0.3">
      <c r="E379" s="20"/>
      <c r="G379" s="20"/>
    </row>
    <row r="380" spans="5:7" ht="15.75" customHeight="1" x14ac:dyDescent="0.3">
      <c r="E380" s="20"/>
      <c r="G380" s="20"/>
    </row>
    <row r="381" spans="5:7" ht="15.75" customHeight="1" x14ac:dyDescent="0.3">
      <c r="E381" s="20"/>
      <c r="G381" s="20"/>
    </row>
    <row r="382" spans="5:7" ht="15.75" customHeight="1" x14ac:dyDescent="0.3">
      <c r="E382" s="20"/>
      <c r="G382" s="20"/>
    </row>
    <row r="383" spans="5:7" ht="15.75" customHeight="1" x14ac:dyDescent="0.3">
      <c r="E383" s="20"/>
      <c r="G383" s="20"/>
    </row>
    <row r="384" spans="5:7" ht="15.75" customHeight="1" x14ac:dyDescent="0.3">
      <c r="E384" s="20"/>
      <c r="G384" s="20"/>
    </row>
    <row r="385" spans="5:7" ht="15.75" customHeight="1" x14ac:dyDescent="0.3">
      <c r="E385" s="20"/>
      <c r="G385" s="20"/>
    </row>
    <row r="386" spans="5:7" ht="15.75" customHeight="1" x14ac:dyDescent="0.3">
      <c r="E386" s="20"/>
      <c r="G386" s="20"/>
    </row>
    <row r="387" spans="5:7" ht="15.75" customHeight="1" x14ac:dyDescent="0.3">
      <c r="E387" s="20"/>
      <c r="G387" s="20"/>
    </row>
    <row r="388" spans="5:7" ht="15.75" customHeight="1" x14ac:dyDescent="0.3">
      <c r="E388" s="20"/>
      <c r="G388" s="20"/>
    </row>
    <row r="389" spans="5:7" ht="15.75" customHeight="1" x14ac:dyDescent="0.3">
      <c r="E389" s="20"/>
      <c r="G389" s="20"/>
    </row>
    <row r="390" spans="5:7" ht="15.75" customHeight="1" x14ac:dyDescent="0.3">
      <c r="E390" s="20"/>
      <c r="G390" s="20"/>
    </row>
    <row r="391" spans="5:7" ht="15.75" customHeight="1" x14ac:dyDescent="0.3">
      <c r="E391" s="20"/>
      <c r="G391" s="20"/>
    </row>
    <row r="392" spans="5:7" ht="15.75" customHeight="1" x14ac:dyDescent="0.3">
      <c r="E392" s="20"/>
      <c r="G392" s="20"/>
    </row>
    <row r="393" spans="5:7" ht="15.75" customHeight="1" x14ac:dyDescent="0.3">
      <c r="E393" s="20"/>
      <c r="G393" s="20"/>
    </row>
    <row r="394" spans="5:7" ht="15.75" customHeight="1" x14ac:dyDescent="0.3">
      <c r="E394" s="20"/>
      <c r="G394" s="20"/>
    </row>
    <row r="395" spans="5:7" ht="15.75" customHeight="1" x14ac:dyDescent="0.3">
      <c r="E395" s="20"/>
      <c r="G395" s="20"/>
    </row>
    <row r="396" spans="5:7" ht="15.75" customHeight="1" x14ac:dyDescent="0.3">
      <c r="E396" s="20"/>
      <c r="G396" s="20"/>
    </row>
    <row r="397" spans="5:7" ht="15.75" customHeight="1" x14ac:dyDescent="0.3">
      <c r="E397" s="20"/>
      <c r="G397" s="20"/>
    </row>
    <row r="398" spans="5:7" ht="15.75" customHeight="1" x14ac:dyDescent="0.3">
      <c r="E398" s="20"/>
      <c r="G398" s="20"/>
    </row>
    <row r="399" spans="5:7" ht="15.75" customHeight="1" x14ac:dyDescent="0.3">
      <c r="E399" s="20"/>
      <c r="G399" s="20"/>
    </row>
    <row r="400" spans="5:7" ht="15.75" customHeight="1" x14ac:dyDescent="0.3">
      <c r="E400" s="20"/>
      <c r="G400" s="20"/>
    </row>
    <row r="401" spans="5:7" ht="15.75" customHeight="1" x14ac:dyDescent="0.3">
      <c r="E401" s="20"/>
      <c r="G401" s="20"/>
    </row>
    <row r="402" spans="5:7" ht="15.75" customHeight="1" x14ac:dyDescent="0.3">
      <c r="E402" s="20"/>
      <c r="G402" s="20"/>
    </row>
    <row r="403" spans="5:7" ht="15.75" customHeight="1" x14ac:dyDescent="0.3">
      <c r="E403" s="20"/>
      <c r="G403" s="20"/>
    </row>
    <row r="404" spans="5:7" ht="15.75" customHeight="1" x14ac:dyDescent="0.3">
      <c r="E404" s="20"/>
      <c r="G404" s="20"/>
    </row>
    <row r="405" spans="5:7" ht="15.75" customHeight="1" x14ac:dyDescent="0.3">
      <c r="E405" s="20"/>
      <c r="G405" s="20"/>
    </row>
    <row r="406" spans="5:7" ht="15.75" customHeight="1" x14ac:dyDescent="0.3">
      <c r="E406" s="20"/>
      <c r="G406" s="20"/>
    </row>
    <row r="407" spans="5:7" ht="15.75" customHeight="1" x14ac:dyDescent="0.3">
      <c r="E407" s="20"/>
      <c r="G407" s="20"/>
    </row>
    <row r="408" spans="5:7" ht="15.75" customHeight="1" x14ac:dyDescent="0.3">
      <c r="E408" s="20"/>
      <c r="G408" s="20"/>
    </row>
    <row r="409" spans="5:7" ht="15.75" customHeight="1" x14ac:dyDescent="0.3">
      <c r="E409" s="20"/>
      <c r="G409" s="20"/>
    </row>
    <row r="410" spans="5:7" ht="15.75" customHeight="1" x14ac:dyDescent="0.3">
      <c r="E410" s="20"/>
      <c r="G410" s="20"/>
    </row>
    <row r="411" spans="5:7" ht="15.75" customHeight="1" x14ac:dyDescent="0.3">
      <c r="E411" s="20"/>
      <c r="G411" s="20"/>
    </row>
    <row r="412" spans="5:7" ht="15.75" customHeight="1" x14ac:dyDescent="0.3">
      <c r="E412" s="20"/>
      <c r="G412" s="20"/>
    </row>
    <row r="413" spans="5:7" ht="15.75" customHeight="1" x14ac:dyDescent="0.3">
      <c r="E413" s="20"/>
      <c r="G413" s="20"/>
    </row>
    <row r="414" spans="5:7" ht="15.75" customHeight="1" x14ac:dyDescent="0.3">
      <c r="E414" s="20"/>
      <c r="G414" s="20"/>
    </row>
    <row r="415" spans="5:7" ht="15.75" customHeight="1" x14ac:dyDescent="0.3">
      <c r="E415" s="20"/>
      <c r="G415" s="20"/>
    </row>
    <row r="416" spans="5:7" ht="15.75" customHeight="1" x14ac:dyDescent="0.3">
      <c r="E416" s="20"/>
      <c r="G416" s="20"/>
    </row>
    <row r="417" spans="5:7" ht="15.75" customHeight="1" x14ac:dyDescent="0.3">
      <c r="E417" s="20"/>
      <c r="G417" s="20"/>
    </row>
    <row r="418" spans="5:7" ht="15.75" customHeight="1" x14ac:dyDescent="0.3">
      <c r="E418" s="20"/>
      <c r="G418" s="20"/>
    </row>
    <row r="419" spans="5:7" ht="15.75" customHeight="1" x14ac:dyDescent="0.3">
      <c r="E419" s="20"/>
      <c r="G419" s="20"/>
    </row>
    <row r="420" spans="5:7" ht="15.75" customHeight="1" x14ac:dyDescent="0.3">
      <c r="E420" s="20"/>
      <c r="G420" s="20"/>
    </row>
    <row r="421" spans="5:7" ht="15.75" customHeight="1" x14ac:dyDescent="0.3">
      <c r="E421" s="20"/>
      <c r="G421" s="20"/>
    </row>
    <row r="422" spans="5:7" ht="15.75" customHeight="1" x14ac:dyDescent="0.3">
      <c r="E422" s="20"/>
      <c r="G422" s="20"/>
    </row>
    <row r="423" spans="5:7" ht="15.75" customHeight="1" x14ac:dyDescent="0.3">
      <c r="E423" s="20"/>
      <c r="G423" s="20"/>
    </row>
    <row r="424" spans="5:7" ht="15.75" customHeight="1" x14ac:dyDescent="0.3">
      <c r="E424" s="20"/>
      <c r="G424" s="20"/>
    </row>
    <row r="425" spans="5:7" ht="15.75" customHeight="1" x14ac:dyDescent="0.3">
      <c r="E425" s="20"/>
      <c r="G425" s="20"/>
    </row>
    <row r="426" spans="5:7" ht="15.75" customHeight="1" x14ac:dyDescent="0.3">
      <c r="E426" s="20"/>
      <c r="G426" s="20"/>
    </row>
    <row r="427" spans="5:7" ht="15.75" customHeight="1" x14ac:dyDescent="0.3">
      <c r="E427" s="20"/>
      <c r="G427" s="20"/>
    </row>
    <row r="428" spans="5:7" ht="15.75" customHeight="1" x14ac:dyDescent="0.3">
      <c r="E428" s="20"/>
      <c r="G428" s="20"/>
    </row>
    <row r="429" spans="5:7" ht="15.75" customHeight="1" x14ac:dyDescent="0.3">
      <c r="E429" s="20"/>
      <c r="G429" s="20"/>
    </row>
    <row r="430" spans="5:7" ht="15.75" customHeight="1" x14ac:dyDescent="0.3">
      <c r="E430" s="20"/>
      <c r="G430" s="20"/>
    </row>
    <row r="431" spans="5:7" ht="15.75" customHeight="1" x14ac:dyDescent="0.3">
      <c r="E431" s="20"/>
      <c r="G431" s="20"/>
    </row>
    <row r="432" spans="5:7" ht="15.75" customHeight="1" x14ac:dyDescent="0.3">
      <c r="E432" s="20"/>
      <c r="G432" s="20"/>
    </row>
    <row r="433" spans="5:7" ht="15.75" customHeight="1" x14ac:dyDescent="0.3">
      <c r="E433" s="20"/>
      <c r="G433" s="20"/>
    </row>
    <row r="434" spans="5:7" ht="15.75" customHeight="1" x14ac:dyDescent="0.3">
      <c r="E434" s="20"/>
      <c r="G434" s="20"/>
    </row>
    <row r="435" spans="5:7" ht="15.75" customHeight="1" x14ac:dyDescent="0.3">
      <c r="E435" s="20"/>
      <c r="G435" s="20"/>
    </row>
    <row r="436" spans="5:7" ht="15.75" customHeight="1" x14ac:dyDescent="0.3">
      <c r="E436" s="20"/>
      <c r="G436" s="20"/>
    </row>
    <row r="437" spans="5:7" ht="15.75" customHeight="1" x14ac:dyDescent="0.3">
      <c r="E437" s="20"/>
      <c r="G437" s="20"/>
    </row>
    <row r="438" spans="5:7" ht="15.75" customHeight="1" x14ac:dyDescent="0.3">
      <c r="E438" s="20"/>
      <c r="G438" s="20"/>
    </row>
    <row r="439" spans="5:7" ht="15.75" customHeight="1" x14ac:dyDescent="0.3">
      <c r="E439" s="20"/>
      <c r="G439" s="20"/>
    </row>
    <row r="440" spans="5:7" ht="15.75" customHeight="1" x14ac:dyDescent="0.3">
      <c r="E440" s="20"/>
      <c r="G440" s="20"/>
    </row>
    <row r="441" spans="5:7" ht="15.75" customHeight="1" x14ac:dyDescent="0.3">
      <c r="E441" s="20"/>
      <c r="G441" s="20"/>
    </row>
    <row r="442" spans="5:7" ht="15.75" customHeight="1" x14ac:dyDescent="0.3">
      <c r="E442" s="20"/>
      <c r="G442" s="20"/>
    </row>
    <row r="443" spans="5:7" ht="15.75" customHeight="1" x14ac:dyDescent="0.3">
      <c r="E443" s="20"/>
      <c r="G443" s="20"/>
    </row>
    <row r="444" spans="5:7" ht="15.75" customHeight="1" x14ac:dyDescent="0.3">
      <c r="E444" s="20"/>
      <c r="G444" s="20"/>
    </row>
    <row r="445" spans="5:7" ht="15.75" customHeight="1" x14ac:dyDescent="0.3">
      <c r="E445" s="20"/>
      <c r="G445" s="20"/>
    </row>
    <row r="446" spans="5:7" ht="15.75" customHeight="1" x14ac:dyDescent="0.3">
      <c r="E446" s="20"/>
      <c r="G446" s="20"/>
    </row>
    <row r="447" spans="5:7" ht="15.75" customHeight="1" x14ac:dyDescent="0.3">
      <c r="E447" s="20"/>
      <c r="G447" s="20"/>
    </row>
    <row r="448" spans="5:7" ht="15.75" customHeight="1" x14ac:dyDescent="0.3">
      <c r="E448" s="20"/>
      <c r="G448" s="20"/>
    </row>
    <row r="449" spans="5:7" ht="15.75" customHeight="1" x14ac:dyDescent="0.3">
      <c r="E449" s="20"/>
      <c r="G449" s="20"/>
    </row>
    <row r="450" spans="5:7" ht="15.75" customHeight="1" x14ac:dyDescent="0.3">
      <c r="E450" s="20"/>
      <c r="G450" s="20"/>
    </row>
    <row r="451" spans="5:7" ht="15.75" customHeight="1" x14ac:dyDescent="0.3">
      <c r="E451" s="20"/>
      <c r="G451" s="20"/>
    </row>
    <row r="452" spans="5:7" ht="15.75" customHeight="1" x14ac:dyDescent="0.3">
      <c r="E452" s="20"/>
      <c r="G452" s="20"/>
    </row>
    <row r="453" spans="5:7" ht="15.75" customHeight="1" x14ac:dyDescent="0.3">
      <c r="E453" s="20"/>
      <c r="G453" s="20"/>
    </row>
    <row r="454" spans="5:7" ht="15.75" customHeight="1" x14ac:dyDescent="0.3">
      <c r="E454" s="20"/>
      <c r="G454" s="20"/>
    </row>
    <row r="455" spans="5:7" ht="15.75" customHeight="1" x14ac:dyDescent="0.3">
      <c r="E455" s="20"/>
      <c r="G455" s="20"/>
    </row>
    <row r="456" spans="5:7" ht="15.75" customHeight="1" x14ac:dyDescent="0.3">
      <c r="E456" s="20"/>
      <c r="G456" s="20"/>
    </row>
    <row r="457" spans="5:7" ht="15.75" customHeight="1" x14ac:dyDescent="0.3">
      <c r="E457" s="20"/>
      <c r="G457" s="20"/>
    </row>
    <row r="458" spans="5:7" ht="15.75" customHeight="1" x14ac:dyDescent="0.3">
      <c r="E458" s="20"/>
      <c r="G458" s="20"/>
    </row>
    <row r="459" spans="5:7" ht="15.75" customHeight="1" x14ac:dyDescent="0.3">
      <c r="E459" s="20"/>
      <c r="G459" s="20"/>
    </row>
    <row r="460" spans="5:7" ht="15.75" customHeight="1" x14ac:dyDescent="0.3">
      <c r="E460" s="20"/>
      <c r="G460" s="20"/>
    </row>
    <row r="461" spans="5:7" ht="15.75" customHeight="1" x14ac:dyDescent="0.3">
      <c r="E461" s="20"/>
      <c r="G461" s="20"/>
    </row>
    <row r="462" spans="5:7" ht="15.75" customHeight="1" x14ac:dyDescent="0.3">
      <c r="E462" s="20"/>
      <c r="G462" s="20"/>
    </row>
    <row r="463" spans="5:7" ht="15.75" customHeight="1" x14ac:dyDescent="0.3">
      <c r="E463" s="20"/>
      <c r="G463" s="20"/>
    </row>
    <row r="464" spans="5:7" ht="15.75" customHeight="1" x14ac:dyDescent="0.3">
      <c r="E464" s="20"/>
      <c r="G464" s="20"/>
    </row>
    <row r="465" spans="5:7" ht="15.75" customHeight="1" x14ac:dyDescent="0.3">
      <c r="E465" s="20"/>
      <c r="G465" s="20"/>
    </row>
    <row r="466" spans="5:7" ht="15.75" customHeight="1" x14ac:dyDescent="0.3">
      <c r="E466" s="20"/>
      <c r="G466" s="20"/>
    </row>
    <row r="467" spans="5:7" ht="15.75" customHeight="1" x14ac:dyDescent="0.3">
      <c r="E467" s="20"/>
      <c r="G467" s="20"/>
    </row>
    <row r="468" spans="5:7" ht="15.75" customHeight="1" x14ac:dyDescent="0.3">
      <c r="E468" s="20"/>
      <c r="G468" s="20"/>
    </row>
    <row r="469" spans="5:7" ht="15.75" customHeight="1" x14ac:dyDescent="0.3">
      <c r="E469" s="20"/>
      <c r="G469" s="20"/>
    </row>
    <row r="470" spans="5:7" ht="15.75" customHeight="1" x14ac:dyDescent="0.3">
      <c r="E470" s="20"/>
      <c r="G470" s="20"/>
    </row>
    <row r="471" spans="5:7" ht="15.75" customHeight="1" x14ac:dyDescent="0.3">
      <c r="E471" s="20"/>
      <c r="G471" s="20"/>
    </row>
    <row r="472" spans="5:7" ht="15.75" customHeight="1" x14ac:dyDescent="0.3">
      <c r="E472" s="20"/>
      <c r="G472" s="20"/>
    </row>
    <row r="473" spans="5:7" ht="15.75" customHeight="1" x14ac:dyDescent="0.3">
      <c r="E473" s="20"/>
      <c r="G473" s="20"/>
    </row>
    <row r="474" spans="5:7" ht="15.75" customHeight="1" x14ac:dyDescent="0.3">
      <c r="E474" s="20"/>
      <c r="G474" s="20"/>
    </row>
    <row r="475" spans="5:7" ht="15.75" customHeight="1" x14ac:dyDescent="0.3">
      <c r="E475" s="20"/>
      <c r="G475" s="20"/>
    </row>
    <row r="476" spans="5:7" ht="15.75" customHeight="1" x14ac:dyDescent="0.3">
      <c r="E476" s="20"/>
      <c r="G476" s="20"/>
    </row>
    <row r="477" spans="5:7" ht="15.75" customHeight="1" x14ac:dyDescent="0.3">
      <c r="E477" s="20"/>
      <c r="G477" s="20"/>
    </row>
    <row r="478" spans="5:7" ht="15.75" customHeight="1" x14ac:dyDescent="0.3">
      <c r="E478" s="20"/>
      <c r="G478" s="20"/>
    </row>
    <row r="479" spans="5:7" ht="15.75" customHeight="1" x14ac:dyDescent="0.3">
      <c r="E479" s="20"/>
      <c r="G479" s="20"/>
    </row>
    <row r="480" spans="5:7" ht="15.75" customHeight="1" x14ac:dyDescent="0.3">
      <c r="E480" s="20"/>
      <c r="G480" s="20"/>
    </row>
    <row r="481" spans="5:7" ht="15.75" customHeight="1" x14ac:dyDescent="0.3">
      <c r="E481" s="20"/>
      <c r="G481" s="20"/>
    </row>
    <row r="482" spans="5:7" ht="15.75" customHeight="1" x14ac:dyDescent="0.3">
      <c r="E482" s="20"/>
      <c r="G482" s="20"/>
    </row>
    <row r="483" spans="5:7" ht="15.75" customHeight="1" x14ac:dyDescent="0.3">
      <c r="E483" s="20"/>
      <c r="G483" s="20"/>
    </row>
    <row r="484" spans="5:7" ht="15.75" customHeight="1" x14ac:dyDescent="0.3">
      <c r="E484" s="20"/>
      <c r="G484" s="20"/>
    </row>
    <row r="485" spans="5:7" ht="15.75" customHeight="1" x14ac:dyDescent="0.3">
      <c r="E485" s="20"/>
      <c r="G485" s="20"/>
    </row>
    <row r="486" spans="5:7" ht="15.75" customHeight="1" x14ac:dyDescent="0.3">
      <c r="E486" s="20"/>
      <c r="G486" s="20"/>
    </row>
    <row r="487" spans="5:7" ht="15.75" customHeight="1" x14ac:dyDescent="0.3">
      <c r="E487" s="20"/>
      <c r="G487" s="20"/>
    </row>
    <row r="488" spans="5:7" ht="15.75" customHeight="1" x14ac:dyDescent="0.3">
      <c r="E488" s="20"/>
      <c r="G488" s="20"/>
    </row>
    <row r="489" spans="5:7" ht="15.75" customHeight="1" x14ac:dyDescent="0.3">
      <c r="E489" s="20"/>
      <c r="G489" s="20"/>
    </row>
    <row r="490" spans="5:7" ht="15.75" customHeight="1" x14ac:dyDescent="0.3">
      <c r="E490" s="20"/>
      <c r="G490" s="20"/>
    </row>
    <row r="491" spans="5:7" ht="15.75" customHeight="1" x14ac:dyDescent="0.3">
      <c r="E491" s="20"/>
      <c r="G491" s="20"/>
    </row>
    <row r="492" spans="5:7" ht="15.75" customHeight="1" x14ac:dyDescent="0.3">
      <c r="E492" s="20"/>
      <c r="G492" s="20"/>
    </row>
    <row r="493" spans="5:7" ht="15.75" customHeight="1" x14ac:dyDescent="0.3">
      <c r="E493" s="20"/>
      <c r="G493" s="20"/>
    </row>
    <row r="494" spans="5:7" ht="15.75" customHeight="1" x14ac:dyDescent="0.3">
      <c r="E494" s="20"/>
      <c r="G494" s="20"/>
    </row>
    <row r="495" spans="5:7" ht="15.75" customHeight="1" x14ac:dyDescent="0.3">
      <c r="E495" s="20"/>
      <c r="G495" s="20"/>
    </row>
    <row r="496" spans="5:7" ht="15.75" customHeight="1" x14ac:dyDescent="0.3">
      <c r="E496" s="20"/>
      <c r="G496" s="20"/>
    </row>
    <row r="497" spans="5:7" ht="15.75" customHeight="1" x14ac:dyDescent="0.3">
      <c r="E497" s="20"/>
      <c r="G497" s="20"/>
    </row>
    <row r="498" spans="5:7" ht="15.75" customHeight="1" x14ac:dyDescent="0.3">
      <c r="E498" s="20"/>
      <c r="G498" s="20"/>
    </row>
    <row r="499" spans="5:7" ht="15.75" customHeight="1" x14ac:dyDescent="0.3">
      <c r="E499" s="20"/>
      <c r="G499" s="20"/>
    </row>
    <row r="500" spans="5:7" ht="15.75" customHeight="1" x14ac:dyDescent="0.3">
      <c r="E500" s="20"/>
      <c r="G500" s="20"/>
    </row>
    <row r="501" spans="5:7" ht="15.75" customHeight="1" x14ac:dyDescent="0.3">
      <c r="E501" s="20"/>
      <c r="G501" s="20"/>
    </row>
    <row r="502" spans="5:7" ht="15.75" customHeight="1" x14ac:dyDescent="0.3">
      <c r="E502" s="20"/>
      <c r="G502" s="20"/>
    </row>
    <row r="503" spans="5:7" ht="15.75" customHeight="1" x14ac:dyDescent="0.3">
      <c r="E503" s="20"/>
      <c r="G503" s="20"/>
    </row>
    <row r="504" spans="5:7" ht="15.75" customHeight="1" x14ac:dyDescent="0.3">
      <c r="E504" s="20"/>
      <c r="G504" s="20"/>
    </row>
    <row r="505" spans="5:7" ht="15.75" customHeight="1" x14ac:dyDescent="0.3">
      <c r="E505" s="20"/>
      <c r="G505" s="20"/>
    </row>
    <row r="506" spans="5:7" ht="15.75" customHeight="1" x14ac:dyDescent="0.3">
      <c r="E506" s="20"/>
      <c r="G506" s="20"/>
    </row>
    <row r="507" spans="5:7" ht="15.75" customHeight="1" x14ac:dyDescent="0.3">
      <c r="E507" s="20"/>
      <c r="G507" s="20"/>
    </row>
    <row r="508" spans="5:7" ht="15.75" customHeight="1" x14ac:dyDescent="0.3">
      <c r="E508" s="20"/>
      <c r="G508" s="20"/>
    </row>
    <row r="509" spans="5:7" ht="15.75" customHeight="1" x14ac:dyDescent="0.3">
      <c r="E509" s="20"/>
      <c r="G509" s="20"/>
    </row>
    <row r="510" spans="5:7" ht="15.75" customHeight="1" x14ac:dyDescent="0.3">
      <c r="E510" s="20"/>
      <c r="G510" s="20"/>
    </row>
    <row r="511" spans="5:7" ht="15.75" customHeight="1" x14ac:dyDescent="0.3">
      <c r="E511" s="20"/>
      <c r="G511" s="20"/>
    </row>
    <row r="512" spans="5:7" ht="15.75" customHeight="1" x14ac:dyDescent="0.3">
      <c r="E512" s="20"/>
      <c r="G512" s="20"/>
    </row>
    <row r="513" spans="5:7" ht="15.75" customHeight="1" x14ac:dyDescent="0.3">
      <c r="E513" s="20"/>
      <c r="G513" s="20"/>
    </row>
    <row r="514" spans="5:7" ht="15.75" customHeight="1" x14ac:dyDescent="0.3">
      <c r="E514" s="20"/>
      <c r="G514" s="20"/>
    </row>
    <row r="515" spans="5:7" ht="15.75" customHeight="1" x14ac:dyDescent="0.3">
      <c r="E515" s="20"/>
      <c r="G515" s="20"/>
    </row>
    <row r="516" spans="5:7" ht="15.75" customHeight="1" x14ac:dyDescent="0.3">
      <c r="E516" s="20"/>
      <c r="G516" s="20"/>
    </row>
    <row r="517" spans="5:7" ht="15.75" customHeight="1" x14ac:dyDescent="0.3">
      <c r="E517" s="20"/>
      <c r="G517" s="20"/>
    </row>
    <row r="518" spans="5:7" ht="15.75" customHeight="1" x14ac:dyDescent="0.3">
      <c r="E518" s="20"/>
      <c r="G518" s="20"/>
    </row>
    <row r="519" spans="5:7" ht="15.75" customHeight="1" x14ac:dyDescent="0.3">
      <c r="E519" s="20"/>
      <c r="G519" s="20"/>
    </row>
    <row r="520" spans="5:7" ht="15.75" customHeight="1" x14ac:dyDescent="0.3">
      <c r="E520" s="20"/>
      <c r="G520" s="20"/>
    </row>
    <row r="521" spans="5:7" ht="15.75" customHeight="1" x14ac:dyDescent="0.3">
      <c r="E521" s="20"/>
      <c r="G521" s="20"/>
    </row>
    <row r="522" spans="5:7" ht="15.75" customHeight="1" x14ac:dyDescent="0.3">
      <c r="E522" s="20"/>
      <c r="G522" s="20"/>
    </row>
    <row r="523" spans="5:7" ht="15.75" customHeight="1" x14ac:dyDescent="0.3">
      <c r="E523" s="20"/>
      <c r="G523" s="20"/>
    </row>
    <row r="524" spans="5:7" ht="15.75" customHeight="1" x14ac:dyDescent="0.3">
      <c r="E524" s="20"/>
      <c r="G524" s="20"/>
    </row>
    <row r="525" spans="5:7" ht="15.75" customHeight="1" x14ac:dyDescent="0.3">
      <c r="E525" s="20"/>
      <c r="G525" s="20"/>
    </row>
    <row r="526" spans="5:7" ht="15.75" customHeight="1" x14ac:dyDescent="0.3">
      <c r="E526" s="20"/>
      <c r="G526" s="20"/>
    </row>
    <row r="527" spans="5:7" ht="15.75" customHeight="1" x14ac:dyDescent="0.3">
      <c r="E527" s="20"/>
      <c r="G527" s="20"/>
    </row>
    <row r="528" spans="5:7" ht="15.75" customHeight="1" x14ac:dyDescent="0.3">
      <c r="E528" s="20"/>
      <c r="G528" s="20"/>
    </row>
    <row r="529" spans="5:7" ht="15.75" customHeight="1" x14ac:dyDescent="0.3">
      <c r="E529" s="20"/>
      <c r="G529" s="20"/>
    </row>
    <row r="530" spans="5:7" ht="15.75" customHeight="1" x14ac:dyDescent="0.3">
      <c r="E530" s="20"/>
      <c r="G530" s="20"/>
    </row>
    <row r="531" spans="5:7" ht="15.75" customHeight="1" x14ac:dyDescent="0.3">
      <c r="E531" s="20"/>
      <c r="G531" s="20"/>
    </row>
    <row r="532" spans="5:7" ht="15.75" customHeight="1" x14ac:dyDescent="0.3">
      <c r="E532" s="20"/>
      <c r="G532" s="20"/>
    </row>
    <row r="533" spans="5:7" ht="15.75" customHeight="1" x14ac:dyDescent="0.3">
      <c r="E533" s="20"/>
      <c r="G533" s="20"/>
    </row>
    <row r="534" spans="5:7" ht="15.75" customHeight="1" x14ac:dyDescent="0.3">
      <c r="E534" s="20"/>
      <c r="G534" s="20"/>
    </row>
    <row r="535" spans="5:7" ht="15.75" customHeight="1" x14ac:dyDescent="0.3">
      <c r="E535" s="20"/>
      <c r="G535" s="20"/>
    </row>
    <row r="536" spans="5:7" ht="15.75" customHeight="1" x14ac:dyDescent="0.3">
      <c r="E536" s="20"/>
      <c r="G536" s="20"/>
    </row>
    <row r="537" spans="5:7" ht="15.75" customHeight="1" x14ac:dyDescent="0.3">
      <c r="E537" s="20"/>
      <c r="G537" s="20"/>
    </row>
    <row r="538" spans="5:7" ht="15.75" customHeight="1" x14ac:dyDescent="0.3">
      <c r="E538" s="20"/>
      <c r="G538" s="20"/>
    </row>
    <row r="539" spans="5:7" ht="15.75" customHeight="1" x14ac:dyDescent="0.3">
      <c r="E539" s="20"/>
      <c r="G539" s="20"/>
    </row>
    <row r="540" spans="5:7" ht="15.75" customHeight="1" x14ac:dyDescent="0.3">
      <c r="E540" s="20"/>
      <c r="G540" s="20"/>
    </row>
    <row r="541" spans="5:7" ht="15.75" customHeight="1" x14ac:dyDescent="0.3">
      <c r="E541" s="20"/>
      <c r="G541" s="20"/>
    </row>
    <row r="542" spans="5:7" ht="15.75" customHeight="1" x14ac:dyDescent="0.3">
      <c r="E542" s="20"/>
      <c r="G542" s="20"/>
    </row>
    <row r="543" spans="5:7" ht="15.75" customHeight="1" x14ac:dyDescent="0.3">
      <c r="E543" s="20"/>
      <c r="G543" s="20"/>
    </row>
    <row r="544" spans="5:7" ht="15.75" customHeight="1" x14ac:dyDescent="0.3">
      <c r="E544" s="20"/>
      <c r="G544" s="20"/>
    </row>
    <row r="545" spans="5:7" ht="15.75" customHeight="1" x14ac:dyDescent="0.3">
      <c r="E545" s="20"/>
      <c r="G545" s="20"/>
    </row>
    <row r="546" spans="5:7" ht="15.75" customHeight="1" x14ac:dyDescent="0.3">
      <c r="E546" s="20"/>
      <c r="G546" s="20"/>
    </row>
    <row r="547" spans="5:7" ht="15.75" customHeight="1" x14ac:dyDescent="0.3">
      <c r="E547" s="20"/>
      <c r="G547" s="20"/>
    </row>
    <row r="548" spans="5:7" ht="15.75" customHeight="1" x14ac:dyDescent="0.3">
      <c r="E548" s="20"/>
      <c r="G548" s="20"/>
    </row>
    <row r="549" spans="5:7" ht="15.75" customHeight="1" x14ac:dyDescent="0.3">
      <c r="E549" s="20"/>
      <c r="G549" s="20"/>
    </row>
    <row r="550" spans="5:7" ht="15.75" customHeight="1" x14ac:dyDescent="0.3">
      <c r="E550" s="20"/>
      <c r="G550" s="20"/>
    </row>
    <row r="551" spans="5:7" ht="15.75" customHeight="1" x14ac:dyDescent="0.3">
      <c r="E551" s="20"/>
      <c r="G551" s="20"/>
    </row>
    <row r="552" spans="5:7" ht="15.75" customHeight="1" x14ac:dyDescent="0.3">
      <c r="E552" s="20"/>
      <c r="G552" s="20"/>
    </row>
    <row r="553" spans="5:7" ht="15.75" customHeight="1" x14ac:dyDescent="0.3">
      <c r="E553" s="20"/>
      <c r="G553" s="20"/>
    </row>
    <row r="554" spans="5:7" ht="15.75" customHeight="1" x14ac:dyDescent="0.3">
      <c r="E554" s="20"/>
      <c r="G554" s="20"/>
    </row>
    <row r="555" spans="5:7" ht="15.75" customHeight="1" x14ac:dyDescent="0.3">
      <c r="E555" s="20"/>
      <c r="G555" s="20"/>
    </row>
    <row r="556" spans="5:7" ht="15.75" customHeight="1" x14ac:dyDescent="0.3">
      <c r="E556" s="20"/>
      <c r="G556" s="20"/>
    </row>
    <row r="557" spans="5:7" ht="15.75" customHeight="1" x14ac:dyDescent="0.3">
      <c r="E557" s="20"/>
      <c r="G557" s="20"/>
    </row>
    <row r="558" spans="5:7" ht="15.75" customHeight="1" x14ac:dyDescent="0.3">
      <c r="E558" s="20"/>
      <c r="G558" s="20"/>
    </row>
    <row r="559" spans="5:7" ht="15.75" customHeight="1" x14ac:dyDescent="0.3">
      <c r="E559" s="20"/>
      <c r="G559" s="20"/>
    </row>
    <row r="560" spans="5:7" ht="15.75" customHeight="1" x14ac:dyDescent="0.3">
      <c r="E560" s="20"/>
      <c r="G560" s="20"/>
    </row>
    <row r="561" spans="5:7" ht="15.75" customHeight="1" x14ac:dyDescent="0.3">
      <c r="E561" s="20"/>
      <c r="G561" s="20"/>
    </row>
    <row r="562" spans="5:7" ht="15.75" customHeight="1" x14ac:dyDescent="0.3">
      <c r="E562" s="20"/>
      <c r="G562" s="20"/>
    </row>
    <row r="563" spans="5:7" ht="15.75" customHeight="1" x14ac:dyDescent="0.3">
      <c r="E563" s="20"/>
      <c r="G563" s="20"/>
    </row>
    <row r="564" spans="5:7" ht="15.75" customHeight="1" x14ac:dyDescent="0.3">
      <c r="E564" s="20"/>
      <c r="G564" s="20"/>
    </row>
    <row r="565" spans="5:7" ht="15.75" customHeight="1" x14ac:dyDescent="0.3">
      <c r="E565" s="20"/>
      <c r="G565" s="20"/>
    </row>
    <row r="566" spans="5:7" ht="15.75" customHeight="1" x14ac:dyDescent="0.3">
      <c r="E566" s="20"/>
      <c r="G566" s="20"/>
    </row>
    <row r="567" spans="5:7" ht="15.75" customHeight="1" x14ac:dyDescent="0.3">
      <c r="E567" s="20"/>
      <c r="G567" s="20"/>
    </row>
    <row r="568" spans="5:7" ht="15.75" customHeight="1" x14ac:dyDescent="0.3">
      <c r="E568" s="20"/>
      <c r="G568" s="20"/>
    </row>
    <row r="569" spans="5:7" ht="15.75" customHeight="1" x14ac:dyDescent="0.3">
      <c r="E569" s="20"/>
      <c r="G569" s="20"/>
    </row>
    <row r="570" spans="5:7" ht="15.75" customHeight="1" x14ac:dyDescent="0.3">
      <c r="E570" s="20"/>
      <c r="G570" s="20"/>
    </row>
    <row r="571" spans="5:7" ht="15.75" customHeight="1" x14ac:dyDescent="0.3">
      <c r="E571" s="20"/>
      <c r="G571" s="20"/>
    </row>
    <row r="572" spans="5:7" ht="15.75" customHeight="1" x14ac:dyDescent="0.3">
      <c r="E572" s="20"/>
      <c r="G572" s="20"/>
    </row>
    <row r="573" spans="5:7" ht="15.75" customHeight="1" x14ac:dyDescent="0.3">
      <c r="E573" s="20"/>
      <c r="G573" s="20"/>
    </row>
    <row r="574" spans="5:7" ht="15.75" customHeight="1" x14ac:dyDescent="0.3">
      <c r="E574" s="20"/>
      <c r="G574" s="20"/>
    </row>
    <row r="575" spans="5:7" ht="15.75" customHeight="1" x14ac:dyDescent="0.3">
      <c r="E575" s="20"/>
      <c r="G575" s="20"/>
    </row>
    <row r="576" spans="5:7" ht="15.75" customHeight="1" x14ac:dyDescent="0.3">
      <c r="E576" s="20"/>
      <c r="G576" s="20"/>
    </row>
    <row r="577" spans="5:7" ht="15.75" customHeight="1" x14ac:dyDescent="0.3">
      <c r="E577" s="20"/>
      <c r="G577" s="20"/>
    </row>
    <row r="578" spans="5:7" ht="15.75" customHeight="1" x14ac:dyDescent="0.3">
      <c r="E578" s="20"/>
      <c r="G578" s="20"/>
    </row>
    <row r="579" spans="5:7" ht="15.75" customHeight="1" x14ac:dyDescent="0.3">
      <c r="E579" s="20"/>
      <c r="G579" s="20"/>
    </row>
    <row r="580" spans="5:7" ht="15.75" customHeight="1" x14ac:dyDescent="0.3">
      <c r="E580" s="20"/>
      <c r="G580" s="20"/>
    </row>
    <row r="581" spans="5:7" ht="15.75" customHeight="1" x14ac:dyDescent="0.3">
      <c r="E581" s="20"/>
      <c r="G581" s="20"/>
    </row>
    <row r="582" spans="5:7" ht="15.75" customHeight="1" x14ac:dyDescent="0.3">
      <c r="E582" s="20"/>
      <c r="G582" s="20"/>
    </row>
    <row r="583" spans="5:7" ht="15.75" customHeight="1" x14ac:dyDescent="0.3">
      <c r="E583" s="20"/>
      <c r="G583" s="20"/>
    </row>
    <row r="584" spans="5:7" ht="15.75" customHeight="1" x14ac:dyDescent="0.3">
      <c r="E584" s="20"/>
      <c r="G584" s="20"/>
    </row>
    <row r="585" spans="5:7" ht="15.75" customHeight="1" x14ac:dyDescent="0.3">
      <c r="E585" s="20"/>
      <c r="G585" s="20"/>
    </row>
    <row r="586" spans="5:7" ht="15.75" customHeight="1" x14ac:dyDescent="0.3">
      <c r="E586" s="20"/>
      <c r="G586" s="20"/>
    </row>
    <row r="587" spans="5:7" ht="15.75" customHeight="1" x14ac:dyDescent="0.3">
      <c r="E587" s="20"/>
      <c r="G587" s="20"/>
    </row>
    <row r="588" spans="5:7" ht="15.75" customHeight="1" x14ac:dyDescent="0.3">
      <c r="E588" s="20"/>
      <c r="G588" s="20"/>
    </row>
    <row r="589" spans="5:7" ht="15.75" customHeight="1" x14ac:dyDescent="0.3">
      <c r="E589" s="20"/>
      <c r="G589" s="20"/>
    </row>
    <row r="590" spans="5:7" ht="15.75" customHeight="1" x14ac:dyDescent="0.3">
      <c r="E590" s="20"/>
      <c r="G590" s="20"/>
    </row>
    <row r="591" spans="5:7" ht="15.75" customHeight="1" x14ac:dyDescent="0.3">
      <c r="E591" s="20"/>
      <c r="G591" s="20"/>
    </row>
    <row r="592" spans="5:7" ht="15.75" customHeight="1" x14ac:dyDescent="0.3">
      <c r="E592" s="20"/>
      <c r="G592" s="20"/>
    </row>
    <row r="593" spans="5:7" ht="15.75" customHeight="1" x14ac:dyDescent="0.3">
      <c r="E593" s="20"/>
      <c r="G593" s="20"/>
    </row>
    <row r="594" spans="5:7" ht="15.75" customHeight="1" x14ac:dyDescent="0.3">
      <c r="E594" s="20"/>
      <c r="G594" s="20"/>
    </row>
    <row r="595" spans="5:7" ht="15.75" customHeight="1" x14ac:dyDescent="0.3">
      <c r="E595" s="20"/>
      <c r="G595" s="20"/>
    </row>
    <row r="596" spans="5:7" ht="15.75" customHeight="1" x14ac:dyDescent="0.3">
      <c r="E596" s="20"/>
      <c r="G596" s="20"/>
    </row>
    <row r="597" spans="5:7" ht="15.75" customHeight="1" x14ac:dyDescent="0.3">
      <c r="E597" s="20"/>
      <c r="G597" s="20"/>
    </row>
    <row r="598" spans="5:7" ht="15.75" customHeight="1" x14ac:dyDescent="0.3">
      <c r="E598" s="20"/>
      <c r="G598" s="20"/>
    </row>
    <row r="599" spans="5:7" ht="15.75" customHeight="1" x14ac:dyDescent="0.3">
      <c r="E599" s="20"/>
      <c r="G599" s="20"/>
    </row>
    <row r="600" spans="5:7" ht="15.75" customHeight="1" x14ac:dyDescent="0.3">
      <c r="E600" s="20"/>
      <c r="G600" s="20"/>
    </row>
    <row r="601" spans="5:7" ht="15.75" customHeight="1" x14ac:dyDescent="0.3">
      <c r="E601" s="20"/>
      <c r="G601" s="20"/>
    </row>
    <row r="602" spans="5:7" ht="15.75" customHeight="1" x14ac:dyDescent="0.3">
      <c r="E602" s="20"/>
      <c r="G602" s="20"/>
    </row>
    <row r="603" spans="5:7" ht="15.75" customHeight="1" x14ac:dyDescent="0.3">
      <c r="E603" s="20"/>
      <c r="G603" s="20"/>
    </row>
    <row r="604" spans="5:7" ht="15.75" customHeight="1" x14ac:dyDescent="0.3">
      <c r="E604" s="20"/>
      <c r="G604" s="20"/>
    </row>
    <row r="605" spans="5:7" ht="15.75" customHeight="1" x14ac:dyDescent="0.3">
      <c r="E605" s="20"/>
      <c r="G605" s="20"/>
    </row>
    <row r="606" spans="5:7" ht="15.75" customHeight="1" x14ac:dyDescent="0.3">
      <c r="E606" s="20"/>
      <c r="G606" s="20"/>
    </row>
    <row r="607" spans="5:7" ht="15.75" customHeight="1" x14ac:dyDescent="0.3">
      <c r="E607" s="20"/>
      <c r="G607" s="20"/>
    </row>
    <row r="608" spans="5:7" ht="15.75" customHeight="1" x14ac:dyDescent="0.3">
      <c r="E608" s="20"/>
      <c r="G608" s="20"/>
    </row>
    <row r="609" spans="5:7" ht="15.75" customHeight="1" x14ac:dyDescent="0.3">
      <c r="E609" s="20"/>
      <c r="G609" s="20"/>
    </row>
    <row r="610" spans="5:7" ht="15.75" customHeight="1" x14ac:dyDescent="0.3">
      <c r="E610" s="20"/>
      <c r="G610" s="20"/>
    </row>
    <row r="611" spans="5:7" ht="15.75" customHeight="1" x14ac:dyDescent="0.3">
      <c r="E611" s="20"/>
      <c r="G611" s="20"/>
    </row>
    <row r="612" spans="5:7" ht="15.75" customHeight="1" x14ac:dyDescent="0.3">
      <c r="E612" s="20"/>
      <c r="G612" s="20"/>
    </row>
    <row r="613" spans="5:7" ht="15.75" customHeight="1" x14ac:dyDescent="0.3">
      <c r="E613" s="20"/>
      <c r="G613" s="20"/>
    </row>
    <row r="614" spans="5:7" ht="15.75" customHeight="1" x14ac:dyDescent="0.3">
      <c r="E614" s="20"/>
      <c r="G614" s="20"/>
    </row>
    <row r="615" spans="5:7" ht="15.75" customHeight="1" x14ac:dyDescent="0.3">
      <c r="E615" s="20"/>
      <c r="G615" s="20"/>
    </row>
    <row r="616" spans="5:7" ht="15.75" customHeight="1" x14ac:dyDescent="0.3">
      <c r="E616" s="20"/>
      <c r="G616" s="20"/>
    </row>
    <row r="617" spans="5:7" ht="15.75" customHeight="1" x14ac:dyDescent="0.3">
      <c r="E617" s="20"/>
      <c r="G617" s="20"/>
    </row>
    <row r="618" spans="5:7" ht="15.75" customHeight="1" x14ac:dyDescent="0.3">
      <c r="E618" s="20"/>
      <c r="G618" s="20"/>
    </row>
    <row r="619" spans="5:7" ht="15.75" customHeight="1" x14ac:dyDescent="0.3">
      <c r="E619" s="20"/>
      <c r="G619" s="20"/>
    </row>
    <row r="620" spans="5:7" ht="15.75" customHeight="1" x14ac:dyDescent="0.3">
      <c r="E620" s="20"/>
      <c r="G620" s="20"/>
    </row>
    <row r="621" spans="5:7" ht="15.75" customHeight="1" x14ac:dyDescent="0.3">
      <c r="E621" s="20"/>
      <c r="G621" s="20"/>
    </row>
    <row r="622" spans="5:7" ht="15.75" customHeight="1" x14ac:dyDescent="0.3">
      <c r="E622" s="20"/>
      <c r="G622" s="20"/>
    </row>
    <row r="623" spans="5:7" ht="15.75" customHeight="1" x14ac:dyDescent="0.3">
      <c r="E623" s="20"/>
      <c r="G623" s="20"/>
    </row>
    <row r="624" spans="5:7" ht="15.75" customHeight="1" x14ac:dyDescent="0.3">
      <c r="E624" s="20"/>
      <c r="G624" s="20"/>
    </row>
    <row r="625" spans="5:7" ht="15.75" customHeight="1" x14ac:dyDescent="0.3">
      <c r="E625" s="20"/>
      <c r="G625" s="20"/>
    </row>
    <row r="626" spans="5:7" ht="15.75" customHeight="1" x14ac:dyDescent="0.3">
      <c r="E626" s="20"/>
      <c r="G626" s="20"/>
    </row>
    <row r="627" spans="5:7" ht="15.75" customHeight="1" x14ac:dyDescent="0.3">
      <c r="E627" s="20"/>
      <c r="G627" s="20"/>
    </row>
    <row r="628" spans="5:7" ht="15.75" customHeight="1" x14ac:dyDescent="0.3">
      <c r="E628" s="20"/>
      <c r="G628" s="20"/>
    </row>
    <row r="629" spans="5:7" ht="15.75" customHeight="1" x14ac:dyDescent="0.3">
      <c r="E629" s="20"/>
      <c r="G629" s="20"/>
    </row>
    <row r="630" spans="5:7" ht="15.75" customHeight="1" x14ac:dyDescent="0.3">
      <c r="E630" s="20"/>
      <c r="G630" s="20"/>
    </row>
    <row r="631" spans="5:7" ht="15.75" customHeight="1" x14ac:dyDescent="0.3">
      <c r="E631" s="20"/>
      <c r="G631" s="20"/>
    </row>
    <row r="632" spans="5:7" ht="15.75" customHeight="1" x14ac:dyDescent="0.3">
      <c r="E632" s="20"/>
      <c r="G632" s="20"/>
    </row>
    <row r="633" spans="5:7" ht="15.75" customHeight="1" x14ac:dyDescent="0.3">
      <c r="E633" s="20"/>
      <c r="G633" s="20"/>
    </row>
    <row r="634" spans="5:7" ht="15.75" customHeight="1" x14ac:dyDescent="0.3">
      <c r="E634" s="20"/>
      <c r="G634" s="20"/>
    </row>
    <row r="635" spans="5:7" ht="15.75" customHeight="1" x14ac:dyDescent="0.3">
      <c r="E635" s="20"/>
      <c r="G635" s="20"/>
    </row>
    <row r="636" spans="5:7" ht="15.75" customHeight="1" x14ac:dyDescent="0.3">
      <c r="E636" s="20"/>
      <c r="G636" s="20"/>
    </row>
    <row r="637" spans="5:7" ht="15.75" customHeight="1" x14ac:dyDescent="0.3">
      <c r="E637" s="20"/>
      <c r="G637" s="20"/>
    </row>
    <row r="638" spans="5:7" ht="15.75" customHeight="1" x14ac:dyDescent="0.3">
      <c r="E638" s="20"/>
      <c r="G638" s="20"/>
    </row>
    <row r="639" spans="5:7" ht="15.75" customHeight="1" x14ac:dyDescent="0.3">
      <c r="E639" s="20"/>
      <c r="G639" s="20"/>
    </row>
    <row r="640" spans="5:7" ht="15.75" customHeight="1" x14ac:dyDescent="0.3">
      <c r="E640" s="20"/>
      <c r="G640" s="20"/>
    </row>
    <row r="641" spans="5:7" ht="15.75" customHeight="1" x14ac:dyDescent="0.3">
      <c r="E641" s="20"/>
      <c r="G641" s="20"/>
    </row>
    <row r="642" spans="5:7" ht="15.75" customHeight="1" x14ac:dyDescent="0.3">
      <c r="E642" s="20"/>
      <c r="G642" s="20"/>
    </row>
    <row r="643" spans="5:7" ht="15.75" customHeight="1" x14ac:dyDescent="0.3">
      <c r="E643" s="20"/>
      <c r="G643" s="20"/>
    </row>
    <row r="644" spans="5:7" ht="15.75" customHeight="1" x14ac:dyDescent="0.3">
      <c r="E644" s="20"/>
      <c r="G644" s="20"/>
    </row>
    <row r="645" spans="5:7" ht="15.75" customHeight="1" x14ac:dyDescent="0.3">
      <c r="E645" s="20"/>
      <c r="G645" s="20"/>
    </row>
    <row r="646" spans="5:7" ht="15.75" customHeight="1" x14ac:dyDescent="0.3">
      <c r="E646" s="20"/>
      <c r="G646" s="20"/>
    </row>
    <row r="647" spans="5:7" ht="15.75" customHeight="1" x14ac:dyDescent="0.3">
      <c r="E647" s="20"/>
      <c r="G647" s="20"/>
    </row>
    <row r="648" spans="5:7" ht="15.75" customHeight="1" x14ac:dyDescent="0.3">
      <c r="E648" s="20"/>
      <c r="G648" s="20"/>
    </row>
    <row r="649" spans="5:7" ht="15.75" customHeight="1" x14ac:dyDescent="0.3">
      <c r="E649" s="20"/>
      <c r="G649" s="20"/>
    </row>
    <row r="650" spans="5:7" ht="15.75" customHeight="1" x14ac:dyDescent="0.3">
      <c r="E650" s="20"/>
      <c r="G650" s="20"/>
    </row>
    <row r="651" spans="5:7" ht="15.75" customHeight="1" x14ac:dyDescent="0.3">
      <c r="E651" s="20"/>
      <c r="G651" s="20"/>
    </row>
    <row r="652" spans="5:7" ht="15.75" customHeight="1" x14ac:dyDescent="0.3">
      <c r="E652" s="20"/>
      <c r="G652" s="20"/>
    </row>
    <row r="653" spans="5:7" ht="15.75" customHeight="1" x14ac:dyDescent="0.3">
      <c r="E653" s="20"/>
      <c r="G653" s="20"/>
    </row>
    <row r="654" spans="5:7" ht="15.75" customHeight="1" x14ac:dyDescent="0.3">
      <c r="E654" s="20"/>
      <c r="G654" s="20"/>
    </row>
    <row r="655" spans="5:7" ht="15.75" customHeight="1" x14ac:dyDescent="0.3">
      <c r="E655" s="20"/>
      <c r="G655" s="20"/>
    </row>
    <row r="656" spans="5:7" ht="15.75" customHeight="1" x14ac:dyDescent="0.3">
      <c r="E656" s="20"/>
      <c r="G656" s="20"/>
    </row>
    <row r="657" spans="5:7" ht="15.75" customHeight="1" x14ac:dyDescent="0.3">
      <c r="E657" s="20"/>
      <c r="G657" s="20"/>
    </row>
    <row r="658" spans="5:7" ht="15.75" customHeight="1" x14ac:dyDescent="0.3">
      <c r="E658" s="20"/>
      <c r="G658" s="20"/>
    </row>
    <row r="659" spans="5:7" ht="15.75" customHeight="1" x14ac:dyDescent="0.3">
      <c r="E659" s="20"/>
      <c r="G659" s="20"/>
    </row>
    <row r="660" spans="5:7" ht="15.75" customHeight="1" x14ac:dyDescent="0.3">
      <c r="E660" s="20"/>
      <c r="G660" s="20"/>
    </row>
    <row r="661" spans="5:7" ht="15.75" customHeight="1" x14ac:dyDescent="0.3">
      <c r="E661" s="20"/>
      <c r="G661" s="20"/>
    </row>
    <row r="662" spans="5:7" ht="15.75" customHeight="1" x14ac:dyDescent="0.3">
      <c r="E662" s="20"/>
      <c r="G662" s="20"/>
    </row>
    <row r="663" spans="5:7" ht="15.75" customHeight="1" x14ac:dyDescent="0.3">
      <c r="E663" s="20"/>
      <c r="G663" s="20"/>
    </row>
    <row r="664" spans="5:7" ht="15.75" customHeight="1" x14ac:dyDescent="0.3">
      <c r="E664" s="20"/>
      <c r="G664" s="20"/>
    </row>
    <row r="665" spans="5:7" ht="15.75" customHeight="1" x14ac:dyDescent="0.3">
      <c r="E665" s="20"/>
      <c r="G665" s="20"/>
    </row>
    <row r="666" spans="5:7" ht="15.75" customHeight="1" x14ac:dyDescent="0.3">
      <c r="E666" s="20"/>
      <c r="G666" s="20"/>
    </row>
    <row r="667" spans="5:7" ht="15.75" customHeight="1" x14ac:dyDescent="0.3">
      <c r="E667" s="20"/>
      <c r="G667" s="20"/>
    </row>
    <row r="668" spans="5:7" ht="15.75" customHeight="1" x14ac:dyDescent="0.3">
      <c r="E668" s="20"/>
      <c r="G668" s="20"/>
    </row>
    <row r="669" spans="5:7" ht="15.75" customHeight="1" x14ac:dyDescent="0.3">
      <c r="E669" s="20"/>
      <c r="G669" s="20"/>
    </row>
    <row r="670" spans="5:7" ht="15.75" customHeight="1" x14ac:dyDescent="0.3">
      <c r="E670" s="20"/>
      <c r="G670" s="20"/>
    </row>
    <row r="671" spans="5:7" ht="15.75" customHeight="1" x14ac:dyDescent="0.3">
      <c r="E671" s="20"/>
      <c r="G671" s="20"/>
    </row>
    <row r="672" spans="5:7" ht="15.75" customHeight="1" x14ac:dyDescent="0.3">
      <c r="E672" s="20"/>
      <c r="G672" s="20"/>
    </row>
    <row r="673" spans="5:7" ht="15.75" customHeight="1" x14ac:dyDescent="0.3">
      <c r="E673" s="20"/>
      <c r="G673" s="20"/>
    </row>
    <row r="674" spans="5:7" ht="15.75" customHeight="1" x14ac:dyDescent="0.3">
      <c r="E674" s="20"/>
      <c r="G674" s="20"/>
    </row>
    <row r="675" spans="5:7" ht="15.75" customHeight="1" x14ac:dyDescent="0.3">
      <c r="E675" s="20"/>
      <c r="G675" s="20"/>
    </row>
    <row r="676" spans="5:7" ht="15.75" customHeight="1" x14ac:dyDescent="0.3">
      <c r="E676" s="20"/>
      <c r="G676" s="20"/>
    </row>
    <row r="677" spans="5:7" ht="15.75" customHeight="1" x14ac:dyDescent="0.3">
      <c r="E677" s="20"/>
      <c r="G677" s="20"/>
    </row>
    <row r="678" spans="5:7" ht="15.75" customHeight="1" x14ac:dyDescent="0.3">
      <c r="E678" s="20"/>
      <c r="G678" s="20"/>
    </row>
    <row r="679" spans="5:7" ht="15.75" customHeight="1" x14ac:dyDescent="0.3">
      <c r="E679" s="20"/>
      <c r="G679" s="20"/>
    </row>
    <row r="680" spans="5:7" ht="15.75" customHeight="1" x14ac:dyDescent="0.3">
      <c r="E680" s="20"/>
      <c r="G680" s="20"/>
    </row>
    <row r="681" spans="5:7" ht="15.75" customHeight="1" x14ac:dyDescent="0.3">
      <c r="E681" s="20"/>
      <c r="G681" s="20"/>
    </row>
    <row r="682" spans="5:7" ht="15.75" customHeight="1" x14ac:dyDescent="0.3">
      <c r="E682" s="20"/>
      <c r="G682" s="20"/>
    </row>
    <row r="683" spans="5:7" ht="15.75" customHeight="1" x14ac:dyDescent="0.3">
      <c r="E683" s="20"/>
      <c r="G683" s="20"/>
    </row>
    <row r="684" spans="5:7" ht="15.75" customHeight="1" x14ac:dyDescent="0.3">
      <c r="E684" s="20"/>
      <c r="G684" s="20"/>
    </row>
    <row r="685" spans="5:7" ht="15.75" customHeight="1" x14ac:dyDescent="0.3">
      <c r="E685" s="20"/>
      <c r="G685" s="20"/>
    </row>
    <row r="686" spans="5:7" ht="15.75" customHeight="1" x14ac:dyDescent="0.3">
      <c r="E686" s="20"/>
      <c r="G686" s="20"/>
    </row>
    <row r="687" spans="5:7" ht="15.75" customHeight="1" x14ac:dyDescent="0.3">
      <c r="E687" s="20"/>
      <c r="G687" s="20"/>
    </row>
    <row r="688" spans="5:7" ht="15.75" customHeight="1" x14ac:dyDescent="0.3">
      <c r="E688" s="20"/>
      <c r="G688" s="20"/>
    </row>
    <row r="689" spans="5:7" ht="15.75" customHeight="1" x14ac:dyDescent="0.3">
      <c r="E689" s="20"/>
      <c r="G689" s="20"/>
    </row>
    <row r="690" spans="5:7" ht="15.75" customHeight="1" x14ac:dyDescent="0.3">
      <c r="E690" s="20"/>
      <c r="G690" s="20"/>
    </row>
    <row r="691" spans="5:7" ht="15.75" customHeight="1" x14ac:dyDescent="0.3">
      <c r="E691" s="20"/>
      <c r="G691" s="20"/>
    </row>
    <row r="692" spans="5:7" ht="15.75" customHeight="1" x14ac:dyDescent="0.3">
      <c r="E692" s="20"/>
      <c r="G692" s="20"/>
    </row>
    <row r="693" spans="5:7" ht="15.75" customHeight="1" x14ac:dyDescent="0.3">
      <c r="E693" s="20"/>
      <c r="G693" s="20"/>
    </row>
    <row r="694" spans="5:7" ht="15.75" customHeight="1" x14ac:dyDescent="0.3">
      <c r="E694" s="20"/>
      <c r="G694" s="20"/>
    </row>
    <row r="695" spans="5:7" ht="15.75" customHeight="1" x14ac:dyDescent="0.3">
      <c r="E695" s="20"/>
      <c r="G695" s="20"/>
    </row>
    <row r="696" spans="5:7" ht="15.75" customHeight="1" x14ac:dyDescent="0.3">
      <c r="E696" s="20"/>
      <c r="G696" s="20"/>
    </row>
    <row r="697" spans="5:7" ht="15.75" customHeight="1" x14ac:dyDescent="0.3">
      <c r="E697" s="20"/>
      <c r="G697" s="20"/>
    </row>
    <row r="698" spans="5:7" ht="15.75" customHeight="1" x14ac:dyDescent="0.3">
      <c r="E698" s="20"/>
      <c r="G698" s="20"/>
    </row>
    <row r="699" spans="5:7" ht="15.75" customHeight="1" x14ac:dyDescent="0.3">
      <c r="E699" s="20"/>
      <c r="G699" s="20"/>
    </row>
    <row r="700" spans="5:7" ht="15.75" customHeight="1" x14ac:dyDescent="0.3">
      <c r="E700" s="20"/>
      <c r="G700" s="20"/>
    </row>
    <row r="701" spans="5:7" ht="15.75" customHeight="1" x14ac:dyDescent="0.3">
      <c r="E701" s="20"/>
      <c r="G701" s="20"/>
    </row>
    <row r="702" spans="5:7" ht="15.75" customHeight="1" x14ac:dyDescent="0.3">
      <c r="E702" s="20"/>
      <c r="G702" s="20"/>
    </row>
    <row r="703" spans="5:7" ht="15.75" customHeight="1" x14ac:dyDescent="0.3">
      <c r="E703" s="20"/>
      <c r="G703" s="20"/>
    </row>
    <row r="704" spans="5:7" ht="15.75" customHeight="1" x14ac:dyDescent="0.3">
      <c r="E704" s="20"/>
      <c r="G704" s="20"/>
    </row>
    <row r="705" spans="5:7" ht="15.75" customHeight="1" x14ac:dyDescent="0.3">
      <c r="E705" s="20"/>
      <c r="G705" s="20"/>
    </row>
    <row r="706" spans="5:7" ht="15.75" customHeight="1" x14ac:dyDescent="0.3">
      <c r="E706" s="20"/>
      <c r="G706" s="20"/>
    </row>
    <row r="707" spans="5:7" ht="15.75" customHeight="1" x14ac:dyDescent="0.3">
      <c r="E707" s="20"/>
      <c r="G707" s="20"/>
    </row>
    <row r="708" spans="5:7" ht="15.75" customHeight="1" x14ac:dyDescent="0.3">
      <c r="E708" s="20"/>
      <c r="G708" s="20"/>
    </row>
    <row r="709" spans="5:7" ht="15.75" customHeight="1" x14ac:dyDescent="0.3">
      <c r="E709" s="20"/>
      <c r="G709" s="20"/>
    </row>
    <row r="710" spans="5:7" ht="15.75" customHeight="1" x14ac:dyDescent="0.3">
      <c r="E710" s="20"/>
      <c r="G710" s="20"/>
    </row>
    <row r="711" spans="5:7" ht="15.75" customHeight="1" x14ac:dyDescent="0.3">
      <c r="E711" s="20"/>
      <c r="G711" s="20"/>
    </row>
    <row r="712" spans="5:7" ht="15.75" customHeight="1" x14ac:dyDescent="0.3">
      <c r="E712" s="20"/>
      <c r="G712" s="20"/>
    </row>
    <row r="713" spans="5:7" ht="15.75" customHeight="1" x14ac:dyDescent="0.3">
      <c r="E713" s="20"/>
      <c r="G713" s="20"/>
    </row>
    <row r="714" spans="5:7" ht="15.75" customHeight="1" x14ac:dyDescent="0.3">
      <c r="E714" s="20"/>
      <c r="G714" s="20"/>
    </row>
    <row r="715" spans="5:7" ht="15.75" customHeight="1" x14ac:dyDescent="0.3">
      <c r="E715" s="20"/>
      <c r="G715" s="20"/>
    </row>
    <row r="716" spans="5:7" ht="15.75" customHeight="1" x14ac:dyDescent="0.3">
      <c r="E716" s="20"/>
      <c r="G716" s="20"/>
    </row>
    <row r="717" spans="5:7" ht="15.75" customHeight="1" x14ac:dyDescent="0.3">
      <c r="E717" s="20"/>
      <c r="G717" s="20"/>
    </row>
    <row r="718" spans="5:7" ht="15.75" customHeight="1" x14ac:dyDescent="0.3">
      <c r="E718" s="20"/>
      <c r="G718" s="20"/>
    </row>
    <row r="719" spans="5:7" ht="15.75" customHeight="1" x14ac:dyDescent="0.3">
      <c r="E719" s="20"/>
      <c r="G719" s="20"/>
    </row>
    <row r="720" spans="5:7" ht="15.75" customHeight="1" x14ac:dyDescent="0.3">
      <c r="E720" s="20"/>
      <c r="G720" s="20"/>
    </row>
    <row r="721" spans="5:7" ht="15.75" customHeight="1" x14ac:dyDescent="0.3">
      <c r="E721" s="20"/>
      <c r="G721" s="20"/>
    </row>
    <row r="722" spans="5:7" ht="15.75" customHeight="1" x14ac:dyDescent="0.3">
      <c r="E722" s="20"/>
      <c r="G722" s="20"/>
    </row>
    <row r="723" spans="5:7" ht="15.75" customHeight="1" x14ac:dyDescent="0.3">
      <c r="E723" s="20"/>
      <c r="G723" s="20"/>
    </row>
    <row r="724" spans="5:7" ht="15.75" customHeight="1" x14ac:dyDescent="0.3">
      <c r="E724" s="20"/>
      <c r="G724" s="20"/>
    </row>
    <row r="725" spans="5:7" ht="15.75" customHeight="1" x14ac:dyDescent="0.3">
      <c r="E725" s="20"/>
      <c r="G725" s="20"/>
    </row>
    <row r="726" spans="5:7" ht="15.75" customHeight="1" x14ac:dyDescent="0.3">
      <c r="E726" s="20"/>
      <c r="G726" s="20"/>
    </row>
    <row r="727" spans="5:7" ht="15.75" customHeight="1" x14ac:dyDescent="0.3">
      <c r="E727" s="20"/>
      <c r="G727" s="20"/>
    </row>
    <row r="728" spans="5:7" ht="15.75" customHeight="1" x14ac:dyDescent="0.3">
      <c r="E728" s="20"/>
      <c r="G728" s="20"/>
    </row>
    <row r="729" spans="5:7" ht="15.75" customHeight="1" x14ac:dyDescent="0.3">
      <c r="E729" s="20"/>
      <c r="G729" s="20"/>
    </row>
    <row r="730" spans="5:7" ht="15.75" customHeight="1" x14ac:dyDescent="0.3">
      <c r="E730" s="20"/>
      <c r="G730" s="20"/>
    </row>
    <row r="731" spans="5:7" ht="15.75" customHeight="1" x14ac:dyDescent="0.3">
      <c r="E731" s="20"/>
      <c r="G731" s="20"/>
    </row>
    <row r="732" spans="5:7" ht="15.75" customHeight="1" x14ac:dyDescent="0.3">
      <c r="E732" s="20"/>
      <c r="G732" s="20"/>
    </row>
    <row r="733" spans="5:7" ht="15.75" customHeight="1" x14ac:dyDescent="0.3">
      <c r="E733" s="20"/>
      <c r="G733" s="20"/>
    </row>
    <row r="734" spans="5:7" ht="15.75" customHeight="1" x14ac:dyDescent="0.3">
      <c r="E734" s="20"/>
      <c r="G734" s="20"/>
    </row>
    <row r="735" spans="5:7" ht="15.75" customHeight="1" x14ac:dyDescent="0.3">
      <c r="E735" s="20"/>
      <c r="G735" s="20"/>
    </row>
    <row r="736" spans="5:7" ht="15.75" customHeight="1" x14ac:dyDescent="0.3">
      <c r="E736" s="20"/>
      <c r="G736" s="20"/>
    </row>
    <row r="737" spans="5:7" ht="15.75" customHeight="1" x14ac:dyDescent="0.3">
      <c r="E737" s="20"/>
      <c r="G737" s="20"/>
    </row>
    <row r="738" spans="5:7" ht="15.75" customHeight="1" x14ac:dyDescent="0.3">
      <c r="E738" s="20"/>
      <c r="G738" s="20"/>
    </row>
    <row r="739" spans="5:7" ht="15.75" customHeight="1" x14ac:dyDescent="0.3">
      <c r="E739" s="20"/>
      <c r="G739" s="20"/>
    </row>
    <row r="740" spans="5:7" ht="15.75" customHeight="1" x14ac:dyDescent="0.3">
      <c r="E740" s="20"/>
      <c r="G740" s="20"/>
    </row>
    <row r="741" spans="5:7" ht="15.75" customHeight="1" x14ac:dyDescent="0.3">
      <c r="E741" s="20"/>
      <c r="G741" s="20"/>
    </row>
    <row r="742" spans="5:7" ht="15.75" customHeight="1" x14ac:dyDescent="0.3">
      <c r="E742" s="20"/>
      <c r="G742" s="20"/>
    </row>
    <row r="743" spans="5:7" ht="15.75" customHeight="1" x14ac:dyDescent="0.3">
      <c r="E743" s="20"/>
      <c r="G743" s="20"/>
    </row>
    <row r="744" spans="5:7" ht="15.75" customHeight="1" x14ac:dyDescent="0.3">
      <c r="E744" s="20"/>
      <c r="G744" s="20"/>
    </row>
    <row r="745" spans="5:7" ht="15.75" customHeight="1" x14ac:dyDescent="0.3">
      <c r="E745" s="20"/>
      <c r="G745" s="20"/>
    </row>
    <row r="746" spans="5:7" ht="15.75" customHeight="1" x14ac:dyDescent="0.3">
      <c r="E746" s="20"/>
      <c r="G746" s="20"/>
    </row>
    <row r="747" spans="5:7" ht="15.75" customHeight="1" x14ac:dyDescent="0.3">
      <c r="E747" s="20"/>
      <c r="G747" s="20"/>
    </row>
    <row r="748" spans="5:7" ht="15.75" customHeight="1" x14ac:dyDescent="0.3">
      <c r="E748" s="20"/>
      <c r="G748" s="20"/>
    </row>
    <row r="749" spans="5:7" ht="15.75" customHeight="1" x14ac:dyDescent="0.3">
      <c r="E749" s="20"/>
      <c r="G749" s="20"/>
    </row>
    <row r="750" spans="5:7" ht="15.75" customHeight="1" x14ac:dyDescent="0.3">
      <c r="E750" s="20"/>
      <c r="G750" s="20"/>
    </row>
    <row r="751" spans="5:7" ht="15.75" customHeight="1" x14ac:dyDescent="0.3">
      <c r="E751" s="20"/>
      <c r="G751" s="20"/>
    </row>
    <row r="752" spans="5:7" ht="15.75" customHeight="1" x14ac:dyDescent="0.3">
      <c r="E752" s="20"/>
      <c r="G752" s="20"/>
    </row>
    <row r="753" spans="5:7" ht="15.75" customHeight="1" x14ac:dyDescent="0.3">
      <c r="E753" s="20"/>
      <c r="G753" s="20"/>
    </row>
    <row r="754" spans="5:7" ht="15.75" customHeight="1" x14ac:dyDescent="0.3">
      <c r="E754" s="20"/>
      <c r="G754" s="20"/>
    </row>
    <row r="755" spans="5:7" ht="15.75" customHeight="1" x14ac:dyDescent="0.3">
      <c r="E755" s="20"/>
      <c r="G755" s="20"/>
    </row>
    <row r="756" spans="5:7" ht="15.75" customHeight="1" x14ac:dyDescent="0.3">
      <c r="E756" s="20"/>
      <c r="G756" s="20"/>
    </row>
    <row r="757" spans="5:7" ht="15.75" customHeight="1" x14ac:dyDescent="0.3">
      <c r="E757" s="20"/>
      <c r="G757" s="20"/>
    </row>
    <row r="758" spans="5:7" ht="15.75" customHeight="1" x14ac:dyDescent="0.3">
      <c r="E758" s="20"/>
      <c r="G758" s="20"/>
    </row>
    <row r="759" spans="5:7" ht="15.75" customHeight="1" x14ac:dyDescent="0.3">
      <c r="E759" s="20"/>
      <c r="G759" s="20"/>
    </row>
    <row r="760" spans="5:7" ht="15.75" customHeight="1" x14ac:dyDescent="0.3">
      <c r="E760" s="20"/>
      <c r="G760" s="20"/>
    </row>
    <row r="761" spans="5:7" ht="15.75" customHeight="1" x14ac:dyDescent="0.3">
      <c r="E761" s="20"/>
      <c r="G761" s="20"/>
    </row>
    <row r="762" spans="5:7" ht="15.75" customHeight="1" x14ac:dyDescent="0.3">
      <c r="E762" s="20"/>
      <c r="G762" s="20"/>
    </row>
    <row r="763" spans="5:7" ht="15.75" customHeight="1" x14ac:dyDescent="0.3">
      <c r="E763" s="20"/>
      <c r="G763" s="20"/>
    </row>
    <row r="764" spans="5:7" ht="15.75" customHeight="1" x14ac:dyDescent="0.3">
      <c r="E764" s="20"/>
      <c r="G764" s="20"/>
    </row>
    <row r="765" spans="5:7" ht="15.75" customHeight="1" x14ac:dyDescent="0.3">
      <c r="E765" s="20"/>
      <c r="G765" s="20"/>
    </row>
    <row r="766" spans="5:7" ht="15.75" customHeight="1" x14ac:dyDescent="0.3">
      <c r="E766" s="20"/>
      <c r="G766" s="20"/>
    </row>
    <row r="767" spans="5:7" ht="15.75" customHeight="1" x14ac:dyDescent="0.3">
      <c r="E767" s="20"/>
      <c r="G767" s="20"/>
    </row>
    <row r="768" spans="5:7" ht="15.75" customHeight="1" x14ac:dyDescent="0.3">
      <c r="E768" s="20"/>
      <c r="G768" s="20"/>
    </row>
    <row r="769" spans="5:7" ht="15.75" customHeight="1" x14ac:dyDescent="0.3">
      <c r="E769" s="20"/>
      <c r="G769" s="20"/>
    </row>
    <row r="770" spans="5:7" ht="15.75" customHeight="1" x14ac:dyDescent="0.3">
      <c r="E770" s="20"/>
      <c r="G770" s="20"/>
    </row>
    <row r="771" spans="5:7" ht="15.75" customHeight="1" x14ac:dyDescent="0.3">
      <c r="E771" s="20"/>
      <c r="G771" s="20"/>
    </row>
    <row r="772" spans="5:7" ht="15.75" customHeight="1" x14ac:dyDescent="0.3">
      <c r="E772" s="20"/>
      <c r="G772" s="20"/>
    </row>
    <row r="773" spans="5:7" ht="15.75" customHeight="1" x14ac:dyDescent="0.3">
      <c r="E773" s="20"/>
      <c r="G773" s="20"/>
    </row>
    <row r="774" spans="5:7" ht="15.75" customHeight="1" x14ac:dyDescent="0.3">
      <c r="E774" s="20"/>
      <c r="G774" s="20"/>
    </row>
    <row r="775" spans="5:7" ht="15.75" customHeight="1" x14ac:dyDescent="0.3">
      <c r="E775" s="20"/>
      <c r="G775" s="20"/>
    </row>
    <row r="776" spans="5:7" ht="15.75" customHeight="1" x14ac:dyDescent="0.3">
      <c r="E776" s="20"/>
      <c r="G776" s="20"/>
    </row>
    <row r="777" spans="5:7" ht="15.75" customHeight="1" x14ac:dyDescent="0.3">
      <c r="E777" s="20"/>
      <c r="G777" s="20"/>
    </row>
    <row r="778" spans="5:7" ht="15.75" customHeight="1" x14ac:dyDescent="0.3">
      <c r="E778" s="20"/>
      <c r="G778" s="20"/>
    </row>
    <row r="779" spans="5:7" ht="15.75" customHeight="1" x14ac:dyDescent="0.3">
      <c r="E779" s="20"/>
      <c r="G779" s="20"/>
    </row>
    <row r="780" spans="5:7" ht="15.75" customHeight="1" x14ac:dyDescent="0.3">
      <c r="E780" s="20"/>
      <c r="G780" s="20"/>
    </row>
    <row r="781" spans="5:7" ht="15.75" customHeight="1" x14ac:dyDescent="0.3">
      <c r="E781" s="20"/>
      <c r="G781" s="20"/>
    </row>
    <row r="782" spans="5:7" ht="15.75" customHeight="1" x14ac:dyDescent="0.3">
      <c r="E782" s="20"/>
      <c r="G782" s="20"/>
    </row>
    <row r="783" spans="5:7" ht="15.75" customHeight="1" x14ac:dyDescent="0.3">
      <c r="E783" s="20"/>
      <c r="G783" s="20"/>
    </row>
    <row r="784" spans="5:7" ht="15.75" customHeight="1" x14ac:dyDescent="0.3">
      <c r="E784" s="20"/>
      <c r="G784" s="20"/>
    </row>
    <row r="785" spans="5:7" ht="15.75" customHeight="1" x14ac:dyDescent="0.3">
      <c r="E785" s="20"/>
      <c r="G785" s="20"/>
    </row>
    <row r="786" spans="5:7" ht="15.75" customHeight="1" x14ac:dyDescent="0.3">
      <c r="E786" s="20"/>
      <c r="G786" s="20"/>
    </row>
    <row r="787" spans="5:7" ht="15.75" customHeight="1" x14ac:dyDescent="0.3">
      <c r="E787" s="20"/>
      <c r="G787" s="20"/>
    </row>
    <row r="788" spans="5:7" ht="15.75" customHeight="1" x14ac:dyDescent="0.3">
      <c r="E788" s="20"/>
      <c r="G788" s="20"/>
    </row>
    <row r="789" spans="5:7" ht="15.75" customHeight="1" x14ac:dyDescent="0.3">
      <c r="E789" s="20"/>
      <c r="G789" s="20"/>
    </row>
    <row r="790" spans="5:7" ht="15.75" customHeight="1" x14ac:dyDescent="0.3">
      <c r="E790" s="20"/>
      <c r="G790" s="20"/>
    </row>
    <row r="791" spans="5:7" ht="15.75" customHeight="1" x14ac:dyDescent="0.3">
      <c r="E791" s="20"/>
      <c r="G791" s="20"/>
    </row>
    <row r="792" spans="5:7" ht="15.75" customHeight="1" x14ac:dyDescent="0.3">
      <c r="E792" s="20"/>
      <c r="G792" s="20"/>
    </row>
    <row r="793" spans="5:7" ht="15.75" customHeight="1" x14ac:dyDescent="0.3">
      <c r="E793" s="20"/>
      <c r="G793" s="20"/>
    </row>
    <row r="794" spans="5:7" ht="15.75" customHeight="1" x14ac:dyDescent="0.3">
      <c r="E794" s="20"/>
      <c r="G794" s="20"/>
    </row>
    <row r="795" spans="5:7" ht="15.75" customHeight="1" x14ac:dyDescent="0.3">
      <c r="E795" s="20"/>
      <c r="G795" s="20"/>
    </row>
    <row r="796" spans="5:7" ht="15.75" customHeight="1" x14ac:dyDescent="0.3">
      <c r="E796" s="20"/>
      <c r="G796" s="20"/>
    </row>
    <row r="797" spans="5:7" ht="15.75" customHeight="1" x14ac:dyDescent="0.3">
      <c r="E797" s="20"/>
      <c r="G797" s="20"/>
    </row>
    <row r="798" spans="5:7" ht="15.75" customHeight="1" x14ac:dyDescent="0.3">
      <c r="E798" s="20"/>
      <c r="G798" s="20"/>
    </row>
    <row r="799" spans="5:7" ht="15.75" customHeight="1" x14ac:dyDescent="0.3">
      <c r="E799" s="20"/>
      <c r="G799" s="20"/>
    </row>
    <row r="800" spans="5:7" ht="15.75" customHeight="1" x14ac:dyDescent="0.3">
      <c r="E800" s="20"/>
      <c r="G800" s="20"/>
    </row>
    <row r="801" spans="5:7" ht="15.75" customHeight="1" x14ac:dyDescent="0.3">
      <c r="E801" s="20"/>
      <c r="G801" s="20"/>
    </row>
    <row r="802" spans="5:7" ht="15.75" customHeight="1" x14ac:dyDescent="0.3">
      <c r="E802" s="20"/>
      <c r="G802" s="20"/>
    </row>
    <row r="803" spans="5:7" ht="15.75" customHeight="1" x14ac:dyDescent="0.3">
      <c r="E803" s="20"/>
      <c r="G803" s="20"/>
    </row>
    <row r="804" spans="5:7" ht="15.75" customHeight="1" x14ac:dyDescent="0.3">
      <c r="E804" s="20"/>
      <c r="G804" s="20"/>
    </row>
    <row r="805" spans="5:7" ht="15.75" customHeight="1" x14ac:dyDescent="0.3">
      <c r="E805" s="20"/>
      <c r="G805" s="20"/>
    </row>
    <row r="806" spans="5:7" ht="15.75" customHeight="1" x14ac:dyDescent="0.3">
      <c r="E806" s="20"/>
      <c r="G806" s="20"/>
    </row>
    <row r="807" spans="5:7" ht="15.75" customHeight="1" x14ac:dyDescent="0.3">
      <c r="E807" s="20"/>
      <c r="G807" s="20"/>
    </row>
    <row r="808" spans="5:7" ht="15.75" customHeight="1" x14ac:dyDescent="0.3">
      <c r="E808" s="20"/>
      <c r="G808" s="20"/>
    </row>
    <row r="809" spans="5:7" ht="15.75" customHeight="1" x14ac:dyDescent="0.3">
      <c r="E809" s="20"/>
      <c r="G809" s="20"/>
    </row>
    <row r="810" spans="5:7" ht="15.75" customHeight="1" x14ac:dyDescent="0.3">
      <c r="E810" s="20"/>
      <c r="G810" s="20"/>
    </row>
    <row r="811" spans="5:7" ht="15.75" customHeight="1" x14ac:dyDescent="0.3">
      <c r="E811" s="20"/>
      <c r="G811" s="20"/>
    </row>
    <row r="812" spans="5:7" ht="15.75" customHeight="1" x14ac:dyDescent="0.3">
      <c r="E812" s="20"/>
      <c r="G812" s="20"/>
    </row>
    <row r="813" spans="5:7" ht="15.75" customHeight="1" x14ac:dyDescent="0.3">
      <c r="E813" s="20"/>
      <c r="G813" s="20"/>
    </row>
    <row r="814" spans="5:7" ht="15.75" customHeight="1" x14ac:dyDescent="0.3">
      <c r="E814" s="20"/>
      <c r="G814" s="20"/>
    </row>
    <row r="815" spans="5:7" ht="15.75" customHeight="1" x14ac:dyDescent="0.3">
      <c r="E815" s="20"/>
      <c r="G815" s="20"/>
    </row>
    <row r="816" spans="5:7" ht="15.75" customHeight="1" x14ac:dyDescent="0.3">
      <c r="E816" s="20"/>
      <c r="G816" s="20"/>
    </row>
    <row r="817" spans="5:7" ht="15.75" customHeight="1" x14ac:dyDescent="0.3">
      <c r="E817" s="20"/>
      <c r="G817" s="20"/>
    </row>
    <row r="818" spans="5:7" ht="15.75" customHeight="1" x14ac:dyDescent="0.3">
      <c r="E818" s="20"/>
      <c r="G818" s="20"/>
    </row>
    <row r="819" spans="5:7" ht="15.75" customHeight="1" x14ac:dyDescent="0.3">
      <c r="E819" s="20"/>
      <c r="G819" s="20"/>
    </row>
    <row r="820" spans="5:7" ht="15.75" customHeight="1" x14ac:dyDescent="0.3">
      <c r="E820" s="20"/>
      <c r="G820" s="20"/>
    </row>
    <row r="821" spans="5:7" ht="15.75" customHeight="1" x14ac:dyDescent="0.3">
      <c r="E821" s="20"/>
      <c r="G821" s="20"/>
    </row>
    <row r="822" spans="5:7" ht="15.75" customHeight="1" x14ac:dyDescent="0.3">
      <c r="E822" s="20"/>
      <c r="G822" s="20"/>
    </row>
    <row r="823" spans="5:7" ht="15.75" customHeight="1" x14ac:dyDescent="0.3">
      <c r="E823" s="20"/>
      <c r="G823" s="20"/>
    </row>
    <row r="824" spans="5:7" ht="15.75" customHeight="1" x14ac:dyDescent="0.3">
      <c r="E824" s="20"/>
      <c r="G824" s="20"/>
    </row>
    <row r="825" spans="5:7" ht="15.75" customHeight="1" x14ac:dyDescent="0.3">
      <c r="E825" s="20"/>
      <c r="G825" s="20"/>
    </row>
    <row r="826" spans="5:7" ht="15.75" customHeight="1" x14ac:dyDescent="0.3">
      <c r="E826" s="20"/>
      <c r="G826" s="20"/>
    </row>
    <row r="827" spans="5:7" ht="15.75" customHeight="1" x14ac:dyDescent="0.3">
      <c r="E827" s="20"/>
      <c r="G827" s="20"/>
    </row>
    <row r="828" spans="5:7" ht="15.75" customHeight="1" x14ac:dyDescent="0.3">
      <c r="E828" s="20"/>
      <c r="G828" s="20"/>
    </row>
    <row r="829" spans="5:7" ht="15.75" customHeight="1" x14ac:dyDescent="0.3">
      <c r="E829" s="20"/>
      <c r="G829" s="20"/>
    </row>
    <row r="830" spans="5:7" ht="15.75" customHeight="1" x14ac:dyDescent="0.3">
      <c r="E830" s="20"/>
      <c r="G830" s="20"/>
    </row>
    <row r="831" spans="5:7" ht="15.75" customHeight="1" x14ac:dyDescent="0.3">
      <c r="E831" s="20"/>
      <c r="G831" s="20"/>
    </row>
    <row r="832" spans="5:7" ht="15.75" customHeight="1" x14ac:dyDescent="0.3">
      <c r="E832" s="20"/>
      <c r="G832" s="20"/>
    </row>
    <row r="833" spans="5:7" ht="15.75" customHeight="1" x14ac:dyDescent="0.3">
      <c r="E833" s="20"/>
      <c r="G833" s="20"/>
    </row>
    <row r="834" spans="5:7" ht="15.75" customHeight="1" x14ac:dyDescent="0.3">
      <c r="E834" s="20"/>
      <c r="G834" s="20"/>
    </row>
    <row r="835" spans="5:7" ht="15.75" customHeight="1" x14ac:dyDescent="0.3">
      <c r="E835" s="20"/>
      <c r="G835" s="20"/>
    </row>
    <row r="836" spans="5:7" ht="15.75" customHeight="1" x14ac:dyDescent="0.3">
      <c r="E836" s="20"/>
      <c r="G836" s="20"/>
    </row>
    <row r="837" spans="5:7" ht="15.75" customHeight="1" x14ac:dyDescent="0.3">
      <c r="E837" s="20"/>
      <c r="G837" s="20"/>
    </row>
    <row r="838" spans="5:7" ht="15.75" customHeight="1" x14ac:dyDescent="0.3">
      <c r="E838" s="20"/>
      <c r="G838" s="20"/>
    </row>
    <row r="839" spans="5:7" ht="15.75" customHeight="1" x14ac:dyDescent="0.3">
      <c r="E839" s="20"/>
      <c r="G839" s="20"/>
    </row>
    <row r="840" spans="5:7" ht="15.75" customHeight="1" x14ac:dyDescent="0.3">
      <c r="E840" s="20"/>
      <c r="G840" s="20"/>
    </row>
    <row r="841" spans="5:7" ht="15.75" customHeight="1" x14ac:dyDescent="0.3">
      <c r="E841" s="20"/>
      <c r="G841" s="20"/>
    </row>
    <row r="842" spans="5:7" ht="15.75" customHeight="1" x14ac:dyDescent="0.3">
      <c r="E842" s="20"/>
      <c r="G842" s="20"/>
    </row>
    <row r="843" spans="5:7" ht="15.75" customHeight="1" x14ac:dyDescent="0.3">
      <c r="E843" s="20"/>
      <c r="G843" s="20"/>
    </row>
    <row r="844" spans="5:7" ht="15.75" customHeight="1" x14ac:dyDescent="0.3">
      <c r="E844" s="20"/>
      <c r="G844" s="20"/>
    </row>
    <row r="845" spans="5:7" ht="15.75" customHeight="1" x14ac:dyDescent="0.3">
      <c r="E845" s="20"/>
      <c r="G845" s="20"/>
    </row>
    <row r="846" spans="5:7" ht="15.75" customHeight="1" x14ac:dyDescent="0.3">
      <c r="E846" s="20"/>
      <c r="G846" s="20"/>
    </row>
    <row r="847" spans="5:7" ht="15.75" customHeight="1" x14ac:dyDescent="0.3">
      <c r="E847" s="20"/>
      <c r="G847" s="20"/>
    </row>
    <row r="848" spans="5:7" ht="15.75" customHeight="1" x14ac:dyDescent="0.3">
      <c r="E848" s="20"/>
      <c r="G848" s="20"/>
    </row>
    <row r="849" spans="5:7" ht="15.75" customHeight="1" x14ac:dyDescent="0.3">
      <c r="E849" s="20"/>
      <c r="G849" s="20"/>
    </row>
    <row r="850" spans="5:7" ht="15.75" customHeight="1" x14ac:dyDescent="0.3">
      <c r="E850" s="20"/>
      <c r="G850" s="20"/>
    </row>
    <row r="851" spans="5:7" ht="15.75" customHeight="1" x14ac:dyDescent="0.3">
      <c r="E851" s="20"/>
      <c r="G851" s="20"/>
    </row>
    <row r="852" spans="5:7" ht="15.75" customHeight="1" x14ac:dyDescent="0.3">
      <c r="E852" s="20"/>
      <c r="G852" s="20"/>
    </row>
    <row r="853" spans="5:7" ht="15.75" customHeight="1" x14ac:dyDescent="0.3">
      <c r="E853" s="20"/>
      <c r="G853" s="20"/>
    </row>
    <row r="854" spans="5:7" ht="15.75" customHeight="1" x14ac:dyDescent="0.3">
      <c r="E854" s="20"/>
      <c r="G854" s="20"/>
    </row>
    <row r="855" spans="5:7" ht="15.75" customHeight="1" x14ac:dyDescent="0.3">
      <c r="E855" s="20"/>
      <c r="G855" s="20"/>
    </row>
    <row r="856" spans="5:7" ht="15.75" customHeight="1" x14ac:dyDescent="0.3">
      <c r="E856" s="20"/>
      <c r="G856" s="20"/>
    </row>
    <row r="857" spans="5:7" ht="15.75" customHeight="1" x14ac:dyDescent="0.3">
      <c r="E857" s="20"/>
      <c r="G857" s="20"/>
    </row>
    <row r="858" spans="5:7" ht="15.75" customHeight="1" x14ac:dyDescent="0.3">
      <c r="E858" s="20"/>
      <c r="G858" s="20"/>
    </row>
    <row r="859" spans="5:7" ht="15.75" customHeight="1" x14ac:dyDescent="0.3">
      <c r="E859" s="20"/>
      <c r="G859" s="20"/>
    </row>
    <row r="860" spans="5:7" ht="15.75" customHeight="1" x14ac:dyDescent="0.3">
      <c r="E860" s="20"/>
      <c r="G860" s="20"/>
    </row>
    <row r="861" spans="5:7" ht="15.75" customHeight="1" x14ac:dyDescent="0.3">
      <c r="E861" s="20"/>
      <c r="G861" s="20"/>
    </row>
    <row r="862" spans="5:7" ht="15.75" customHeight="1" x14ac:dyDescent="0.3">
      <c r="E862" s="20"/>
      <c r="G862" s="20"/>
    </row>
    <row r="863" spans="5:7" ht="15.75" customHeight="1" x14ac:dyDescent="0.3">
      <c r="E863" s="20"/>
      <c r="G863" s="20"/>
    </row>
    <row r="864" spans="5:7" ht="15.75" customHeight="1" x14ac:dyDescent="0.3">
      <c r="E864" s="20"/>
      <c r="G864" s="20"/>
    </row>
    <row r="865" spans="5:7" ht="15.75" customHeight="1" x14ac:dyDescent="0.3">
      <c r="E865" s="20"/>
      <c r="G865" s="20"/>
    </row>
    <row r="866" spans="5:7" ht="15.75" customHeight="1" x14ac:dyDescent="0.3">
      <c r="E866" s="20"/>
      <c r="G866" s="20"/>
    </row>
    <row r="867" spans="5:7" ht="15.75" customHeight="1" x14ac:dyDescent="0.3">
      <c r="E867" s="20"/>
      <c r="G867" s="20"/>
    </row>
    <row r="868" spans="5:7" ht="15.75" customHeight="1" x14ac:dyDescent="0.3">
      <c r="E868" s="20"/>
      <c r="G868" s="20"/>
    </row>
    <row r="869" spans="5:7" ht="15.75" customHeight="1" x14ac:dyDescent="0.3">
      <c r="E869" s="20"/>
      <c r="G869" s="20"/>
    </row>
    <row r="870" spans="5:7" ht="15.75" customHeight="1" x14ac:dyDescent="0.3">
      <c r="E870" s="20"/>
      <c r="G870" s="20"/>
    </row>
    <row r="871" spans="5:7" ht="15.75" customHeight="1" x14ac:dyDescent="0.3">
      <c r="E871" s="20"/>
      <c r="G871" s="20"/>
    </row>
    <row r="872" spans="5:7" ht="15.75" customHeight="1" x14ac:dyDescent="0.3">
      <c r="E872" s="20"/>
      <c r="G872" s="20"/>
    </row>
    <row r="873" spans="5:7" ht="15.75" customHeight="1" x14ac:dyDescent="0.3">
      <c r="E873" s="20"/>
      <c r="G873" s="20"/>
    </row>
    <row r="874" spans="5:7" ht="15.75" customHeight="1" x14ac:dyDescent="0.3">
      <c r="E874" s="20"/>
      <c r="G874" s="20"/>
    </row>
    <row r="875" spans="5:7" ht="15.75" customHeight="1" x14ac:dyDescent="0.3">
      <c r="E875" s="20"/>
      <c r="G875" s="20"/>
    </row>
    <row r="876" spans="5:7" ht="15.75" customHeight="1" x14ac:dyDescent="0.3">
      <c r="E876" s="20"/>
      <c r="G876" s="20"/>
    </row>
    <row r="877" spans="5:7" ht="15.75" customHeight="1" x14ac:dyDescent="0.3">
      <c r="E877" s="20"/>
      <c r="G877" s="20"/>
    </row>
    <row r="878" spans="5:7" ht="15.75" customHeight="1" x14ac:dyDescent="0.3">
      <c r="E878" s="20"/>
      <c r="G878" s="20"/>
    </row>
    <row r="879" spans="5:7" ht="15.75" customHeight="1" x14ac:dyDescent="0.3">
      <c r="E879" s="20"/>
      <c r="G879" s="20"/>
    </row>
    <row r="880" spans="5:7" ht="15.75" customHeight="1" x14ac:dyDescent="0.3">
      <c r="E880" s="20"/>
      <c r="G880" s="20"/>
    </row>
    <row r="881" spans="5:7" ht="15.75" customHeight="1" x14ac:dyDescent="0.3">
      <c r="E881" s="20"/>
      <c r="G881" s="20"/>
    </row>
    <row r="882" spans="5:7" ht="15.75" customHeight="1" x14ac:dyDescent="0.3">
      <c r="E882" s="20"/>
      <c r="G882" s="20"/>
    </row>
    <row r="883" spans="5:7" ht="15.75" customHeight="1" x14ac:dyDescent="0.3">
      <c r="E883" s="20"/>
      <c r="G883" s="20"/>
    </row>
    <row r="884" spans="5:7" ht="15.75" customHeight="1" x14ac:dyDescent="0.3">
      <c r="E884" s="20"/>
      <c r="G884" s="20"/>
    </row>
    <row r="885" spans="5:7" ht="15.75" customHeight="1" x14ac:dyDescent="0.3">
      <c r="E885" s="20"/>
      <c r="G885" s="20"/>
    </row>
    <row r="886" spans="5:7" ht="15.75" customHeight="1" x14ac:dyDescent="0.3">
      <c r="E886" s="20"/>
      <c r="G886" s="20"/>
    </row>
    <row r="887" spans="5:7" ht="15.75" customHeight="1" x14ac:dyDescent="0.3">
      <c r="E887" s="20"/>
      <c r="G887" s="20"/>
    </row>
    <row r="888" spans="5:7" ht="15.75" customHeight="1" x14ac:dyDescent="0.3">
      <c r="E888" s="20"/>
      <c r="G888" s="20"/>
    </row>
    <row r="889" spans="5:7" ht="15.75" customHeight="1" x14ac:dyDescent="0.3">
      <c r="E889" s="20"/>
      <c r="G889" s="20"/>
    </row>
    <row r="890" spans="5:7" ht="15.75" customHeight="1" x14ac:dyDescent="0.3">
      <c r="E890" s="20"/>
      <c r="G890" s="20"/>
    </row>
    <row r="891" spans="5:7" ht="15.75" customHeight="1" x14ac:dyDescent="0.3">
      <c r="E891" s="20"/>
      <c r="G891" s="20"/>
    </row>
    <row r="892" spans="5:7" ht="15.75" customHeight="1" x14ac:dyDescent="0.3">
      <c r="E892" s="20"/>
      <c r="G892" s="20"/>
    </row>
    <row r="893" spans="5:7" ht="15.75" customHeight="1" x14ac:dyDescent="0.3">
      <c r="E893" s="20"/>
      <c r="G893" s="20"/>
    </row>
    <row r="894" spans="5:7" ht="15.75" customHeight="1" x14ac:dyDescent="0.3">
      <c r="E894" s="20"/>
      <c r="G894" s="20"/>
    </row>
    <row r="895" spans="5:7" ht="15.75" customHeight="1" x14ac:dyDescent="0.3">
      <c r="E895" s="20"/>
      <c r="G895" s="20"/>
    </row>
    <row r="896" spans="5:7" ht="15.75" customHeight="1" x14ac:dyDescent="0.3">
      <c r="E896" s="20"/>
      <c r="G896" s="20"/>
    </row>
    <row r="897" spans="5:7" ht="15.75" customHeight="1" x14ac:dyDescent="0.3">
      <c r="E897" s="20"/>
      <c r="G897" s="20"/>
    </row>
    <row r="898" spans="5:7" ht="15.75" customHeight="1" x14ac:dyDescent="0.3">
      <c r="E898" s="20"/>
      <c r="G898" s="20"/>
    </row>
    <row r="899" spans="5:7" ht="15.75" customHeight="1" x14ac:dyDescent="0.3">
      <c r="E899" s="20"/>
      <c r="G899" s="20"/>
    </row>
    <row r="900" spans="5:7" ht="15.75" customHeight="1" x14ac:dyDescent="0.3">
      <c r="E900" s="20"/>
      <c r="G900" s="20"/>
    </row>
    <row r="901" spans="5:7" ht="15.75" customHeight="1" x14ac:dyDescent="0.3">
      <c r="E901" s="20"/>
      <c r="G901" s="20"/>
    </row>
    <row r="902" spans="5:7" ht="15.75" customHeight="1" x14ac:dyDescent="0.3">
      <c r="E902" s="20"/>
      <c r="G902" s="20"/>
    </row>
    <row r="903" spans="5:7" ht="15.75" customHeight="1" x14ac:dyDescent="0.3">
      <c r="E903" s="20"/>
      <c r="G903" s="20"/>
    </row>
    <row r="904" spans="5:7" ht="15.75" customHeight="1" x14ac:dyDescent="0.3">
      <c r="E904" s="20"/>
      <c r="G904" s="20"/>
    </row>
    <row r="905" spans="5:7" ht="15.75" customHeight="1" x14ac:dyDescent="0.3">
      <c r="E905" s="20"/>
      <c r="G905" s="20"/>
    </row>
    <row r="906" spans="5:7" ht="15.75" customHeight="1" x14ac:dyDescent="0.3">
      <c r="E906" s="20"/>
      <c r="G906" s="20"/>
    </row>
    <row r="907" spans="5:7" ht="15.75" customHeight="1" x14ac:dyDescent="0.3">
      <c r="E907" s="20"/>
      <c r="G907" s="20"/>
    </row>
    <row r="908" spans="5:7" ht="15.75" customHeight="1" x14ac:dyDescent="0.3">
      <c r="E908" s="20"/>
      <c r="G908" s="20"/>
    </row>
    <row r="909" spans="5:7" ht="15.75" customHeight="1" x14ac:dyDescent="0.3">
      <c r="E909" s="20"/>
      <c r="G909" s="20"/>
    </row>
    <row r="910" spans="5:7" ht="15.75" customHeight="1" x14ac:dyDescent="0.3">
      <c r="E910" s="20"/>
      <c r="G910" s="20"/>
    </row>
    <row r="911" spans="5:7" ht="15.75" customHeight="1" x14ac:dyDescent="0.3">
      <c r="E911" s="20"/>
      <c r="G911" s="20"/>
    </row>
    <row r="912" spans="5:7" ht="15.75" customHeight="1" x14ac:dyDescent="0.3">
      <c r="E912" s="20"/>
      <c r="G912" s="20"/>
    </row>
    <row r="913" spans="5:7" ht="15.75" customHeight="1" x14ac:dyDescent="0.3">
      <c r="E913" s="20"/>
      <c r="G913" s="20"/>
    </row>
    <row r="914" spans="5:7" ht="15.75" customHeight="1" x14ac:dyDescent="0.3">
      <c r="E914" s="20"/>
      <c r="G914" s="20"/>
    </row>
    <row r="915" spans="5:7" ht="15.75" customHeight="1" x14ac:dyDescent="0.3">
      <c r="E915" s="20"/>
      <c r="G915" s="20"/>
    </row>
    <row r="916" spans="5:7" ht="15.75" customHeight="1" x14ac:dyDescent="0.3">
      <c r="E916" s="20"/>
      <c r="G916" s="20"/>
    </row>
    <row r="917" spans="5:7" ht="15.75" customHeight="1" x14ac:dyDescent="0.3">
      <c r="E917" s="20"/>
      <c r="G917" s="20"/>
    </row>
    <row r="918" spans="5:7" ht="15.75" customHeight="1" x14ac:dyDescent="0.3">
      <c r="E918" s="20"/>
      <c r="G918" s="20"/>
    </row>
    <row r="919" spans="5:7" ht="15.75" customHeight="1" x14ac:dyDescent="0.3">
      <c r="E919" s="20"/>
      <c r="G919" s="20"/>
    </row>
    <row r="920" spans="5:7" ht="15.75" customHeight="1" x14ac:dyDescent="0.3">
      <c r="E920" s="20"/>
      <c r="G920" s="20"/>
    </row>
    <row r="921" spans="5:7" ht="15.75" customHeight="1" x14ac:dyDescent="0.3">
      <c r="E921" s="20"/>
      <c r="G921" s="20"/>
    </row>
    <row r="922" spans="5:7" ht="15.75" customHeight="1" x14ac:dyDescent="0.3">
      <c r="E922" s="20"/>
      <c r="G922" s="20"/>
    </row>
    <row r="923" spans="5:7" ht="15.75" customHeight="1" x14ac:dyDescent="0.3">
      <c r="E923" s="20"/>
      <c r="G923" s="20"/>
    </row>
    <row r="924" spans="5:7" ht="15.75" customHeight="1" x14ac:dyDescent="0.3">
      <c r="E924" s="20"/>
      <c r="G924" s="20"/>
    </row>
    <row r="925" spans="5:7" ht="15.75" customHeight="1" x14ac:dyDescent="0.3">
      <c r="E925" s="20"/>
      <c r="G925" s="20"/>
    </row>
    <row r="926" spans="5:7" ht="15.75" customHeight="1" x14ac:dyDescent="0.3">
      <c r="E926" s="20"/>
      <c r="G926" s="20"/>
    </row>
    <row r="927" spans="5:7" ht="15.75" customHeight="1" x14ac:dyDescent="0.3">
      <c r="E927" s="20"/>
      <c r="G927" s="20"/>
    </row>
    <row r="928" spans="5:7" ht="15.75" customHeight="1" x14ac:dyDescent="0.3">
      <c r="E928" s="20"/>
      <c r="G928" s="20"/>
    </row>
    <row r="929" spans="5:7" ht="15.75" customHeight="1" x14ac:dyDescent="0.3">
      <c r="E929" s="20"/>
      <c r="G929" s="20"/>
    </row>
    <row r="930" spans="5:7" ht="15.75" customHeight="1" x14ac:dyDescent="0.3">
      <c r="E930" s="20"/>
      <c r="G930" s="20"/>
    </row>
    <row r="931" spans="5:7" ht="15.75" customHeight="1" x14ac:dyDescent="0.3">
      <c r="E931" s="20"/>
      <c r="G931" s="20"/>
    </row>
    <row r="932" spans="5:7" ht="15.75" customHeight="1" x14ac:dyDescent="0.3">
      <c r="E932" s="20"/>
      <c r="G932" s="20"/>
    </row>
    <row r="933" spans="5:7" ht="15.75" customHeight="1" x14ac:dyDescent="0.3">
      <c r="E933" s="20"/>
      <c r="G933" s="20"/>
    </row>
    <row r="934" spans="5:7" ht="15.75" customHeight="1" x14ac:dyDescent="0.3">
      <c r="E934" s="20"/>
      <c r="G934" s="20"/>
    </row>
    <row r="935" spans="5:7" ht="15.75" customHeight="1" x14ac:dyDescent="0.3">
      <c r="E935" s="20"/>
      <c r="G935" s="20"/>
    </row>
    <row r="936" spans="5:7" ht="15.75" customHeight="1" x14ac:dyDescent="0.3">
      <c r="E936" s="20"/>
      <c r="G936" s="20"/>
    </row>
    <row r="937" spans="5:7" ht="15.75" customHeight="1" x14ac:dyDescent="0.3">
      <c r="E937" s="20"/>
      <c r="G937" s="20"/>
    </row>
    <row r="938" spans="5:7" ht="15.75" customHeight="1" x14ac:dyDescent="0.3">
      <c r="E938" s="20"/>
      <c r="G938" s="20"/>
    </row>
    <row r="939" spans="5:7" ht="15.75" customHeight="1" x14ac:dyDescent="0.3">
      <c r="E939" s="20"/>
      <c r="G939" s="20"/>
    </row>
    <row r="940" spans="5:7" ht="15.75" customHeight="1" x14ac:dyDescent="0.3">
      <c r="E940" s="20"/>
      <c r="G940" s="20"/>
    </row>
    <row r="941" spans="5:7" ht="15.75" customHeight="1" x14ac:dyDescent="0.3">
      <c r="E941" s="20"/>
      <c r="G941" s="20"/>
    </row>
    <row r="942" spans="5:7" ht="15.75" customHeight="1" x14ac:dyDescent="0.3">
      <c r="E942" s="20"/>
      <c r="G942" s="20"/>
    </row>
    <row r="943" spans="5:7" ht="15.75" customHeight="1" x14ac:dyDescent="0.3">
      <c r="E943" s="20"/>
      <c r="G943" s="20"/>
    </row>
    <row r="944" spans="5:7" ht="15.75" customHeight="1" x14ac:dyDescent="0.3">
      <c r="E944" s="20"/>
      <c r="G944" s="20"/>
    </row>
    <row r="945" spans="5:7" ht="15.75" customHeight="1" x14ac:dyDescent="0.3">
      <c r="E945" s="20"/>
      <c r="G945" s="20"/>
    </row>
    <row r="946" spans="5:7" ht="15.75" customHeight="1" x14ac:dyDescent="0.3">
      <c r="E946" s="20"/>
      <c r="G946" s="20"/>
    </row>
    <row r="947" spans="5:7" ht="15.75" customHeight="1" x14ac:dyDescent="0.3">
      <c r="E947" s="20"/>
      <c r="G947" s="20"/>
    </row>
    <row r="948" spans="5:7" ht="15.75" customHeight="1" x14ac:dyDescent="0.3">
      <c r="E948" s="20"/>
      <c r="G948" s="20"/>
    </row>
    <row r="949" spans="5:7" ht="15.75" customHeight="1" x14ac:dyDescent="0.3">
      <c r="E949" s="20"/>
      <c r="G949" s="20"/>
    </row>
    <row r="950" spans="5:7" ht="15.75" customHeight="1" x14ac:dyDescent="0.3">
      <c r="E950" s="20"/>
      <c r="G950" s="20"/>
    </row>
    <row r="951" spans="5:7" ht="15.75" customHeight="1" x14ac:dyDescent="0.3">
      <c r="E951" s="20"/>
      <c r="G951" s="20"/>
    </row>
    <row r="952" spans="5:7" ht="15.75" customHeight="1" x14ac:dyDescent="0.3">
      <c r="E952" s="20"/>
      <c r="G952" s="20"/>
    </row>
    <row r="953" spans="5:7" ht="15.75" customHeight="1" x14ac:dyDescent="0.3">
      <c r="E953" s="20"/>
      <c r="G953" s="20"/>
    </row>
    <row r="954" spans="5:7" ht="15.75" customHeight="1" x14ac:dyDescent="0.3">
      <c r="E954" s="20"/>
      <c r="G954" s="20"/>
    </row>
    <row r="955" spans="5:7" ht="15.75" customHeight="1" x14ac:dyDescent="0.3">
      <c r="E955" s="20"/>
      <c r="G955" s="20"/>
    </row>
    <row r="956" spans="5:7" ht="15.75" customHeight="1" x14ac:dyDescent="0.3">
      <c r="E956" s="20"/>
      <c r="G956" s="20"/>
    </row>
    <row r="957" spans="5:7" ht="15.75" customHeight="1" x14ac:dyDescent="0.3">
      <c r="E957" s="20"/>
      <c r="G957" s="20"/>
    </row>
    <row r="958" spans="5:7" ht="15.75" customHeight="1" x14ac:dyDescent="0.3">
      <c r="E958" s="20"/>
      <c r="G958" s="20"/>
    </row>
    <row r="959" spans="5:7" ht="15.75" customHeight="1" x14ac:dyDescent="0.3">
      <c r="E959" s="20"/>
      <c r="G959" s="20"/>
    </row>
    <row r="960" spans="5:7" ht="15.75" customHeight="1" x14ac:dyDescent="0.3">
      <c r="E960" s="20"/>
      <c r="G960" s="20"/>
    </row>
    <row r="961" spans="5:7" ht="15.75" customHeight="1" x14ac:dyDescent="0.3">
      <c r="E961" s="20"/>
      <c r="G961" s="20"/>
    </row>
    <row r="962" spans="5:7" ht="15.75" customHeight="1" x14ac:dyDescent="0.3">
      <c r="E962" s="20"/>
      <c r="G962" s="20"/>
    </row>
    <row r="963" spans="5:7" ht="15.75" customHeight="1" x14ac:dyDescent="0.3">
      <c r="E963" s="20"/>
      <c r="G963" s="20"/>
    </row>
    <row r="964" spans="5:7" ht="15.75" customHeight="1" x14ac:dyDescent="0.3">
      <c r="E964" s="20"/>
      <c r="G964" s="20"/>
    </row>
    <row r="965" spans="5:7" ht="15.75" customHeight="1" x14ac:dyDescent="0.3">
      <c r="E965" s="20"/>
      <c r="G965" s="20"/>
    </row>
    <row r="966" spans="5:7" ht="15.75" customHeight="1" x14ac:dyDescent="0.3">
      <c r="E966" s="20"/>
      <c r="G966" s="20"/>
    </row>
    <row r="967" spans="5:7" ht="15.75" customHeight="1" x14ac:dyDescent="0.3">
      <c r="E967" s="20"/>
      <c r="G967" s="20"/>
    </row>
    <row r="968" spans="5:7" ht="15.75" customHeight="1" x14ac:dyDescent="0.3">
      <c r="E968" s="20"/>
      <c r="G968" s="20"/>
    </row>
    <row r="969" spans="5:7" ht="15.75" customHeight="1" x14ac:dyDescent="0.3">
      <c r="E969" s="20"/>
      <c r="G969" s="20"/>
    </row>
    <row r="970" spans="5:7" ht="15.75" customHeight="1" x14ac:dyDescent="0.3">
      <c r="E970" s="20"/>
      <c r="G970" s="20"/>
    </row>
    <row r="971" spans="5:7" ht="15.75" customHeight="1" x14ac:dyDescent="0.3">
      <c r="E971" s="20"/>
      <c r="G971" s="20"/>
    </row>
    <row r="972" spans="5:7" ht="15.75" customHeight="1" x14ac:dyDescent="0.3">
      <c r="E972" s="20"/>
      <c r="G972" s="20"/>
    </row>
    <row r="973" spans="5:7" ht="15.75" customHeight="1" x14ac:dyDescent="0.3">
      <c r="E973" s="20"/>
      <c r="G973" s="20"/>
    </row>
    <row r="974" spans="5:7" ht="15.75" customHeight="1" x14ac:dyDescent="0.3">
      <c r="E974" s="20"/>
      <c r="G974" s="20"/>
    </row>
    <row r="975" spans="5:7" ht="15.75" customHeight="1" x14ac:dyDescent="0.3">
      <c r="E975" s="20"/>
      <c r="G975" s="20"/>
    </row>
    <row r="976" spans="5:7" ht="15.75" customHeight="1" x14ac:dyDescent="0.3">
      <c r="E976" s="20"/>
      <c r="G976" s="20"/>
    </row>
    <row r="977" spans="5:7" ht="15.75" customHeight="1" x14ac:dyDescent="0.3">
      <c r="E977" s="20"/>
      <c r="G977" s="20"/>
    </row>
    <row r="978" spans="5:7" ht="15.75" customHeight="1" x14ac:dyDescent="0.3">
      <c r="E978" s="20"/>
      <c r="G978" s="20"/>
    </row>
    <row r="979" spans="5:7" ht="15.75" customHeight="1" x14ac:dyDescent="0.3">
      <c r="E979" s="20"/>
      <c r="G979" s="20"/>
    </row>
    <row r="980" spans="5:7" ht="15.75" customHeight="1" x14ac:dyDescent="0.3">
      <c r="E980" s="20"/>
      <c r="G980" s="20"/>
    </row>
    <row r="981" spans="5:7" ht="15.75" customHeight="1" x14ac:dyDescent="0.3">
      <c r="E981" s="20"/>
      <c r="G981" s="20"/>
    </row>
    <row r="982" spans="5:7" ht="15.75" customHeight="1" x14ac:dyDescent="0.3">
      <c r="E982" s="20"/>
      <c r="G982" s="20"/>
    </row>
    <row r="983" spans="5:7" ht="15.75" customHeight="1" x14ac:dyDescent="0.3">
      <c r="E983" s="20"/>
      <c r="G983" s="20"/>
    </row>
    <row r="984" spans="5:7" ht="15.75" customHeight="1" x14ac:dyDescent="0.3">
      <c r="E984" s="20"/>
      <c r="G984" s="20"/>
    </row>
    <row r="985" spans="5:7" ht="15.75" customHeight="1" x14ac:dyDescent="0.3">
      <c r="E985" s="20"/>
      <c r="G985" s="20"/>
    </row>
    <row r="986" spans="5:7" ht="15.75" customHeight="1" x14ac:dyDescent="0.3">
      <c r="E986" s="20"/>
      <c r="G986" s="20"/>
    </row>
    <row r="987" spans="5:7" ht="15.75" customHeight="1" x14ac:dyDescent="0.3">
      <c r="E987" s="20"/>
      <c r="G987" s="20"/>
    </row>
    <row r="988" spans="5:7" ht="15.75" customHeight="1" x14ac:dyDescent="0.3">
      <c r="E988" s="20"/>
      <c r="G988" s="20"/>
    </row>
    <row r="989" spans="5:7" ht="15.75" customHeight="1" x14ac:dyDescent="0.3">
      <c r="E989" s="20"/>
      <c r="G989" s="20"/>
    </row>
    <row r="990" spans="5:7" ht="15.75" customHeight="1" x14ac:dyDescent="0.3">
      <c r="E990" s="20"/>
      <c r="G990" s="20"/>
    </row>
    <row r="991" spans="5:7" ht="15.75" customHeight="1" x14ac:dyDescent="0.3">
      <c r="E991" s="20"/>
      <c r="G991" s="20"/>
    </row>
    <row r="992" spans="5:7" ht="15.75" customHeight="1" x14ac:dyDescent="0.3">
      <c r="E992" s="20"/>
      <c r="G992" s="20"/>
    </row>
    <row r="993" spans="5:7" ht="15.75" customHeight="1" x14ac:dyDescent="0.3">
      <c r="E993" s="20"/>
      <c r="G993" s="20"/>
    </row>
    <row r="994" spans="5:7" ht="15.75" customHeight="1" x14ac:dyDescent="0.3">
      <c r="E994" s="20"/>
      <c r="G994" s="20"/>
    </row>
    <row r="995" spans="5:7" ht="15.75" customHeight="1" x14ac:dyDescent="0.3">
      <c r="E995" s="20"/>
      <c r="G995" s="20"/>
    </row>
    <row r="996" spans="5:7" ht="15.75" customHeight="1" x14ac:dyDescent="0.3">
      <c r="E996" s="20"/>
      <c r="G996" s="20"/>
    </row>
    <row r="997" spans="5:7" ht="15.75" customHeight="1" x14ac:dyDescent="0.3">
      <c r="E997" s="20"/>
      <c r="G997" s="20"/>
    </row>
    <row r="998" spans="5:7" ht="15.75" customHeight="1" x14ac:dyDescent="0.3">
      <c r="E998" s="20"/>
      <c r="G998" s="20"/>
    </row>
    <row r="999" spans="5:7" ht="15.75" customHeight="1" x14ac:dyDescent="0.3">
      <c r="E999" s="20"/>
      <c r="G999" s="20"/>
    </row>
    <row r="1000" spans="5:7" ht="15.75" customHeight="1" x14ac:dyDescent="0.3">
      <c r="E1000" s="20"/>
      <c r="G1000" s="20"/>
    </row>
  </sheetData>
  <sheetProtection algorithmName="SHA-512" hashValue="C87aovfbh1PsBe8KTtJCam5YNcAvK5q2VEJqalkQz/HE2t9+n52yiSp5BljuQiRWJ3ABSwrVPrK02rRzB09FzQ==" saltValue="fTeCEpcGIc9F6bVtawCp4w==" spinCount="100000" sheet="1" objects="1" scenarios="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12.33203125" customWidth="1"/>
    <col min="2" max="2" width="14.5546875" customWidth="1"/>
    <col min="3" max="3" width="15.109375" customWidth="1"/>
    <col min="4" max="4" width="16" customWidth="1"/>
    <col min="5" max="6" width="14.6640625" customWidth="1"/>
    <col min="7" max="26" width="8.6640625" customWidth="1"/>
  </cols>
  <sheetData>
    <row r="1" spans="1:7" ht="14.4" x14ac:dyDescent="0.3">
      <c r="A1" s="1" t="s">
        <v>0</v>
      </c>
      <c r="B1" s="1" t="s">
        <v>4</v>
      </c>
      <c r="C1" s="1" t="s">
        <v>5</v>
      </c>
      <c r="D1" s="1" t="s">
        <v>6</v>
      </c>
      <c r="E1" s="8" t="s">
        <v>7</v>
      </c>
      <c r="F1" s="8" t="s">
        <v>42</v>
      </c>
      <c r="G1" s="9"/>
    </row>
    <row r="2" spans="1:7" ht="14.4" x14ac:dyDescent="0.3">
      <c r="A2" s="5" t="s">
        <v>43</v>
      </c>
      <c r="B2" s="5" t="s">
        <v>44</v>
      </c>
      <c r="C2" s="5" t="s">
        <v>45</v>
      </c>
      <c r="D2" s="5" t="s">
        <v>46</v>
      </c>
      <c r="E2" s="10">
        <v>1673.69</v>
      </c>
      <c r="F2" s="10">
        <v>1323.38</v>
      </c>
    </row>
    <row r="3" spans="1:7" ht="14.4" x14ac:dyDescent="0.3">
      <c r="A3" s="5" t="s">
        <v>47</v>
      </c>
      <c r="B3" s="5" t="s">
        <v>48</v>
      </c>
      <c r="C3" s="5" t="s">
        <v>45</v>
      </c>
      <c r="D3" s="5" t="s">
        <v>49</v>
      </c>
      <c r="E3" s="10">
        <v>818.76</v>
      </c>
      <c r="F3" s="10">
        <v>527.62</v>
      </c>
    </row>
    <row r="4" spans="1:7" ht="14.4" x14ac:dyDescent="0.3">
      <c r="A4" s="5" t="s">
        <v>50</v>
      </c>
      <c r="B4" s="5" t="s">
        <v>51</v>
      </c>
      <c r="C4" s="5" t="s">
        <v>52</v>
      </c>
      <c r="D4" s="5" t="s">
        <v>53</v>
      </c>
      <c r="E4" s="10">
        <v>337.63</v>
      </c>
      <c r="F4" s="10">
        <v>169.03</v>
      </c>
    </row>
    <row r="5" spans="1:7" ht="14.4" x14ac:dyDescent="0.3">
      <c r="A5" s="5" t="s">
        <v>54</v>
      </c>
      <c r="B5" s="5" t="s">
        <v>55</v>
      </c>
      <c r="C5" s="5" t="s">
        <v>52</v>
      </c>
      <c r="D5" s="5" t="s">
        <v>56</v>
      </c>
      <c r="E5" s="10">
        <v>1853.77</v>
      </c>
      <c r="F5" s="10">
        <v>1363.52</v>
      </c>
    </row>
    <row r="6" spans="1:7" ht="14.4" x14ac:dyDescent="0.3">
      <c r="A6" s="5" t="s">
        <v>57</v>
      </c>
      <c r="B6" s="5" t="s">
        <v>58</v>
      </c>
      <c r="C6" s="5" t="s">
        <v>52</v>
      </c>
      <c r="D6" s="5" t="s">
        <v>60</v>
      </c>
      <c r="E6" s="10">
        <v>1396.22</v>
      </c>
      <c r="F6" s="10">
        <v>1004.09</v>
      </c>
    </row>
    <row r="7" spans="1:7" ht="14.4" x14ac:dyDescent="0.3">
      <c r="A7" s="5" t="s">
        <v>61</v>
      </c>
      <c r="B7" s="5" t="s">
        <v>62</v>
      </c>
      <c r="C7" s="5" t="s">
        <v>63</v>
      </c>
      <c r="D7" s="5" t="s">
        <v>64</v>
      </c>
      <c r="E7" s="10">
        <v>318.05</v>
      </c>
      <c r="F7" s="10">
        <v>187.34</v>
      </c>
    </row>
    <row r="8" spans="1:7" ht="14.4" x14ac:dyDescent="0.3">
      <c r="A8" s="5" t="s">
        <v>65</v>
      </c>
      <c r="B8" s="5" t="s">
        <v>66</v>
      </c>
      <c r="C8" s="5" t="s">
        <v>45</v>
      </c>
      <c r="D8" s="5" t="s">
        <v>46</v>
      </c>
      <c r="E8" s="10">
        <v>1474.12</v>
      </c>
      <c r="F8" s="10">
        <v>764.02</v>
      </c>
    </row>
    <row r="9" spans="1:7" ht="14.4" x14ac:dyDescent="0.3">
      <c r="A9" s="5" t="s">
        <v>67</v>
      </c>
      <c r="B9" s="5" t="s">
        <v>68</v>
      </c>
      <c r="C9" s="5" t="s">
        <v>52</v>
      </c>
      <c r="D9" s="5" t="s">
        <v>53</v>
      </c>
      <c r="E9" s="10">
        <v>109.78</v>
      </c>
      <c r="F9" s="10">
        <v>70.59</v>
      </c>
    </row>
    <row r="10" spans="1:7" ht="14.4" x14ac:dyDescent="0.3">
      <c r="A10" s="5" t="s">
        <v>70</v>
      </c>
      <c r="B10" s="5" t="s">
        <v>71</v>
      </c>
      <c r="C10" s="5" t="s">
        <v>63</v>
      </c>
      <c r="D10" s="5" t="s">
        <v>73</v>
      </c>
      <c r="E10" s="10">
        <v>123.19</v>
      </c>
      <c r="F10" s="10">
        <v>80.36</v>
      </c>
    </row>
    <row r="11" spans="1:7" ht="14.4" x14ac:dyDescent="0.3">
      <c r="A11" s="5" t="s">
        <v>74</v>
      </c>
      <c r="B11" s="5" t="s">
        <v>75</v>
      </c>
      <c r="C11" s="5" t="s">
        <v>45</v>
      </c>
      <c r="D11" s="5" t="s">
        <v>76</v>
      </c>
      <c r="E11" s="10">
        <v>1194.1199999999999</v>
      </c>
      <c r="F11" s="10">
        <v>838.95</v>
      </c>
    </row>
    <row r="12" spans="1:7" ht="14.4" x14ac:dyDescent="0.3">
      <c r="A12" s="5" t="s">
        <v>77</v>
      </c>
      <c r="B12" s="5" t="s">
        <v>79</v>
      </c>
      <c r="C12" s="5" t="s">
        <v>45</v>
      </c>
      <c r="D12" s="5" t="s">
        <v>80</v>
      </c>
      <c r="E12" s="10">
        <v>248.57</v>
      </c>
      <c r="F12" s="10">
        <v>190.67</v>
      </c>
    </row>
    <row r="13" spans="1:7" ht="14.4" x14ac:dyDescent="0.3">
      <c r="A13" s="5" t="s">
        <v>82</v>
      </c>
      <c r="B13" s="5" t="s">
        <v>84</v>
      </c>
      <c r="C13" s="5" t="s">
        <v>45</v>
      </c>
      <c r="D13" s="5" t="s">
        <v>46</v>
      </c>
      <c r="E13" s="10">
        <v>1193.0899999999999</v>
      </c>
      <c r="F13" s="10">
        <v>818.24</v>
      </c>
    </row>
    <row r="14" spans="1:7" ht="14.4" x14ac:dyDescent="0.3">
      <c r="A14" s="5" t="s">
        <v>89</v>
      </c>
      <c r="B14" s="5" t="s">
        <v>90</v>
      </c>
      <c r="C14" s="5" t="s">
        <v>52</v>
      </c>
      <c r="D14" s="5" t="s">
        <v>93</v>
      </c>
      <c r="E14" s="10">
        <v>1134.8</v>
      </c>
      <c r="F14" s="10">
        <v>675.1</v>
      </c>
    </row>
    <row r="15" spans="1:7" ht="14.4" x14ac:dyDescent="0.3">
      <c r="A15" s="5" t="s">
        <v>95</v>
      </c>
      <c r="B15" s="5" t="s">
        <v>97</v>
      </c>
      <c r="C15" s="5" t="s">
        <v>52</v>
      </c>
      <c r="D15" s="5" t="s">
        <v>99</v>
      </c>
      <c r="E15" s="10">
        <v>1342.75</v>
      </c>
      <c r="F15" s="10">
        <v>797.94</v>
      </c>
    </row>
    <row r="16" spans="1:7" ht="14.4" x14ac:dyDescent="0.3">
      <c r="A16" s="5" t="s">
        <v>103</v>
      </c>
      <c r="B16" s="5" t="s">
        <v>104</v>
      </c>
      <c r="C16" s="5" t="s">
        <v>52</v>
      </c>
      <c r="D16" s="5" t="s">
        <v>60</v>
      </c>
      <c r="E16" s="10">
        <v>270.45</v>
      </c>
      <c r="F16" s="10">
        <v>187.6</v>
      </c>
    </row>
    <row r="17" spans="1:6" ht="14.4" x14ac:dyDescent="0.3">
      <c r="A17" s="5" t="s">
        <v>109</v>
      </c>
      <c r="B17" s="5" t="s">
        <v>110</v>
      </c>
      <c r="C17" s="5" t="s">
        <v>52</v>
      </c>
      <c r="D17" s="5" t="s">
        <v>56</v>
      </c>
      <c r="E17" s="10">
        <v>1858.75</v>
      </c>
      <c r="F17" s="10">
        <v>1451.16</v>
      </c>
    </row>
    <row r="18" spans="1:6" ht="14.4" x14ac:dyDescent="0.3">
      <c r="A18" s="5" t="s">
        <v>115</v>
      </c>
      <c r="B18" s="5" t="s">
        <v>117</v>
      </c>
      <c r="C18" s="5" t="s">
        <v>45</v>
      </c>
      <c r="D18" s="5" t="s">
        <v>80</v>
      </c>
      <c r="E18" s="10">
        <v>1246.1099999999999</v>
      </c>
      <c r="F18" s="10">
        <v>833.52</v>
      </c>
    </row>
    <row r="19" spans="1:6" ht="14.4" x14ac:dyDescent="0.3">
      <c r="A19" s="5" t="s">
        <v>119</v>
      </c>
      <c r="B19" s="5" t="s">
        <v>120</v>
      </c>
      <c r="C19" s="5" t="s">
        <v>45</v>
      </c>
      <c r="D19" s="5" t="s">
        <v>76</v>
      </c>
      <c r="E19" s="10">
        <v>1079.8900000000001</v>
      </c>
      <c r="F19" s="10">
        <v>703.83</v>
      </c>
    </row>
    <row r="20" spans="1:6" ht="14.4" x14ac:dyDescent="0.3">
      <c r="A20" s="5" t="s">
        <v>122</v>
      </c>
      <c r="B20" s="5" t="s">
        <v>124</v>
      </c>
      <c r="C20" s="5" t="s">
        <v>45</v>
      </c>
      <c r="D20" s="5" t="s">
        <v>126</v>
      </c>
      <c r="E20" s="10">
        <v>1762.92</v>
      </c>
      <c r="F20" s="10">
        <v>1346.48</v>
      </c>
    </row>
    <row r="21" spans="1:6" ht="15.75" customHeight="1" x14ac:dyDescent="0.3">
      <c r="A21" s="5" t="s">
        <v>128</v>
      </c>
      <c r="B21" s="5" t="s">
        <v>130</v>
      </c>
      <c r="C21" s="5" t="s">
        <v>52</v>
      </c>
      <c r="D21" s="5" t="s">
        <v>56</v>
      </c>
      <c r="E21" s="10">
        <v>323.92</v>
      </c>
      <c r="F21" s="10">
        <v>242.98</v>
      </c>
    </row>
    <row r="22" spans="1:6" ht="15.75" customHeight="1" x14ac:dyDescent="0.3">
      <c r="A22" s="5" t="s">
        <v>134</v>
      </c>
      <c r="B22" s="5" t="s">
        <v>135</v>
      </c>
      <c r="C22" s="5" t="s">
        <v>63</v>
      </c>
      <c r="D22" s="5" t="s">
        <v>136</v>
      </c>
      <c r="E22" s="10">
        <v>1227.24</v>
      </c>
      <c r="F22" s="10">
        <v>977.09</v>
      </c>
    </row>
    <row r="23" spans="1:6" ht="15.75" customHeight="1" x14ac:dyDescent="0.3">
      <c r="A23" s="5" t="s">
        <v>140</v>
      </c>
      <c r="B23" s="5" t="s">
        <v>142</v>
      </c>
      <c r="C23" s="5" t="s">
        <v>63</v>
      </c>
      <c r="D23" s="5" t="s">
        <v>143</v>
      </c>
      <c r="E23" s="10">
        <v>25.57</v>
      </c>
      <c r="F23" s="10">
        <v>19.05</v>
      </c>
    </row>
    <row r="24" spans="1:6" ht="15.75" customHeight="1" x14ac:dyDescent="0.3">
      <c r="A24" s="5" t="s">
        <v>147</v>
      </c>
      <c r="B24" s="5" t="s">
        <v>148</v>
      </c>
      <c r="C24" s="5" t="s">
        <v>52</v>
      </c>
      <c r="D24" s="5" t="s">
        <v>53</v>
      </c>
      <c r="E24" s="10">
        <v>1878.47</v>
      </c>
      <c r="F24" s="10">
        <v>1014.91</v>
      </c>
    </row>
    <row r="25" spans="1:6" ht="15.75" customHeight="1" x14ac:dyDescent="0.3">
      <c r="A25" s="5" t="s">
        <v>153</v>
      </c>
      <c r="B25" s="5" t="s">
        <v>154</v>
      </c>
      <c r="C25" s="5" t="s">
        <v>45</v>
      </c>
      <c r="D25" s="5" t="s">
        <v>76</v>
      </c>
      <c r="E25" s="10">
        <v>1487.41</v>
      </c>
      <c r="F25" s="10">
        <v>813.07</v>
      </c>
    </row>
    <row r="26" spans="1:6" ht="15.75" customHeight="1" x14ac:dyDescent="0.3">
      <c r="A26" s="5" t="s">
        <v>162</v>
      </c>
      <c r="B26" s="5" t="s">
        <v>164</v>
      </c>
      <c r="C26" s="5" t="s">
        <v>52</v>
      </c>
      <c r="D26" s="5" t="s">
        <v>93</v>
      </c>
      <c r="E26" s="10">
        <v>429.15</v>
      </c>
      <c r="F26" s="10">
        <v>258.72000000000003</v>
      </c>
    </row>
    <row r="27" spans="1:6" ht="15.75" customHeight="1" x14ac:dyDescent="0.3">
      <c r="A27" s="5" t="s">
        <v>168</v>
      </c>
      <c r="B27" s="5" t="s">
        <v>170</v>
      </c>
      <c r="C27" s="5" t="s">
        <v>63</v>
      </c>
      <c r="D27" s="5" t="s">
        <v>136</v>
      </c>
      <c r="E27" s="10">
        <v>1015.76</v>
      </c>
      <c r="F27" s="10">
        <v>584.4</v>
      </c>
    </row>
    <row r="28" spans="1:6" ht="15.75" customHeight="1" x14ac:dyDescent="0.3">
      <c r="A28" s="5" t="s">
        <v>175</v>
      </c>
      <c r="B28" s="5" t="s">
        <v>176</v>
      </c>
      <c r="C28" s="5" t="s">
        <v>45</v>
      </c>
      <c r="D28" s="5" t="s">
        <v>76</v>
      </c>
      <c r="E28" s="10">
        <v>1272.23</v>
      </c>
      <c r="F28" s="10">
        <v>952.65</v>
      </c>
    </row>
    <row r="29" spans="1:6" ht="15.75" customHeight="1" x14ac:dyDescent="0.3">
      <c r="A29" s="5" t="s">
        <v>180</v>
      </c>
      <c r="B29" s="5" t="s">
        <v>183</v>
      </c>
      <c r="C29" s="5" t="s">
        <v>45</v>
      </c>
      <c r="D29" s="5" t="s">
        <v>76</v>
      </c>
      <c r="E29" s="10">
        <v>673.78</v>
      </c>
      <c r="F29" s="10">
        <v>363.33</v>
      </c>
    </row>
    <row r="30" spans="1:6" ht="15.75" customHeight="1" x14ac:dyDescent="0.3">
      <c r="A30" s="5" t="s">
        <v>188</v>
      </c>
      <c r="B30" s="5" t="s">
        <v>189</v>
      </c>
      <c r="C30" s="5" t="s">
        <v>52</v>
      </c>
      <c r="D30" s="5" t="s">
        <v>99</v>
      </c>
      <c r="E30" s="10">
        <v>1485.05</v>
      </c>
      <c r="F30" s="10">
        <v>988.31</v>
      </c>
    </row>
    <row r="31" spans="1:6" ht="15.75" customHeight="1" x14ac:dyDescent="0.3">
      <c r="A31" s="5" t="s">
        <v>193</v>
      </c>
      <c r="B31" s="5" t="s">
        <v>195</v>
      </c>
      <c r="C31" s="5" t="s">
        <v>52</v>
      </c>
      <c r="D31" s="5" t="s">
        <v>93</v>
      </c>
      <c r="E31" s="10">
        <v>29.24</v>
      </c>
      <c r="F31" s="10">
        <v>15.28</v>
      </c>
    </row>
    <row r="32" spans="1:6" ht="15.75" customHeight="1" x14ac:dyDescent="0.3">
      <c r="A32" s="5" t="s">
        <v>200</v>
      </c>
      <c r="B32" s="5" t="s">
        <v>201</v>
      </c>
      <c r="C32" s="5" t="s">
        <v>63</v>
      </c>
      <c r="D32" s="5" t="s">
        <v>73</v>
      </c>
      <c r="E32" s="10">
        <v>1095.72</v>
      </c>
      <c r="F32" s="10">
        <v>822.2</v>
      </c>
    </row>
    <row r="33" spans="1:6" ht="15.75" customHeight="1" x14ac:dyDescent="0.3">
      <c r="A33" s="5" t="s">
        <v>206</v>
      </c>
      <c r="B33" s="5" t="s">
        <v>207</v>
      </c>
      <c r="C33" s="5" t="s">
        <v>63</v>
      </c>
      <c r="D33" s="5" t="s">
        <v>143</v>
      </c>
      <c r="E33" s="10">
        <v>304.70999999999998</v>
      </c>
      <c r="F33" s="10">
        <v>164.01</v>
      </c>
    </row>
    <row r="34" spans="1:6" ht="15.75" customHeight="1" x14ac:dyDescent="0.3">
      <c r="A34" s="5" t="s">
        <v>212</v>
      </c>
      <c r="B34" s="5" t="s">
        <v>213</v>
      </c>
      <c r="C34" s="5" t="s">
        <v>52</v>
      </c>
      <c r="D34" s="5" t="s">
        <v>56</v>
      </c>
      <c r="E34" s="10">
        <v>1798.97</v>
      </c>
      <c r="F34" s="10">
        <v>1329.15</v>
      </c>
    </row>
    <row r="35" spans="1:6" ht="15.75" customHeight="1" x14ac:dyDescent="0.3">
      <c r="A35" s="5" t="s">
        <v>217</v>
      </c>
      <c r="B35" s="5" t="s">
        <v>219</v>
      </c>
      <c r="C35" s="5" t="s">
        <v>45</v>
      </c>
      <c r="D35" s="5" t="s">
        <v>126</v>
      </c>
      <c r="E35" s="10">
        <v>428.05</v>
      </c>
      <c r="F35" s="10">
        <v>246.07</v>
      </c>
    </row>
    <row r="36" spans="1:6" ht="15.75" customHeight="1" x14ac:dyDescent="0.3">
      <c r="A36" s="5" t="s">
        <v>221</v>
      </c>
      <c r="B36" s="5" t="s">
        <v>222</v>
      </c>
      <c r="C36" s="5" t="s">
        <v>45</v>
      </c>
      <c r="D36" s="5" t="s">
        <v>126</v>
      </c>
      <c r="E36" s="10">
        <v>1562.43</v>
      </c>
      <c r="F36" s="10">
        <v>1195.6300000000001</v>
      </c>
    </row>
    <row r="37" spans="1:6" ht="15.75" customHeight="1" x14ac:dyDescent="0.3">
      <c r="A37" s="5" t="s">
        <v>226</v>
      </c>
      <c r="B37" s="5" t="s">
        <v>227</v>
      </c>
      <c r="C37" s="5" t="s">
        <v>52</v>
      </c>
      <c r="D37" s="5" t="s">
        <v>93</v>
      </c>
      <c r="E37" s="10">
        <v>1501.46</v>
      </c>
      <c r="F37" s="10">
        <v>1167.73</v>
      </c>
    </row>
    <row r="38" spans="1:6" ht="15.75" customHeight="1" x14ac:dyDescent="0.3">
      <c r="A38" s="5" t="s">
        <v>232</v>
      </c>
      <c r="B38" s="5" t="s">
        <v>233</v>
      </c>
      <c r="C38" s="5" t="s">
        <v>45</v>
      </c>
      <c r="D38" s="5" t="s">
        <v>49</v>
      </c>
      <c r="E38" s="10">
        <v>1952.65</v>
      </c>
      <c r="F38" s="10">
        <v>1451.27</v>
      </c>
    </row>
    <row r="39" spans="1:6" ht="15.75" customHeight="1" x14ac:dyDescent="0.3">
      <c r="A39" s="5" t="s">
        <v>237</v>
      </c>
      <c r="B39" s="5" t="s">
        <v>239</v>
      </c>
      <c r="C39" s="5" t="s">
        <v>52</v>
      </c>
      <c r="D39" s="5" t="s">
        <v>53</v>
      </c>
      <c r="E39" s="10">
        <v>366.93</v>
      </c>
      <c r="F39" s="10">
        <v>285.23</v>
      </c>
    </row>
    <row r="40" spans="1:6" ht="15.75" customHeight="1" x14ac:dyDescent="0.3">
      <c r="A40" s="5" t="s">
        <v>243</v>
      </c>
      <c r="B40" s="5" t="s">
        <v>244</v>
      </c>
      <c r="C40" s="5" t="s">
        <v>52</v>
      </c>
      <c r="D40" s="5" t="s">
        <v>99</v>
      </c>
      <c r="E40" s="10">
        <v>540.94000000000005</v>
      </c>
      <c r="F40" s="10">
        <v>398.25</v>
      </c>
    </row>
    <row r="41" spans="1:6" ht="15.75" customHeight="1" x14ac:dyDescent="0.3">
      <c r="A41" s="5" t="s">
        <v>249</v>
      </c>
      <c r="B41" s="5" t="s">
        <v>252</v>
      </c>
      <c r="C41" s="5" t="s">
        <v>45</v>
      </c>
      <c r="D41" s="5" t="s">
        <v>80</v>
      </c>
      <c r="E41" s="10">
        <v>1745.61</v>
      </c>
      <c r="F41" s="10">
        <v>1322.44</v>
      </c>
    </row>
    <row r="42" spans="1:6" ht="15.75" customHeight="1" x14ac:dyDescent="0.3">
      <c r="A42" s="5" t="s">
        <v>256</v>
      </c>
      <c r="B42" s="5" t="s">
        <v>258</v>
      </c>
      <c r="C42" s="5" t="s">
        <v>45</v>
      </c>
      <c r="D42" s="5" t="s">
        <v>49</v>
      </c>
      <c r="E42" s="10">
        <v>1635.01</v>
      </c>
      <c r="F42" s="10">
        <v>1043.29</v>
      </c>
    </row>
    <row r="43" spans="1:6" ht="15.75" customHeight="1" x14ac:dyDescent="0.3">
      <c r="A43" s="5" t="s">
        <v>262</v>
      </c>
      <c r="B43" s="5" t="s">
        <v>264</v>
      </c>
      <c r="C43" s="5" t="s">
        <v>52</v>
      </c>
      <c r="D43" s="5" t="s">
        <v>99</v>
      </c>
      <c r="E43" s="10">
        <v>453.62</v>
      </c>
      <c r="F43" s="10">
        <v>316.63</v>
      </c>
    </row>
    <row r="44" spans="1:6" ht="15.75" customHeight="1" x14ac:dyDescent="0.3">
      <c r="A44" s="5" t="s">
        <v>265</v>
      </c>
      <c r="B44" s="5" t="s">
        <v>266</v>
      </c>
      <c r="C44" s="5" t="s">
        <v>52</v>
      </c>
      <c r="D44" s="5" t="s">
        <v>56</v>
      </c>
      <c r="E44" s="10">
        <v>564.41999999999996</v>
      </c>
      <c r="F44" s="10">
        <v>293.95999999999998</v>
      </c>
    </row>
    <row r="45" spans="1:6" ht="15.75" customHeight="1" x14ac:dyDescent="0.3">
      <c r="A45" s="5" t="s">
        <v>267</v>
      </c>
      <c r="B45" s="5" t="s">
        <v>268</v>
      </c>
      <c r="C45" s="5" t="s">
        <v>52</v>
      </c>
      <c r="D45" s="5" t="s">
        <v>56</v>
      </c>
      <c r="E45" s="10">
        <v>1286.55</v>
      </c>
      <c r="F45" s="10">
        <v>797.54</v>
      </c>
    </row>
    <row r="46" spans="1:6" ht="15.75" customHeight="1" x14ac:dyDescent="0.3">
      <c r="A46" s="5" t="s">
        <v>269</v>
      </c>
      <c r="B46" s="5" t="s">
        <v>270</v>
      </c>
      <c r="C46" s="5" t="s">
        <v>63</v>
      </c>
      <c r="D46" s="5" t="s">
        <v>136</v>
      </c>
      <c r="E46" s="10">
        <v>1879.08</v>
      </c>
      <c r="F46" s="10">
        <v>1004.56</v>
      </c>
    </row>
    <row r="47" spans="1:6" ht="15.75" customHeight="1" x14ac:dyDescent="0.3">
      <c r="A47" s="5" t="s">
        <v>272</v>
      </c>
      <c r="B47" s="5" t="s">
        <v>273</v>
      </c>
      <c r="C47" s="5" t="s">
        <v>52</v>
      </c>
      <c r="D47" s="5" t="s">
        <v>99</v>
      </c>
      <c r="E47" s="10">
        <v>1165.3699999999999</v>
      </c>
      <c r="F47" s="10">
        <v>926.55</v>
      </c>
    </row>
    <row r="48" spans="1:6" ht="15.75" customHeight="1" x14ac:dyDescent="0.3">
      <c r="A48" s="5" t="s">
        <v>276</v>
      </c>
      <c r="B48" s="5" t="s">
        <v>277</v>
      </c>
      <c r="C48" s="5" t="s">
        <v>45</v>
      </c>
      <c r="D48" s="5" t="s">
        <v>76</v>
      </c>
      <c r="E48" s="10">
        <v>1197.18</v>
      </c>
      <c r="F48" s="10">
        <v>722.74</v>
      </c>
    </row>
    <row r="49" spans="1:6" ht="15.75" customHeight="1" x14ac:dyDescent="0.3">
      <c r="A49" s="5" t="s">
        <v>280</v>
      </c>
      <c r="B49" s="5" t="s">
        <v>282</v>
      </c>
      <c r="C49" s="5" t="s">
        <v>52</v>
      </c>
      <c r="D49" s="5" t="s">
        <v>60</v>
      </c>
      <c r="E49" s="10">
        <v>1216.3599999999999</v>
      </c>
      <c r="F49" s="10">
        <v>794.8</v>
      </c>
    </row>
    <row r="50" spans="1:6" ht="15.75" customHeight="1" x14ac:dyDescent="0.3">
      <c r="A50" s="5" t="s">
        <v>285</v>
      </c>
      <c r="B50" s="5" t="s">
        <v>287</v>
      </c>
      <c r="C50" s="5" t="s">
        <v>52</v>
      </c>
      <c r="D50" s="5" t="s">
        <v>93</v>
      </c>
      <c r="E50" s="10">
        <v>388.26</v>
      </c>
      <c r="F50" s="10">
        <v>199.3</v>
      </c>
    </row>
    <row r="51" spans="1:6" ht="15.75" customHeight="1" x14ac:dyDescent="0.3">
      <c r="A51" s="5" t="s">
        <v>291</v>
      </c>
      <c r="B51" s="5" t="s">
        <v>293</v>
      </c>
      <c r="C51" s="5" t="s">
        <v>52</v>
      </c>
      <c r="D51" s="5" t="s">
        <v>53</v>
      </c>
      <c r="E51" s="10">
        <v>1044.6400000000001</v>
      </c>
      <c r="F51" s="10">
        <v>775.07</v>
      </c>
    </row>
    <row r="52" spans="1:6" ht="15.75" customHeight="1" x14ac:dyDescent="0.3">
      <c r="E52" s="10"/>
      <c r="F52" s="10"/>
    </row>
    <row r="53" spans="1:6" ht="15.75" customHeight="1" x14ac:dyDescent="0.3">
      <c r="E53" s="10"/>
      <c r="F53" s="10"/>
    </row>
    <row r="54" spans="1:6" ht="15.75" customHeight="1" x14ac:dyDescent="0.3">
      <c r="E54" s="10"/>
      <c r="F54" s="10"/>
    </row>
    <row r="55" spans="1:6" ht="15.75" customHeight="1" x14ac:dyDescent="0.3">
      <c r="E55" s="10"/>
      <c r="F55" s="10"/>
    </row>
    <row r="56" spans="1:6" ht="15.75" customHeight="1" x14ac:dyDescent="0.3">
      <c r="E56" s="10"/>
      <c r="F56" s="10"/>
    </row>
    <row r="57" spans="1:6" ht="15.75" customHeight="1" x14ac:dyDescent="0.3">
      <c r="E57" s="10"/>
      <c r="F57" s="10"/>
    </row>
    <row r="58" spans="1:6" ht="15.75" customHeight="1" x14ac:dyDescent="0.3">
      <c r="E58" s="10"/>
      <c r="F58" s="10"/>
    </row>
    <row r="59" spans="1:6" ht="15.75" customHeight="1" x14ac:dyDescent="0.3">
      <c r="E59" s="10"/>
      <c r="F59" s="10"/>
    </row>
    <row r="60" spans="1:6" ht="15.75" customHeight="1" x14ac:dyDescent="0.3">
      <c r="E60" s="10"/>
      <c r="F60" s="10"/>
    </row>
    <row r="61" spans="1:6" ht="15.75" customHeight="1" x14ac:dyDescent="0.3">
      <c r="E61" s="10"/>
      <c r="F61" s="10"/>
    </row>
    <row r="62" spans="1:6" ht="15.75" customHeight="1" x14ac:dyDescent="0.3">
      <c r="E62" s="10"/>
      <c r="F62" s="10"/>
    </row>
    <row r="63" spans="1:6" ht="15.75" customHeight="1" x14ac:dyDescent="0.3">
      <c r="E63" s="10"/>
      <c r="F63" s="10"/>
    </row>
    <row r="64" spans="1:6" ht="15.75" customHeight="1" x14ac:dyDescent="0.3">
      <c r="E64" s="10"/>
      <c r="F64" s="10"/>
    </row>
    <row r="65" spans="5:6" ht="15.75" customHeight="1" x14ac:dyDescent="0.3">
      <c r="E65" s="10"/>
      <c r="F65" s="10"/>
    </row>
    <row r="66" spans="5:6" ht="15.75" customHeight="1" x14ac:dyDescent="0.3">
      <c r="E66" s="10"/>
      <c r="F66" s="10"/>
    </row>
    <row r="67" spans="5:6" ht="15.75" customHeight="1" x14ac:dyDescent="0.3">
      <c r="E67" s="10"/>
      <c r="F67" s="10"/>
    </row>
    <row r="68" spans="5:6" ht="15.75" customHeight="1" x14ac:dyDescent="0.3">
      <c r="E68" s="10"/>
      <c r="F68" s="10"/>
    </row>
    <row r="69" spans="5:6" ht="15.75" customHeight="1" x14ac:dyDescent="0.3">
      <c r="E69" s="10"/>
      <c r="F69" s="10"/>
    </row>
    <row r="70" spans="5:6" ht="15.75" customHeight="1" x14ac:dyDescent="0.3">
      <c r="E70" s="10"/>
      <c r="F70" s="10"/>
    </row>
    <row r="71" spans="5:6" ht="15.75" customHeight="1" x14ac:dyDescent="0.3">
      <c r="E71" s="10"/>
      <c r="F71" s="10"/>
    </row>
    <row r="72" spans="5:6" ht="15.75" customHeight="1" x14ac:dyDescent="0.3">
      <c r="E72" s="10"/>
      <c r="F72" s="10"/>
    </row>
    <row r="73" spans="5:6" ht="15.75" customHeight="1" x14ac:dyDescent="0.3">
      <c r="E73" s="10"/>
      <c r="F73" s="10"/>
    </row>
    <row r="74" spans="5:6" ht="15.75" customHeight="1" x14ac:dyDescent="0.3">
      <c r="E74" s="10"/>
      <c r="F74" s="10"/>
    </row>
    <row r="75" spans="5:6" ht="15.75" customHeight="1" x14ac:dyDescent="0.3">
      <c r="E75" s="10"/>
      <c r="F75" s="10"/>
    </row>
    <row r="76" spans="5:6" ht="15.75" customHeight="1" x14ac:dyDescent="0.3">
      <c r="E76" s="10"/>
      <c r="F76" s="10"/>
    </row>
    <row r="77" spans="5:6" ht="15.75" customHeight="1" x14ac:dyDescent="0.3">
      <c r="E77" s="10"/>
      <c r="F77" s="10"/>
    </row>
    <row r="78" spans="5:6" ht="15.75" customHeight="1" x14ac:dyDescent="0.3">
      <c r="E78" s="10"/>
      <c r="F78" s="10"/>
    </row>
    <row r="79" spans="5:6" ht="15.75" customHeight="1" x14ac:dyDescent="0.3">
      <c r="E79" s="10"/>
      <c r="F79" s="10"/>
    </row>
    <row r="80" spans="5:6" ht="15.75" customHeight="1" x14ac:dyDescent="0.3">
      <c r="E80" s="10"/>
      <c r="F80" s="10"/>
    </row>
    <row r="81" spans="5:6" ht="15.75" customHeight="1" x14ac:dyDescent="0.3">
      <c r="E81" s="10"/>
      <c r="F81" s="10"/>
    </row>
    <row r="82" spans="5:6" ht="15.75" customHeight="1" x14ac:dyDescent="0.3">
      <c r="E82" s="10"/>
      <c r="F82" s="10"/>
    </row>
    <row r="83" spans="5:6" ht="15.75" customHeight="1" x14ac:dyDescent="0.3">
      <c r="E83" s="10"/>
      <c r="F83" s="10"/>
    </row>
    <row r="84" spans="5:6" ht="15.75" customHeight="1" x14ac:dyDescent="0.3">
      <c r="E84" s="10"/>
      <c r="F84" s="10"/>
    </row>
    <row r="85" spans="5:6" ht="15.75" customHeight="1" x14ac:dyDescent="0.3">
      <c r="E85" s="10"/>
      <c r="F85" s="10"/>
    </row>
    <row r="86" spans="5:6" ht="15.75" customHeight="1" x14ac:dyDescent="0.3">
      <c r="E86" s="10"/>
      <c r="F86" s="10"/>
    </row>
    <row r="87" spans="5:6" ht="15.75" customHeight="1" x14ac:dyDescent="0.3">
      <c r="E87" s="10"/>
      <c r="F87" s="10"/>
    </row>
    <row r="88" spans="5:6" ht="15.75" customHeight="1" x14ac:dyDescent="0.3">
      <c r="E88" s="10"/>
      <c r="F88" s="10"/>
    </row>
    <row r="89" spans="5:6" ht="15.75" customHeight="1" x14ac:dyDescent="0.3">
      <c r="E89" s="10"/>
      <c r="F89" s="10"/>
    </row>
    <row r="90" spans="5:6" ht="15.75" customHeight="1" x14ac:dyDescent="0.3">
      <c r="E90" s="10"/>
      <c r="F90" s="10"/>
    </row>
    <row r="91" spans="5:6" ht="15.75" customHeight="1" x14ac:dyDescent="0.3">
      <c r="E91" s="10"/>
      <c r="F91" s="10"/>
    </row>
    <row r="92" spans="5:6" ht="15.75" customHeight="1" x14ac:dyDescent="0.3">
      <c r="E92" s="10"/>
      <c r="F92" s="10"/>
    </row>
    <row r="93" spans="5:6" ht="15.75" customHeight="1" x14ac:dyDescent="0.3">
      <c r="E93" s="10"/>
      <c r="F93" s="10"/>
    </row>
    <row r="94" spans="5:6" ht="15.75" customHeight="1" x14ac:dyDescent="0.3">
      <c r="E94" s="10"/>
      <c r="F94" s="10"/>
    </row>
    <row r="95" spans="5:6" ht="15.75" customHeight="1" x14ac:dyDescent="0.3">
      <c r="E95" s="10"/>
      <c r="F95" s="10"/>
    </row>
    <row r="96" spans="5:6" ht="15.75" customHeight="1" x14ac:dyDescent="0.3">
      <c r="E96" s="10"/>
      <c r="F96" s="10"/>
    </row>
    <row r="97" spans="5:6" ht="15.75" customHeight="1" x14ac:dyDescent="0.3">
      <c r="E97" s="10"/>
      <c r="F97" s="10"/>
    </row>
    <row r="98" spans="5:6" ht="15.75" customHeight="1" x14ac:dyDescent="0.3">
      <c r="E98" s="10"/>
      <c r="F98" s="10"/>
    </row>
    <row r="99" spans="5:6" ht="15.75" customHeight="1" x14ac:dyDescent="0.3">
      <c r="E99" s="10"/>
      <c r="F99" s="10"/>
    </row>
    <row r="100" spans="5:6" ht="15.75" customHeight="1" x14ac:dyDescent="0.3">
      <c r="E100" s="10"/>
      <c r="F100" s="10"/>
    </row>
    <row r="101" spans="5:6" ht="15.75" customHeight="1" x14ac:dyDescent="0.3">
      <c r="E101" s="10"/>
      <c r="F101" s="10"/>
    </row>
    <row r="102" spans="5:6" ht="15.75" customHeight="1" x14ac:dyDescent="0.3">
      <c r="E102" s="10"/>
      <c r="F102" s="10"/>
    </row>
    <row r="103" spans="5:6" ht="15.75" customHeight="1" x14ac:dyDescent="0.3">
      <c r="E103" s="10"/>
      <c r="F103" s="10"/>
    </row>
    <row r="104" spans="5:6" ht="15.75" customHeight="1" x14ac:dyDescent="0.3">
      <c r="E104" s="10"/>
      <c r="F104" s="10"/>
    </row>
    <row r="105" spans="5:6" ht="15.75" customHeight="1" x14ac:dyDescent="0.3">
      <c r="E105" s="10"/>
      <c r="F105" s="10"/>
    </row>
    <row r="106" spans="5:6" ht="15.75" customHeight="1" x14ac:dyDescent="0.3">
      <c r="E106" s="10"/>
      <c r="F106" s="10"/>
    </row>
    <row r="107" spans="5:6" ht="15.75" customHeight="1" x14ac:dyDescent="0.3">
      <c r="E107" s="10"/>
      <c r="F107" s="10"/>
    </row>
    <row r="108" spans="5:6" ht="15.75" customHeight="1" x14ac:dyDescent="0.3">
      <c r="E108" s="10"/>
      <c r="F108" s="10"/>
    </row>
    <row r="109" spans="5:6" ht="15.75" customHeight="1" x14ac:dyDescent="0.3">
      <c r="E109" s="10"/>
      <c r="F109" s="10"/>
    </row>
    <row r="110" spans="5:6" ht="15.75" customHeight="1" x14ac:dyDescent="0.3">
      <c r="E110" s="10"/>
      <c r="F110" s="10"/>
    </row>
    <row r="111" spans="5:6" ht="15.75" customHeight="1" x14ac:dyDescent="0.3">
      <c r="E111" s="10"/>
      <c r="F111" s="10"/>
    </row>
    <row r="112" spans="5:6" ht="15.75" customHeight="1" x14ac:dyDescent="0.3">
      <c r="E112" s="10"/>
      <c r="F112" s="10"/>
    </row>
    <row r="113" spans="5:6" ht="15.75" customHeight="1" x14ac:dyDescent="0.3">
      <c r="E113" s="10"/>
      <c r="F113" s="10"/>
    </row>
    <row r="114" spans="5:6" ht="15.75" customHeight="1" x14ac:dyDescent="0.3">
      <c r="E114" s="10"/>
      <c r="F114" s="10"/>
    </row>
    <row r="115" spans="5:6" ht="15.75" customHeight="1" x14ac:dyDescent="0.3">
      <c r="E115" s="10"/>
      <c r="F115" s="10"/>
    </row>
    <row r="116" spans="5:6" ht="15.75" customHeight="1" x14ac:dyDescent="0.3">
      <c r="E116" s="10"/>
      <c r="F116" s="10"/>
    </row>
    <row r="117" spans="5:6" ht="15.75" customHeight="1" x14ac:dyDescent="0.3">
      <c r="E117" s="10"/>
      <c r="F117" s="10"/>
    </row>
    <row r="118" spans="5:6" ht="15.75" customHeight="1" x14ac:dyDescent="0.3">
      <c r="E118" s="10"/>
      <c r="F118" s="10"/>
    </row>
    <row r="119" spans="5:6" ht="15.75" customHeight="1" x14ac:dyDescent="0.3">
      <c r="E119" s="10"/>
      <c r="F119" s="10"/>
    </row>
    <row r="120" spans="5:6" ht="15.75" customHeight="1" x14ac:dyDescent="0.3">
      <c r="E120" s="10"/>
      <c r="F120" s="10"/>
    </row>
    <row r="121" spans="5:6" ht="15.75" customHeight="1" x14ac:dyDescent="0.3">
      <c r="E121" s="10"/>
      <c r="F121" s="10"/>
    </row>
    <row r="122" spans="5:6" ht="15.75" customHeight="1" x14ac:dyDescent="0.3">
      <c r="E122" s="10"/>
      <c r="F122" s="10"/>
    </row>
    <row r="123" spans="5:6" ht="15.75" customHeight="1" x14ac:dyDescent="0.3">
      <c r="E123" s="10"/>
      <c r="F123" s="10"/>
    </row>
    <row r="124" spans="5:6" ht="15.75" customHeight="1" x14ac:dyDescent="0.3">
      <c r="E124" s="10"/>
      <c r="F124" s="10"/>
    </row>
    <row r="125" spans="5:6" ht="15.75" customHeight="1" x14ac:dyDescent="0.3">
      <c r="E125" s="10"/>
      <c r="F125" s="10"/>
    </row>
    <row r="126" spans="5:6" ht="15.75" customHeight="1" x14ac:dyDescent="0.3">
      <c r="E126" s="10"/>
      <c r="F126" s="10"/>
    </row>
    <row r="127" spans="5:6" ht="15.75" customHeight="1" x14ac:dyDescent="0.3">
      <c r="E127" s="10"/>
      <c r="F127" s="10"/>
    </row>
    <row r="128" spans="5:6" ht="15.75" customHeight="1" x14ac:dyDescent="0.3">
      <c r="E128" s="10"/>
      <c r="F128" s="10"/>
    </row>
    <row r="129" spans="5:6" ht="15.75" customHeight="1" x14ac:dyDescent="0.3">
      <c r="E129" s="10"/>
      <c r="F129" s="10"/>
    </row>
    <row r="130" spans="5:6" ht="15.75" customHeight="1" x14ac:dyDescent="0.3">
      <c r="E130" s="10"/>
      <c r="F130" s="10"/>
    </row>
    <row r="131" spans="5:6" ht="15.75" customHeight="1" x14ac:dyDescent="0.3">
      <c r="E131" s="10"/>
      <c r="F131" s="10"/>
    </row>
    <row r="132" spans="5:6" ht="15.75" customHeight="1" x14ac:dyDescent="0.3">
      <c r="E132" s="10"/>
      <c r="F132" s="10"/>
    </row>
    <row r="133" spans="5:6" ht="15.75" customHeight="1" x14ac:dyDescent="0.3">
      <c r="E133" s="10"/>
      <c r="F133" s="10"/>
    </row>
    <row r="134" spans="5:6" ht="15.75" customHeight="1" x14ac:dyDescent="0.3">
      <c r="E134" s="10"/>
      <c r="F134" s="10"/>
    </row>
    <row r="135" spans="5:6" ht="15.75" customHeight="1" x14ac:dyDescent="0.3">
      <c r="E135" s="10"/>
      <c r="F135" s="10"/>
    </row>
    <row r="136" spans="5:6" ht="15.75" customHeight="1" x14ac:dyDescent="0.3">
      <c r="E136" s="10"/>
      <c r="F136" s="10"/>
    </row>
    <row r="137" spans="5:6" ht="15.75" customHeight="1" x14ac:dyDescent="0.3">
      <c r="E137" s="10"/>
      <c r="F137" s="10"/>
    </row>
    <row r="138" spans="5:6" ht="15.75" customHeight="1" x14ac:dyDescent="0.3">
      <c r="E138" s="10"/>
      <c r="F138" s="10"/>
    </row>
    <row r="139" spans="5:6" ht="15.75" customHeight="1" x14ac:dyDescent="0.3">
      <c r="E139" s="10"/>
      <c r="F139" s="10"/>
    </row>
    <row r="140" spans="5:6" ht="15.75" customHeight="1" x14ac:dyDescent="0.3">
      <c r="E140" s="10"/>
      <c r="F140" s="10"/>
    </row>
    <row r="141" spans="5:6" ht="15.75" customHeight="1" x14ac:dyDescent="0.3">
      <c r="E141" s="10"/>
      <c r="F141" s="10"/>
    </row>
    <row r="142" spans="5:6" ht="15.75" customHeight="1" x14ac:dyDescent="0.3">
      <c r="E142" s="10"/>
      <c r="F142" s="10"/>
    </row>
    <row r="143" spans="5:6" ht="15.75" customHeight="1" x14ac:dyDescent="0.3">
      <c r="E143" s="10"/>
      <c r="F143" s="10"/>
    </row>
    <row r="144" spans="5:6" ht="15.75" customHeight="1" x14ac:dyDescent="0.3">
      <c r="E144" s="10"/>
      <c r="F144" s="10"/>
    </row>
    <row r="145" spans="5:6" ht="15.75" customHeight="1" x14ac:dyDescent="0.3">
      <c r="E145" s="10"/>
      <c r="F145" s="10"/>
    </row>
    <row r="146" spans="5:6" ht="15.75" customHeight="1" x14ac:dyDescent="0.3">
      <c r="E146" s="10"/>
      <c r="F146" s="10"/>
    </row>
    <row r="147" spans="5:6" ht="15.75" customHeight="1" x14ac:dyDescent="0.3">
      <c r="E147" s="10"/>
      <c r="F147" s="10"/>
    </row>
    <row r="148" spans="5:6" ht="15.75" customHeight="1" x14ac:dyDescent="0.3">
      <c r="E148" s="10"/>
      <c r="F148" s="10"/>
    </row>
    <row r="149" spans="5:6" ht="15.75" customHeight="1" x14ac:dyDescent="0.3">
      <c r="E149" s="10"/>
      <c r="F149" s="10"/>
    </row>
    <row r="150" spans="5:6" ht="15.75" customHeight="1" x14ac:dyDescent="0.3">
      <c r="E150" s="10"/>
      <c r="F150" s="10"/>
    </row>
    <row r="151" spans="5:6" ht="15.75" customHeight="1" x14ac:dyDescent="0.3">
      <c r="E151" s="10"/>
      <c r="F151" s="10"/>
    </row>
    <row r="152" spans="5:6" ht="15.75" customHeight="1" x14ac:dyDescent="0.3">
      <c r="E152" s="10"/>
      <c r="F152" s="10"/>
    </row>
    <row r="153" spans="5:6" ht="15.75" customHeight="1" x14ac:dyDescent="0.3">
      <c r="E153" s="10"/>
      <c r="F153" s="10"/>
    </row>
    <row r="154" spans="5:6" ht="15.75" customHeight="1" x14ac:dyDescent="0.3">
      <c r="E154" s="10"/>
      <c r="F154" s="10"/>
    </row>
    <row r="155" spans="5:6" ht="15.75" customHeight="1" x14ac:dyDescent="0.3">
      <c r="E155" s="10"/>
      <c r="F155" s="10"/>
    </row>
    <row r="156" spans="5:6" ht="15.75" customHeight="1" x14ac:dyDescent="0.3">
      <c r="E156" s="10"/>
      <c r="F156" s="10"/>
    </row>
    <row r="157" spans="5:6" ht="15.75" customHeight="1" x14ac:dyDescent="0.3">
      <c r="E157" s="10"/>
      <c r="F157" s="10"/>
    </row>
    <row r="158" spans="5:6" ht="15.75" customHeight="1" x14ac:dyDescent="0.3">
      <c r="E158" s="10"/>
      <c r="F158" s="10"/>
    </row>
    <row r="159" spans="5:6" ht="15.75" customHeight="1" x14ac:dyDescent="0.3">
      <c r="E159" s="10"/>
      <c r="F159" s="10"/>
    </row>
    <row r="160" spans="5:6" ht="15.75" customHeight="1" x14ac:dyDescent="0.3">
      <c r="E160" s="10"/>
      <c r="F160" s="10"/>
    </row>
    <row r="161" spans="5:6" ht="15.75" customHeight="1" x14ac:dyDescent="0.3">
      <c r="E161" s="10"/>
      <c r="F161" s="10"/>
    </row>
    <row r="162" spans="5:6" ht="15.75" customHeight="1" x14ac:dyDescent="0.3">
      <c r="E162" s="10"/>
      <c r="F162" s="10"/>
    </row>
    <row r="163" spans="5:6" ht="15.75" customHeight="1" x14ac:dyDescent="0.3">
      <c r="E163" s="10"/>
      <c r="F163" s="10"/>
    </row>
    <row r="164" spans="5:6" ht="15.75" customHeight="1" x14ac:dyDescent="0.3">
      <c r="E164" s="10"/>
      <c r="F164" s="10"/>
    </row>
    <row r="165" spans="5:6" ht="15.75" customHeight="1" x14ac:dyDescent="0.3">
      <c r="E165" s="10"/>
      <c r="F165" s="10"/>
    </row>
    <row r="166" spans="5:6" ht="15.75" customHeight="1" x14ac:dyDescent="0.3">
      <c r="E166" s="10"/>
      <c r="F166" s="10"/>
    </row>
    <row r="167" spans="5:6" ht="15.75" customHeight="1" x14ac:dyDescent="0.3">
      <c r="E167" s="10"/>
      <c r="F167" s="10"/>
    </row>
    <row r="168" spans="5:6" ht="15.75" customHeight="1" x14ac:dyDescent="0.3">
      <c r="E168" s="10"/>
      <c r="F168" s="10"/>
    </row>
    <row r="169" spans="5:6" ht="15.75" customHeight="1" x14ac:dyDescent="0.3">
      <c r="E169" s="10"/>
      <c r="F169" s="10"/>
    </row>
    <row r="170" spans="5:6" ht="15.75" customHeight="1" x14ac:dyDescent="0.3">
      <c r="E170" s="10"/>
      <c r="F170" s="10"/>
    </row>
    <row r="171" spans="5:6" ht="15.75" customHeight="1" x14ac:dyDescent="0.3">
      <c r="E171" s="10"/>
      <c r="F171" s="10"/>
    </row>
    <row r="172" spans="5:6" ht="15.75" customHeight="1" x14ac:dyDescent="0.3">
      <c r="E172" s="10"/>
      <c r="F172" s="10"/>
    </row>
    <row r="173" spans="5:6" ht="15.75" customHeight="1" x14ac:dyDescent="0.3">
      <c r="E173" s="10"/>
      <c r="F173" s="10"/>
    </row>
    <row r="174" spans="5:6" ht="15.75" customHeight="1" x14ac:dyDescent="0.3">
      <c r="E174" s="10"/>
      <c r="F174" s="10"/>
    </row>
    <row r="175" spans="5:6" ht="15.75" customHeight="1" x14ac:dyDescent="0.3">
      <c r="E175" s="10"/>
      <c r="F175" s="10"/>
    </row>
    <row r="176" spans="5:6" ht="15.75" customHeight="1" x14ac:dyDescent="0.3">
      <c r="E176" s="10"/>
      <c r="F176" s="10"/>
    </row>
    <row r="177" spans="5:6" ht="15.75" customHeight="1" x14ac:dyDescent="0.3">
      <c r="E177" s="10"/>
      <c r="F177" s="10"/>
    </row>
    <row r="178" spans="5:6" ht="15.75" customHeight="1" x14ac:dyDescent="0.3">
      <c r="E178" s="10"/>
      <c r="F178" s="10"/>
    </row>
    <row r="179" spans="5:6" ht="15.75" customHeight="1" x14ac:dyDescent="0.3">
      <c r="E179" s="10"/>
      <c r="F179" s="10"/>
    </row>
    <row r="180" spans="5:6" ht="15.75" customHeight="1" x14ac:dyDescent="0.3">
      <c r="E180" s="10"/>
      <c r="F180" s="10"/>
    </row>
    <row r="181" spans="5:6" ht="15.75" customHeight="1" x14ac:dyDescent="0.3">
      <c r="E181" s="10"/>
      <c r="F181" s="10"/>
    </row>
    <row r="182" spans="5:6" ht="15.75" customHeight="1" x14ac:dyDescent="0.3">
      <c r="E182" s="10"/>
      <c r="F182" s="10"/>
    </row>
    <row r="183" spans="5:6" ht="15.75" customHeight="1" x14ac:dyDescent="0.3">
      <c r="E183" s="10"/>
      <c r="F183" s="10"/>
    </row>
    <row r="184" spans="5:6" ht="15.75" customHeight="1" x14ac:dyDescent="0.3">
      <c r="E184" s="10"/>
      <c r="F184" s="10"/>
    </row>
    <row r="185" spans="5:6" ht="15.75" customHeight="1" x14ac:dyDescent="0.3">
      <c r="E185" s="10"/>
      <c r="F185" s="10"/>
    </row>
    <row r="186" spans="5:6" ht="15.75" customHeight="1" x14ac:dyDescent="0.3">
      <c r="E186" s="10"/>
      <c r="F186" s="10"/>
    </row>
    <row r="187" spans="5:6" ht="15.75" customHeight="1" x14ac:dyDescent="0.3">
      <c r="E187" s="10"/>
      <c r="F187" s="10"/>
    </row>
    <row r="188" spans="5:6" ht="15.75" customHeight="1" x14ac:dyDescent="0.3">
      <c r="E188" s="10"/>
      <c r="F188" s="10"/>
    </row>
    <row r="189" spans="5:6" ht="15.75" customHeight="1" x14ac:dyDescent="0.3">
      <c r="E189" s="10"/>
      <c r="F189" s="10"/>
    </row>
    <row r="190" spans="5:6" ht="15.75" customHeight="1" x14ac:dyDescent="0.3">
      <c r="E190" s="10"/>
      <c r="F190" s="10"/>
    </row>
    <row r="191" spans="5:6" ht="15.75" customHeight="1" x14ac:dyDescent="0.3">
      <c r="E191" s="10"/>
      <c r="F191" s="10"/>
    </row>
    <row r="192" spans="5:6" ht="15.75" customHeight="1" x14ac:dyDescent="0.3">
      <c r="E192" s="10"/>
      <c r="F192" s="10"/>
    </row>
    <row r="193" spans="5:6" ht="15.75" customHeight="1" x14ac:dyDescent="0.3">
      <c r="E193" s="10"/>
      <c r="F193" s="10"/>
    </row>
    <row r="194" spans="5:6" ht="15.75" customHeight="1" x14ac:dyDescent="0.3">
      <c r="E194" s="10"/>
      <c r="F194" s="10"/>
    </row>
    <row r="195" spans="5:6" ht="15.75" customHeight="1" x14ac:dyDescent="0.3">
      <c r="E195" s="10"/>
      <c r="F195" s="10"/>
    </row>
    <row r="196" spans="5:6" ht="15.75" customHeight="1" x14ac:dyDescent="0.3">
      <c r="E196" s="10"/>
      <c r="F196" s="10"/>
    </row>
    <row r="197" spans="5:6" ht="15.75" customHeight="1" x14ac:dyDescent="0.3">
      <c r="E197" s="10"/>
      <c r="F197" s="10"/>
    </row>
    <row r="198" spans="5:6" ht="15.75" customHeight="1" x14ac:dyDescent="0.3">
      <c r="E198" s="10"/>
      <c r="F198" s="10"/>
    </row>
    <row r="199" spans="5:6" ht="15.75" customHeight="1" x14ac:dyDescent="0.3">
      <c r="E199" s="10"/>
      <c r="F199" s="10"/>
    </row>
    <row r="200" spans="5:6" ht="15.75" customHeight="1" x14ac:dyDescent="0.3">
      <c r="E200" s="10"/>
      <c r="F200" s="10"/>
    </row>
    <row r="201" spans="5:6" ht="15.75" customHeight="1" x14ac:dyDescent="0.3">
      <c r="E201" s="10"/>
      <c r="F201" s="10"/>
    </row>
    <row r="202" spans="5:6" ht="15.75" customHeight="1" x14ac:dyDescent="0.3">
      <c r="E202" s="10"/>
      <c r="F202" s="10"/>
    </row>
    <row r="203" spans="5:6" ht="15.75" customHeight="1" x14ac:dyDescent="0.3">
      <c r="E203" s="10"/>
      <c r="F203" s="10"/>
    </row>
    <row r="204" spans="5:6" ht="15.75" customHeight="1" x14ac:dyDescent="0.3">
      <c r="E204" s="10"/>
      <c r="F204" s="10"/>
    </row>
    <row r="205" spans="5:6" ht="15.75" customHeight="1" x14ac:dyDescent="0.3">
      <c r="E205" s="10"/>
      <c r="F205" s="10"/>
    </row>
    <row r="206" spans="5:6" ht="15.75" customHeight="1" x14ac:dyDescent="0.3">
      <c r="E206" s="10"/>
      <c r="F206" s="10"/>
    </row>
    <row r="207" spans="5:6" ht="15.75" customHeight="1" x14ac:dyDescent="0.3">
      <c r="E207" s="10"/>
      <c r="F207" s="10"/>
    </row>
    <row r="208" spans="5:6" ht="15.75" customHeight="1" x14ac:dyDescent="0.3">
      <c r="E208" s="10"/>
      <c r="F208" s="10"/>
    </row>
    <row r="209" spans="5:6" ht="15.75" customHeight="1" x14ac:dyDescent="0.3">
      <c r="E209" s="10"/>
      <c r="F209" s="10"/>
    </row>
    <row r="210" spans="5:6" ht="15.75" customHeight="1" x14ac:dyDescent="0.3">
      <c r="E210" s="10"/>
      <c r="F210" s="10"/>
    </row>
    <row r="211" spans="5:6" ht="15.75" customHeight="1" x14ac:dyDescent="0.3">
      <c r="E211" s="10"/>
      <c r="F211" s="10"/>
    </row>
    <row r="212" spans="5:6" ht="15.75" customHeight="1" x14ac:dyDescent="0.3">
      <c r="E212" s="10"/>
      <c r="F212" s="10"/>
    </row>
    <row r="213" spans="5:6" ht="15.75" customHeight="1" x14ac:dyDescent="0.3">
      <c r="E213" s="10"/>
      <c r="F213" s="10"/>
    </row>
    <row r="214" spans="5:6" ht="15.75" customHeight="1" x14ac:dyDescent="0.3">
      <c r="E214" s="10"/>
      <c r="F214" s="10"/>
    </row>
    <row r="215" spans="5:6" ht="15.75" customHeight="1" x14ac:dyDescent="0.3">
      <c r="E215" s="10"/>
      <c r="F215" s="10"/>
    </row>
    <row r="216" spans="5:6" ht="15.75" customHeight="1" x14ac:dyDescent="0.3">
      <c r="E216" s="10"/>
      <c r="F216" s="10"/>
    </row>
    <row r="217" spans="5:6" ht="15.75" customHeight="1" x14ac:dyDescent="0.3">
      <c r="E217" s="10"/>
      <c r="F217" s="10"/>
    </row>
    <row r="218" spans="5:6" ht="15.75" customHeight="1" x14ac:dyDescent="0.3">
      <c r="E218" s="10"/>
      <c r="F218" s="10"/>
    </row>
    <row r="219" spans="5:6" ht="15.75" customHeight="1" x14ac:dyDescent="0.3">
      <c r="E219" s="10"/>
      <c r="F219" s="10"/>
    </row>
    <row r="220" spans="5:6" ht="15.75" customHeight="1" x14ac:dyDescent="0.3">
      <c r="E220" s="10"/>
      <c r="F220" s="10"/>
    </row>
    <row r="221" spans="5:6" ht="15.75" customHeight="1" x14ac:dyDescent="0.3">
      <c r="E221" s="10"/>
      <c r="F221" s="10"/>
    </row>
    <row r="222" spans="5:6" ht="15.75" customHeight="1" x14ac:dyDescent="0.3">
      <c r="E222" s="10"/>
      <c r="F222" s="10"/>
    </row>
    <row r="223" spans="5:6" ht="15.75" customHeight="1" x14ac:dyDescent="0.3">
      <c r="E223" s="10"/>
      <c r="F223" s="10"/>
    </row>
    <row r="224" spans="5:6" ht="15.75" customHeight="1" x14ac:dyDescent="0.3">
      <c r="E224" s="10"/>
      <c r="F224" s="10"/>
    </row>
    <row r="225" spans="5:6" ht="15.75" customHeight="1" x14ac:dyDescent="0.3">
      <c r="E225" s="10"/>
      <c r="F225" s="10"/>
    </row>
    <row r="226" spans="5:6" ht="15.75" customHeight="1" x14ac:dyDescent="0.3">
      <c r="E226" s="10"/>
      <c r="F226" s="10"/>
    </row>
    <row r="227" spans="5:6" ht="15.75" customHeight="1" x14ac:dyDescent="0.3">
      <c r="E227" s="10"/>
      <c r="F227" s="10"/>
    </row>
    <row r="228" spans="5:6" ht="15.75" customHeight="1" x14ac:dyDescent="0.3">
      <c r="E228" s="10"/>
      <c r="F228" s="10"/>
    </row>
    <row r="229" spans="5:6" ht="15.75" customHeight="1" x14ac:dyDescent="0.3">
      <c r="E229" s="10"/>
      <c r="F229" s="10"/>
    </row>
    <row r="230" spans="5:6" ht="15.75" customHeight="1" x14ac:dyDescent="0.3">
      <c r="E230" s="10"/>
      <c r="F230" s="10"/>
    </row>
    <row r="231" spans="5:6" ht="15.75" customHeight="1" x14ac:dyDescent="0.3">
      <c r="E231" s="10"/>
      <c r="F231" s="10"/>
    </row>
    <row r="232" spans="5:6" ht="15.75" customHeight="1" x14ac:dyDescent="0.3">
      <c r="E232" s="10"/>
      <c r="F232" s="10"/>
    </row>
    <row r="233" spans="5:6" ht="15.75" customHeight="1" x14ac:dyDescent="0.3">
      <c r="E233" s="10"/>
      <c r="F233" s="10"/>
    </row>
    <row r="234" spans="5:6" ht="15.75" customHeight="1" x14ac:dyDescent="0.3">
      <c r="E234" s="10"/>
      <c r="F234" s="10"/>
    </row>
    <row r="235" spans="5:6" ht="15.75" customHeight="1" x14ac:dyDescent="0.3">
      <c r="E235" s="10"/>
      <c r="F235" s="10"/>
    </row>
    <row r="236" spans="5:6" ht="15.75" customHeight="1" x14ac:dyDescent="0.3">
      <c r="E236" s="10"/>
      <c r="F236" s="10"/>
    </row>
    <row r="237" spans="5:6" ht="15.75" customHeight="1" x14ac:dyDescent="0.3">
      <c r="E237" s="10"/>
      <c r="F237" s="10"/>
    </row>
    <row r="238" spans="5:6" ht="15.75" customHeight="1" x14ac:dyDescent="0.3">
      <c r="E238" s="10"/>
      <c r="F238" s="10"/>
    </row>
    <row r="239" spans="5:6" ht="15.75" customHeight="1" x14ac:dyDescent="0.3">
      <c r="E239" s="10"/>
      <c r="F239" s="10"/>
    </row>
    <row r="240" spans="5:6" ht="15.75" customHeight="1" x14ac:dyDescent="0.3">
      <c r="E240" s="10"/>
      <c r="F240" s="10"/>
    </row>
    <row r="241" spans="5:6" ht="15.75" customHeight="1" x14ac:dyDescent="0.3">
      <c r="E241" s="10"/>
      <c r="F241" s="10"/>
    </row>
    <row r="242" spans="5:6" ht="15.75" customHeight="1" x14ac:dyDescent="0.3">
      <c r="E242" s="10"/>
      <c r="F242" s="10"/>
    </row>
    <row r="243" spans="5:6" ht="15.75" customHeight="1" x14ac:dyDescent="0.3">
      <c r="E243" s="10"/>
      <c r="F243" s="10"/>
    </row>
    <row r="244" spans="5:6" ht="15.75" customHeight="1" x14ac:dyDescent="0.3">
      <c r="E244" s="10"/>
      <c r="F244" s="10"/>
    </row>
    <row r="245" spans="5:6" ht="15.75" customHeight="1" x14ac:dyDescent="0.3">
      <c r="E245" s="10"/>
      <c r="F245" s="10"/>
    </row>
    <row r="246" spans="5:6" ht="15.75" customHeight="1" x14ac:dyDescent="0.3">
      <c r="E246" s="10"/>
      <c r="F246" s="10"/>
    </row>
    <row r="247" spans="5:6" ht="15.75" customHeight="1" x14ac:dyDescent="0.3">
      <c r="E247" s="10"/>
      <c r="F247" s="10"/>
    </row>
    <row r="248" spans="5:6" ht="15.75" customHeight="1" x14ac:dyDescent="0.3">
      <c r="E248" s="10"/>
      <c r="F248" s="10"/>
    </row>
    <row r="249" spans="5:6" ht="15.75" customHeight="1" x14ac:dyDescent="0.3">
      <c r="E249" s="10"/>
      <c r="F249" s="10"/>
    </row>
    <row r="250" spans="5:6" ht="15.75" customHeight="1" x14ac:dyDescent="0.3">
      <c r="E250" s="10"/>
      <c r="F250" s="10"/>
    </row>
    <row r="251" spans="5:6" ht="15.75" customHeight="1" x14ac:dyDescent="0.3">
      <c r="E251" s="10"/>
      <c r="F251" s="10"/>
    </row>
    <row r="252" spans="5:6" ht="15.75" customHeight="1" x14ac:dyDescent="0.3">
      <c r="E252" s="10"/>
      <c r="F252" s="10"/>
    </row>
    <row r="253" spans="5:6" ht="15.75" customHeight="1" x14ac:dyDescent="0.3">
      <c r="E253" s="10"/>
      <c r="F253" s="10"/>
    </row>
    <row r="254" spans="5:6" ht="15.75" customHeight="1" x14ac:dyDescent="0.3">
      <c r="E254" s="10"/>
      <c r="F254" s="10"/>
    </row>
    <row r="255" spans="5:6" ht="15.75" customHeight="1" x14ac:dyDescent="0.3">
      <c r="E255" s="10"/>
      <c r="F255" s="10"/>
    </row>
    <row r="256" spans="5:6" ht="15.75" customHeight="1" x14ac:dyDescent="0.3">
      <c r="E256" s="10"/>
      <c r="F256" s="10"/>
    </row>
    <row r="257" spans="5:6" ht="15.75" customHeight="1" x14ac:dyDescent="0.3">
      <c r="E257" s="10"/>
      <c r="F257" s="10"/>
    </row>
    <row r="258" spans="5:6" ht="15.75" customHeight="1" x14ac:dyDescent="0.3">
      <c r="E258" s="10"/>
      <c r="F258" s="10"/>
    </row>
    <row r="259" spans="5:6" ht="15.75" customHeight="1" x14ac:dyDescent="0.3">
      <c r="E259" s="10"/>
      <c r="F259" s="10"/>
    </row>
    <row r="260" spans="5:6" ht="15.75" customHeight="1" x14ac:dyDescent="0.3">
      <c r="E260" s="10"/>
      <c r="F260" s="10"/>
    </row>
    <row r="261" spans="5:6" ht="15.75" customHeight="1" x14ac:dyDescent="0.3">
      <c r="E261" s="10"/>
      <c r="F261" s="10"/>
    </row>
    <row r="262" spans="5:6" ht="15.75" customHeight="1" x14ac:dyDescent="0.3">
      <c r="E262" s="10"/>
      <c r="F262" s="10"/>
    </row>
    <row r="263" spans="5:6" ht="15.75" customHeight="1" x14ac:dyDescent="0.3">
      <c r="E263" s="10"/>
      <c r="F263" s="10"/>
    </row>
    <row r="264" spans="5:6" ht="15.75" customHeight="1" x14ac:dyDescent="0.3">
      <c r="E264" s="10"/>
      <c r="F264" s="10"/>
    </row>
    <row r="265" spans="5:6" ht="15.75" customHeight="1" x14ac:dyDescent="0.3">
      <c r="E265" s="10"/>
      <c r="F265" s="10"/>
    </row>
    <row r="266" spans="5:6" ht="15.75" customHeight="1" x14ac:dyDescent="0.3">
      <c r="E266" s="10"/>
      <c r="F266" s="10"/>
    </row>
    <row r="267" spans="5:6" ht="15.75" customHeight="1" x14ac:dyDescent="0.3">
      <c r="E267" s="10"/>
      <c r="F267" s="10"/>
    </row>
    <row r="268" spans="5:6" ht="15.75" customHeight="1" x14ac:dyDescent="0.3">
      <c r="E268" s="10"/>
      <c r="F268" s="10"/>
    </row>
    <row r="269" spans="5:6" ht="15.75" customHeight="1" x14ac:dyDescent="0.3">
      <c r="E269" s="10"/>
      <c r="F269" s="10"/>
    </row>
    <row r="270" spans="5:6" ht="15.75" customHeight="1" x14ac:dyDescent="0.3">
      <c r="E270" s="10"/>
      <c r="F270" s="10"/>
    </row>
    <row r="271" spans="5:6" ht="15.75" customHeight="1" x14ac:dyDescent="0.3">
      <c r="E271" s="10"/>
      <c r="F271" s="10"/>
    </row>
    <row r="272" spans="5:6" ht="15.75" customHeight="1" x14ac:dyDescent="0.3">
      <c r="E272" s="10"/>
      <c r="F272" s="10"/>
    </row>
    <row r="273" spans="5:6" ht="15.75" customHeight="1" x14ac:dyDescent="0.3">
      <c r="E273" s="10"/>
      <c r="F273" s="10"/>
    </row>
    <row r="274" spans="5:6" ht="15.75" customHeight="1" x14ac:dyDescent="0.3">
      <c r="E274" s="10"/>
      <c r="F274" s="10"/>
    </row>
    <row r="275" spans="5:6" ht="15.75" customHeight="1" x14ac:dyDescent="0.3">
      <c r="E275" s="10"/>
      <c r="F275" s="10"/>
    </row>
    <row r="276" spans="5:6" ht="15.75" customHeight="1" x14ac:dyDescent="0.3">
      <c r="E276" s="10"/>
      <c r="F276" s="10"/>
    </row>
    <row r="277" spans="5:6" ht="15.75" customHeight="1" x14ac:dyDescent="0.3">
      <c r="E277" s="10"/>
      <c r="F277" s="10"/>
    </row>
    <row r="278" spans="5:6" ht="15.75" customHeight="1" x14ac:dyDescent="0.3">
      <c r="E278" s="10"/>
      <c r="F278" s="10"/>
    </row>
    <row r="279" spans="5:6" ht="15.75" customHeight="1" x14ac:dyDescent="0.3">
      <c r="E279" s="10"/>
      <c r="F279" s="10"/>
    </row>
    <row r="280" spans="5:6" ht="15.75" customHeight="1" x14ac:dyDescent="0.3">
      <c r="E280" s="10"/>
      <c r="F280" s="10"/>
    </row>
    <row r="281" spans="5:6" ht="15.75" customHeight="1" x14ac:dyDescent="0.3">
      <c r="E281" s="10"/>
      <c r="F281" s="10"/>
    </row>
    <row r="282" spans="5:6" ht="15.75" customHeight="1" x14ac:dyDescent="0.3">
      <c r="E282" s="10"/>
      <c r="F282" s="10"/>
    </row>
    <row r="283" spans="5:6" ht="15.75" customHeight="1" x14ac:dyDescent="0.3">
      <c r="E283" s="10"/>
      <c r="F283" s="10"/>
    </row>
    <row r="284" spans="5:6" ht="15.75" customHeight="1" x14ac:dyDescent="0.3">
      <c r="E284" s="10"/>
      <c r="F284" s="10"/>
    </row>
    <row r="285" spans="5:6" ht="15.75" customHeight="1" x14ac:dyDescent="0.3">
      <c r="E285" s="10"/>
      <c r="F285" s="10"/>
    </row>
    <row r="286" spans="5:6" ht="15.75" customHeight="1" x14ac:dyDescent="0.3">
      <c r="E286" s="10"/>
      <c r="F286" s="10"/>
    </row>
    <row r="287" spans="5:6" ht="15.75" customHeight="1" x14ac:dyDescent="0.3">
      <c r="E287" s="10"/>
      <c r="F287" s="10"/>
    </row>
    <row r="288" spans="5:6" ht="15.75" customHeight="1" x14ac:dyDescent="0.3">
      <c r="E288" s="10"/>
      <c r="F288" s="10"/>
    </row>
    <row r="289" spans="5:6" ht="15.75" customHeight="1" x14ac:dyDescent="0.3">
      <c r="E289" s="10"/>
      <c r="F289" s="10"/>
    </row>
    <row r="290" spans="5:6" ht="15.75" customHeight="1" x14ac:dyDescent="0.3">
      <c r="E290" s="10"/>
      <c r="F290" s="10"/>
    </row>
    <row r="291" spans="5:6" ht="15.75" customHeight="1" x14ac:dyDescent="0.3">
      <c r="E291" s="10"/>
      <c r="F291" s="10"/>
    </row>
    <row r="292" spans="5:6" ht="15.75" customHeight="1" x14ac:dyDescent="0.3">
      <c r="E292" s="10"/>
      <c r="F292" s="10"/>
    </row>
    <row r="293" spans="5:6" ht="15.75" customHeight="1" x14ac:dyDescent="0.3">
      <c r="E293" s="10"/>
      <c r="F293" s="10"/>
    </row>
    <row r="294" spans="5:6" ht="15.75" customHeight="1" x14ac:dyDescent="0.3">
      <c r="E294" s="10"/>
      <c r="F294" s="10"/>
    </row>
    <row r="295" spans="5:6" ht="15.75" customHeight="1" x14ac:dyDescent="0.3">
      <c r="E295" s="10"/>
      <c r="F295" s="10"/>
    </row>
    <row r="296" spans="5:6" ht="15.75" customHeight="1" x14ac:dyDescent="0.3">
      <c r="E296" s="10"/>
      <c r="F296" s="10"/>
    </row>
    <row r="297" spans="5:6" ht="15.75" customHeight="1" x14ac:dyDescent="0.3">
      <c r="E297" s="10"/>
      <c r="F297" s="10"/>
    </row>
    <row r="298" spans="5:6" ht="15.75" customHeight="1" x14ac:dyDescent="0.3">
      <c r="E298" s="10"/>
      <c r="F298" s="10"/>
    </row>
    <row r="299" spans="5:6" ht="15.75" customHeight="1" x14ac:dyDescent="0.3">
      <c r="E299" s="10"/>
      <c r="F299" s="10"/>
    </row>
    <row r="300" spans="5:6" ht="15.75" customHeight="1" x14ac:dyDescent="0.3">
      <c r="E300" s="10"/>
      <c r="F300" s="10"/>
    </row>
    <row r="301" spans="5:6" ht="15.75" customHeight="1" x14ac:dyDescent="0.3">
      <c r="E301" s="10"/>
      <c r="F301" s="10"/>
    </row>
    <row r="302" spans="5:6" ht="15.75" customHeight="1" x14ac:dyDescent="0.3">
      <c r="E302" s="10"/>
      <c r="F302" s="10"/>
    </row>
    <row r="303" spans="5:6" ht="15.75" customHeight="1" x14ac:dyDescent="0.3">
      <c r="E303" s="10"/>
      <c r="F303" s="10"/>
    </row>
    <row r="304" spans="5:6" ht="15.75" customHeight="1" x14ac:dyDescent="0.3">
      <c r="E304" s="10"/>
      <c r="F304" s="10"/>
    </row>
    <row r="305" spans="5:6" ht="15.75" customHeight="1" x14ac:dyDescent="0.3">
      <c r="E305" s="10"/>
      <c r="F305" s="10"/>
    </row>
    <row r="306" spans="5:6" ht="15.75" customHeight="1" x14ac:dyDescent="0.3">
      <c r="E306" s="10"/>
      <c r="F306" s="10"/>
    </row>
    <row r="307" spans="5:6" ht="15.75" customHeight="1" x14ac:dyDescent="0.3">
      <c r="E307" s="10"/>
      <c r="F307" s="10"/>
    </row>
    <row r="308" spans="5:6" ht="15.75" customHeight="1" x14ac:dyDescent="0.3">
      <c r="E308" s="10"/>
      <c r="F308" s="10"/>
    </row>
    <row r="309" spans="5:6" ht="15.75" customHeight="1" x14ac:dyDescent="0.3">
      <c r="E309" s="10"/>
      <c r="F309" s="10"/>
    </row>
    <row r="310" spans="5:6" ht="15.75" customHeight="1" x14ac:dyDescent="0.3">
      <c r="E310" s="10"/>
      <c r="F310" s="10"/>
    </row>
    <row r="311" spans="5:6" ht="15.75" customHeight="1" x14ac:dyDescent="0.3">
      <c r="E311" s="10"/>
      <c r="F311" s="10"/>
    </row>
    <row r="312" spans="5:6" ht="15.75" customHeight="1" x14ac:dyDescent="0.3">
      <c r="E312" s="10"/>
      <c r="F312" s="10"/>
    </row>
    <row r="313" spans="5:6" ht="15.75" customHeight="1" x14ac:dyDescent="0.3">
      <c r="E313" s="10"/>
      <c r="F313" s="10"/>
    </row>
    <row r="314" spans="5:6" ht="15.75" customHeight="1" x14ac:dyDescent="0.3">
      <c r="E314" s="10"/>
      <c r="F314" s="10"/>
    </row>
    <row r="315" spans="5:6" ht="15.75" customHeight="1" x14ac:dyDescent="0.3">
      <c r="E315" s="10"/>
      <c r="F315" s="10"/>
    </row>
    <row r="316" spans="5:6" ht="15.75" customHeight="1" x14ac:dyDescent="0.3">
      <c r="E316" s="10"/>
      <c r="F316" s="10"/>
    </row>
    <row r="317" spans="5:6" ht="15.75" customHeight="1" x14ac:dyDescent="0.3">
      <c r="E317" s="10"/>
      <c r="F317" s="10"/>
    </row>
    <row r="318" spans="5:6" ht="15.75" customHeight="1" x14ac:dyDescent="0.3">
      <c r="E318" s="10"/>
      <c r="F318" s="10"/>
    </row>
    <row r="319" spans="5:6" ht="15.75" customHeight="1" x14ac:dyDescent="0.3">
      <c r="E319" s="10"/>
      <c r="F319" s="10"/>
    </row>
    <row r="320" spans="5:6" ht="15.75" customHeight="1" x14ac:dyDescent="0.3">
      <c r="E320" s="10"/>
      <c r="F320" s="10"/>
    </row>
    <row r="321" spans="5:6" ht="15.75" customHeight="1" x14ac:dyDescent="0.3">
      <c r="E321" s="10"/>
      <c r="F321" s="10"/>
    </row>
    <row r="322" spans="5:6" ht="15.75" customHeight="1" x14ac:dyDescent="0.3">
      <c r="E322" s="10"/>
      <c r="F322" s="10"/>
    </row>
    <row r="323" spans="5:6" ht="15.75" customHeight="1" x14ac:dyDescent="0.3">
      <c r="E323" s="10"/>
      <c r="F323" s="10"/>
    </row>
    <row r="324" spans="5:6" ht="15.75" customHeight="1" x14ac:dyDescent="0.3">
      <c r="E324" s="10"/>
      <c r="F324" s="10"/>
    </row>
    <row r="325" spans="5:6" ht="15.75" customHeight="1" x14ac:dyDescent="0.3">
      <c r="E325" s="10"/>
      <c r="F325" s="10"/>
    </row>
    <row r="326" spans="5:6" ht="15.75" customHeight="1" x14ac:dyDescent="0.3">
      <c r="E326" s="10"/>
      <c r="F326" s="10"/>
    </row>
    <row r="327" spans="5:6" ht="15.75" customHeight="1" x14ac:dyDescent="0.3">
      <c r="E327" s="10"/>
      <c r="F327" s="10"/>
    </row>
    <row r="328" spans="5:6" ht="15.75" customHeight="1" x14ac:dyDescent="0.3">
      <c r="E328" s="10"/>
      <c r="F328" s="10"/>
    </row>
    <row r="329" spans="5:6" ht="15.75" customHeight="1" x14ac:dyDescent="0.3">
      <c r="E329" s="10"/>
      <c r="F329" s="10"/>
    </row>
    <row r="330" spans="5:6" ht="15.75" customHeight="1" x14ac:dyDescent="0.3">
      <c r="E330" s="10"/>
      <c r="F330" s="10"/>
    </row>
    <row r="331" spans="5:6" ht="15.75" customHeight="1" x14ac:dyDescent="0.3">
      <c r="E331" s="10"/>
      <c r="F331" s="10"/>
    </row>
    <row r="332" spans="5:6" ht="15.75" customHeight="1" x14ac:dyDescent="0.3">
      <c r="E332" s="10"/>
      <c r="F332" s="10"/>
    </row>
    <row r="333" spans="5:6" ht="15.75" customHeight="1" x14ac:dyDescent="0.3">
      <c r="E333" s="10"/>
      <c r="F333" s="10"/>
    </row>
    <row r="334" spans="5:6" ht="15.75" customHeight="1" x14ac:dyDescent="0.3">
      <c r="E334" s="10"/>
      <c r="F334" s="10"/>
    </row>
    <row r="335" spans="5:6" ht="15.75" customHeight="1" x14ac:dyDescent="0.3">
      <c r="E335" s="10"/>
      <c r="F335" s="10"/>
    </row>
    <row r="336" spans="5:6" ht="15.75" customHeight="1" x14ac:dyDescent="0.3">
      <c r="E336" s="10"/>
      <c r="F336" s="10"/>
    </row>
    <row r="337" spans="5:6" ht="15.75" customHeight="1" x14ac:dyDescent="0.3">
      <c r="E337" s="10"/>
      <c r="F337" s="10"/>
    </row>
    <row r="338" spans="5:6" ht="15.75" customHeight="1" x14ac:dyDescent="0.3">
      <c r="E338" s="10"/>
      <c r="F338" s="10"/>
    </row>
    <row r="339" spans="5:6" ht="15.75" customHeight="1" x14ac:dyDescent="0.3">
      <c r="E339" s="10"/>
      <c r="F339" s="10"/>
    </row>
    <row r="340" spans="5:6" ht="15.75" customHeight="1" x14ac:dyDescent="0.3">
      <c r="E340" s="10"/>
      <c r="F340" s="10"/>
    </row>
    <row r="341" spans="5:6" ht="15.75" customHeight="1" x14ac:dyDescent="0.3">
      <c r="E341" s="10"/>
      <c r="F341" s="10"/>
    </row>
    <row r="342" spans="5:6" ht="15.75" customHeight="1" x14ac:dyDescent="0.3">
      <c r="E342" s="10"/>
      <c r="F342" s="10"/>
    </row>
    <row r="343" spans="5:6" ht="15.75" customHeight="1" x14ac:dyDescent="0.3">
      <c r="E343" s="10"/>
      <c r="F343" s="10"/>
    </row>
    <row r="344" spans="5:6" ht="15.75" customHeight="1" x14ac:dyDescent="0.3">
      <c r="E344" s="10"/>
      <c r="F344" s="10"/>
    </row>
    <row r="345" spans="5:6" ht="15.75" customHeight="1" x14ac:dyDescent="0.3">
      <c r="E345" s="10"/>
      <c r="F345" s="10"/>
    </row>
    <row r="346" spans="5:6" ht="15.75" customHeight="1" x14ac:dyDescent="0.3">
      <c r="E346" s="10"/>
      <c r="F346" s="10"/>
    </row>
    <row r="347" spans="5:6" ht="15.75" customHeight="1" x14ac:dyDescent="0.3">
      <c r="E347" s="10"/>
      <c r="F347" s="10"/>
    </row>
    <row r="348" spans="5:6" ht="15.75" customHeight="1" x14ac:dyDescent="0.3">
      <c r="E348" s="10"/>
      <c r="F348" s="10"/>
    </row>
    <row r="349" spans="5:6" ht="15.75" customHeight="1" x14ac:dyDescent="0.3">
      <c r="E349" s="10"/>
      <c r="F349" s="10"/>
    </row>
    <row r="350" spans="5:6" ht="15.75" customHeight="1" x14ac:dyDescent="0.3">
      <c r="E350" s="10"/>
      <c r="F350" s="10"/>
    </row>
    <row r="351" spans="5:6" ht="15.75" customHeight="1" x14ac:dyDescent="0.3">
      <c r="E351" s="10"/>
      <c r="F351" s="10"/>
    </row>
    <row r="352" spans="5:6" ht="15.75" customHeight="1" x14ac:dyDescent="0.3">
      <c r="E352" s="10"/>
      <c r="F352" s="10"/>
    </row>
    <row r="353" spans="5:6" ht="15.75" customHeight="1" x14ac:dyDescent="0.3">
      <c r="E353" s="10"/>
      <c r="F353" s="10"/>
    </row>
    <row r="354" spans="5:6" ht="15.75" customHeight="1" x14ac:dyDescent="0.3">
      <c r="E354" s="10"/>
      <c r="F354" s="10"/>
    </row>
    <row r="355" spans="5:6" ht="15.75" customHeight="1" x14ac:dyDescent="0.3">
      <c r="E355" s="10"/>
      <c r="F355" s="10"/>
    </row>
    <row r="356" spans="5:6" ht="15.75" customHeight="1" x14ac:dyDescent="0.3">
      <c r="E356" s="10"/>
      <c r="F356" s="10"/>
    </row>
    <row r="357" spans="5:6" ht="15.75" customHeight="1" x14ac:dyDescent="0.3">
      <c r="E357" s="10"/>
      <c r="F357" s="10"/>
    </row>
    <row r="358" spans="5:6" ht="15.75" customHeight="1" x14ac:dyDescent="0.3">
      <c r="E358" s="10"/>
      <c r="F358" s="10"/>
    </row>
    <row r="359" spans="5:6" ht="15.75" customHeight="1" x14ac:dyDescent="0.3">
      <c r="E359" s="10"/>
      <c r="F359" s="10"/>
    </row>
    <row r="360" spans="5:6" ht="15.75" customHeight="1" x14ac:dyDescent="0.3">
      <c r="E360" s="10"/>
      <c r="F360" s="10"/>
    </row>
    <row r="361" spans="5:6" ht="15.75" customHeight="1" x14ac:dyDescent="0.3">
      <c r="E361" s="10"/>
      <c r="F361" s="10"/>
    </row>
    <row r="362" spans="5:6" ht="15.75" customHeight="1" x14ac:dyDescent="0.3">
      <c r="E362" s="10"/>
      <c r="F362" s="10"/>
    </row>
    <row r="363" spans="5:6" ht="15.75" customHeight="1" x14ac:dyDescent="0.3">
      <c r="E363" s="10"/>
      <c r="F363" s="10"/>
    </row>
    <row r="364" spans="5:6" ht="15.75" customHeight="1" x14ac:dyDescent="0.3">
      <c r="E364" s="10"/>
      <c r="F364" s="10"/>
    </row>
    <row r="365" spans="5:6" ht="15.75" customHeight="1" x14ac:dyDescent="0.3">
      <c r="E365" s="10"/>
      <c r="F365" s="10"/>
    </row>
    <row r="366" spans="5:6" ht="15.75" customHeight="1" x14ac:dyDescent="0.3">
      <c r="E366" s="10"/>
      <c r="F366" s="10"/>
    </row>
    <row r="367" spans="5:6" ht="15.75" customHeight="1" x14ac:dyDescent="0.3">
      <c r="E367" s="10"/>
      <c r="F367" s="10"/>
    </row>
    <row r="368" spans="5:6" ht="15.75" customHeight="1" x14ac:dyDescent="0.3">
      <c r="E368" s="10"/>
      <c r="F368" s="10"/>
    </row>
    <row r="369" spans="5:6" ht="15.75" customHeight="1" x14ac:dyDescent="0.3">
      <c r="E369" s="10"/>
      <c r="F369" s="10"/>
    </row>
    <row r="370" spans="5:6" ht="15.75" customHeight="1" x14ac:dyDescent="0.3">
      <c r="E370" s="10"/>
      <c r="F370" s="10"/>
    </row>
    <row r="371" spans="5:6" ht="15.75" customHeight="1" x14ac:dyDescent="0.3">
      <c r="E371" s="10"/>
      <c r="F371" s="10"/>
    </row>
    <row r="372" spans="5:6" ht="15.75" customHeight="1" x14ac:dyDescent="0.3">
      <c r="E372" s="10"/>
      <c r="F372" s="10"/>
    </row>
    <row r="373" spans="5:6" ht="15.75" customHeight="1" x14ac:dyDescent="0.3">
      <c r="E373" s="10"/>
      <c r="F373" s="10"/>
    </row>
    <row r="374" spans="5:6" ht="15.75" customHeight="1" x14ac:dyDescent="0.3">
      <c r="E374" s="10"/>
      <c r="F374" s="10"/>
    </row>
    <row r="375" spans="5:6" ht="15.75" customHeight="1" x14ac:dyDescent="0.3">
      <c r="E375" s="10"/>
      <c r="F375" s="10"/>
    </row>
    <row r="376" spans="5:6" ht="15.75" customHeight="1" x14ac:dyDescent="0.3">
      <c r="E376" s="10"/>
      <c r="F376" s="10"/>
    </row>
    <row r="377" spans="5:6" ht="15.75" customHeight="1" x14ac:dyDescent="0.3">
      <c r="E377" s="10"/>
      <c r="F377" s="10"/>
    </row>
    <row r="378" spans="5:6" ht="15.75" customHeight="1" x14ac:dyDescent="0.3">
      <c r="E378" s="10"/>
      <c r="F378" s="10"/>
    </row>
    <row r="379" spans="5:6" ht="15.75" customHeight="1" x14ac:dyDescent="0.3">
      <c r="E379" s="10"/>
      <c r="F379" s="10"/>
    </row>
    <row r="380" spans="5:6" ht="15.75" customHeight="1" x14ac:dyDescent="0.3">
      <c r="E380" s="10"/>
      <c r="F380" s="10"/>
    </row>
    <row r="381" spans="5:6" ht="15.75" customHeight="1" x14ac:dyDescent="0.3">
      <c r="E381" s="10"/>
      <c r="F381" s="10"/>
    </row>
    <row r="382" spans="5:6" ht="15.75" customHeight="1" x14ac:dyDescent="0.3">
      <c r="E382" s="10"/>
      <c r="F382" s="10"/>
    </row>
    <row r="383" spans="5:6" ht="15.75" customHeight="1" x14ac:dyDescent="0.3">
      <c r="E383" s="10"/>
      <c r="F383" s="10"/>
    </row>
    <row r="384" spans="5:6" ht="15.75" customHeight="1" x14ac:dyDescent="0.3">
      <c r="E384" s="10"/>
      <c r="F384" s="10"/>
    </row>
    <row r="385" spans="5:6" ht="15.75" customHeight="1" x14ac:dyDescent="0.3">
      <c r="E385" s="10"/>
      <c r="F385" s="10"/>
    </row>
    <row r="386" spans="5:6" ht="15.75" customHeight="1" x14ac:dyDescent="0.3">
      <c r="E386" s="10"/>
      <c r="F386" s="10"/>
    </row>
    <row r="387" spans="5:6" ht="15.75" customHeight="1" x14ac:dyDescent="0.3">
      <c r="E387" s="10"/>
      <c r="F387" s="10"/>
    </row>
    <row r="388" spans="5:6" ht="15.75" customHeight="1" x14ac:dyDescent="0.3">
      <c r="E388" s="10"/>
      <c r="F388" s="10"/>
    </row>
    <row r="389" spans="5:6" ht="15.75" customHeight="1" x14ac:dyDescent="0.3">
      <c r="E389" s="10"/>
      <c r="F389" s="10"/>
    </row>
    <row r="390" spans="5:6" ht="15.75" customHeight="1" x14ac:dyDescent="0.3">
      <c r="E390" s="10"/>
      <c r="F390" s="10"/>
    </row>
    <row r="391" spans="5:6" ht="15.75" customHeight="1" x14ac:dyDescent="0.3">
      <c r="E391" s="10"/>
      <c r="F391" s="10"/>
    </row>
    <row r="392" spans="5:6" ht="15.75" customHeight="1" x14ac:dyDescent="0.3">
      <c r="E392" s="10"/>
      <c r="F392" s="10"/>
    </row>
    <row r="393" spans="5:6" ht="15.75" customHeight="1" x14ac:dyDescent="0.3">
      <c r="E393" s="10"/>
      <c r="F393" s="10"/>
    </row>
    <row r="394" spans="5:6" ht="15.75" customHeight="1" x14ac:dyDescent="0.3">
      <c r="E394" s="10"/>
      <c r="F394" s="10"/>
    </row>
    <row r="395" spans="5:6" ht="15.75" customHeight="1" x14ac:dyDescent="0.3">
      <c r="E395" s="10"/>
      <c r="F395" s="10"/>
    </row>
    <row r="396" spans="5:6" ht="15.75" customHeight="1" x14ac:dyDescent="0.3">
      <c r="E396" s="10"/>
      <c r="F396" s="10"/>
    </row>
    <row r="397" spans="5:6" ht="15.75" customHeight="1" x14ac:dyDescent="0.3">
      <c r="E397" s="10"/>
      <c r="F397" s="10"/>
    </row>
    <row r="398" spans="5:6" ht="15.75" customHeight="1" x14ac:dyDescent="0.3">
      <c r="E398" s="10"/>
      <c r="F398" s="10"/>
    </row>
    <row r="399" spans="5:6" ht="15.75" customHeight="1" x14ac:dyDescent="0.3">
      <c r="E399" s="10"/>
      <c r="F399" s="10"/>
    </row>
    <row r="400" spans="5:6" ht="15.75" customHeight="1" x14ac:dyDescent="0.3">
      <c r="E400" s="10"/>
      <c r="F400" s="10"/>
    </row>
    <row r="401" spans="5:6" ht="15.75" customHeight="1" x14ac:dyDescent="0.3">
      <c r="E401" s="10"/>
      <c r="F401" s="10"/>
    </row>
    <row r="402" spans="5:6" ht="15.75" customHeight="1" x14ac:dyDescent="0.3">
      <c r="E402" s="10"/>
      <c r="F402" s="10"/>
    </row>
    <row r="403" spans="5:6" ht="15.75" customHeight="1" x14ac:dyDescent="0.3">
      <c r="E403" s="10"/>
      <c r="F403" s="10"/>
    </row>
    <row r="404" spans="5:6" ht="15.75" customHeight="1" x14ac:dyDescent="0.3">
      <c r="E404" s="10"/>
      <c r="F404" s="10"/>
    </row>
    <row r="405" spans="5:6" ht="15.75" customHeight="1" x14ac:dyDescent="0.3">
      <c r="E405" s="10"/>
      <c r="F405" s="10"/>
    </row>
    <row r="406" spans="5:6" ht="15.75" customHeight="1" x14ac:dyDescent="0.3">
      <c r="E406" s="10"/>
      <c r="F406" s="10"/>
    </row>
    <row r="407" spans="5:6" ht="15.75" customHeight="1" x14ac:dyDescent="0.3">
      <c r="E407" s="10"/>
      <c r="F407" s="10"/>
    </row>
    <row r="408" spans="5:6" ht="15.75" customHeight="1" x14ac:dyDescent="0.3">
      <c r="E408" s="10"/>
      <c r="F408" s="10"/>
    </row>
    <row r="409" spans="5:6" ht="15.75" customHeight="1" x14ac:dyDescent="0.3">
      <c r="E409" s="10"/>
      <c r="F409" s="10"/>
    </row>
    <row r="410" spans="5:6" ht="15.75" customHeight="1" x14ac:dyDescent="0.3">
      <c r="E410" s="10"/>
      <c r="F410" s="10"/>
    </row>
    <row r="411" spans="5:6" ht="15.75" customHeight="1" x14ac:dyDescent="0.3">
      <c r="E411" s="10"/>
      <c r="F411" s="10"/>
    </row>
    <row r="412" spans="5:6" ht="15.75" customHeight="1" x14ac:dyDescent="0.3">
      <c r="E412" s="10"/>
      <c r="F412" s="10"/>
    </row>
    <row r="413" spans="5:6" ht="15.75" customHeight="1" x14ac:dyDescent="0.3">
      <c r="E413" s="10"/>
      <c r="F413" s="10"/>
    </row>
    <row r="414" spans="5:6" ht="15.75" customHeight="1" x14ac:dyDescent="0.3">
      <c r="E414" s="10"/>
      <c r="F414" s="10"/>
    </row>
    <row r="415" spans="5:6" ht="15.75" customHeight="1" x14ac:dyDescent="0.3">
      <c r="E415" s="10"/>
      <c r="F415" s="10"/>
    </row>
    <row r="416" spans="5:6" ht="15.75" customHeight="1" x14ac:dyDescent="0.3">
      <c r="E416" s="10"/>
      <c r="F416" s="10"/>
    </row>
    <row r="417" spans="5:6" ht="15.75" customHeight="1" x14ac:dyDescent="0.3">
      <c r="E417" s="10"/>
      <c r="F417" s="10"/>
    </row>
    <row r="418" spans="5:6" ht="15.75" customHeight="1" x14ac:dyDescent="0.3">
      <c r="E418" s="10"/>
      <c r="F418" s="10"/>
    </row>
    <row r="419" spans="5:6" ht="15.75" customHeight="1" x14ac:dyDescent="0.3">
      <c r="E419" s="10"/>
      <c r="F419" s="10"/>
    </row>
    <row r="420" spans="5:6" ht="15.75" customHeight="1" x14ac:dyDescent="0.3">
      <c r="E420" s="10"/>
      <c r="F420" s="10"/>
    </row>
    <row r="421" spans="5:6" ht="15.75" customHeight="1" x14ac:dyDescent="0.3">
      <c r="E421" s="10"/>
      <c r="F421" s="10"/>
    </row>
    <row r="422" spans="5:6" ht="15.75" customHeight="1" x14ac:dyDescent="0.3">
      <c r="E422" s="10"/>
      <c r="F422" s="10"/>
    </row>
    <row r="423" spans="5:6" ht="15.75" customHeight="1" x14ac:dyDescent="0.3">
      <c r="E423" s="10"/>
      <c r="F423" s="10"/>
    </row>
    <row r="424" spans="5:6" ht="15.75" customHeight="1" x14ac:dyDescent="0.3">
      <c r="E424" s="10"/>
      <c r="F424" s="10"/>
    </row>
    <row r="425" spans="5:6" ht="15.75" customHeight="1" x14ac:dyDescent="0.3">
      <c r="E425" s="10"/>
      <c r="F425" s="10"/>
    </row>
    <row r="426" spans="5:6" ht="15.75" customHeight="1" x14ac:dyDescent="0.3">
      <c r="E426" s="10"/>
      <c r="F426" s="10"/>
    </row>
    <row r="427" spans="5:6" ht="15.75" customHeight="1" x14ac:dyDescent="0.3">
      <c r="E427" s="10"/>
      <c r="F427" s="10"/>
    </row>
    <row r="428" spans="5:6" ht="15.75" customHeight="1" x14ac:dyDescent="0.3">
      <c r="E428" s="10"/>
      <c r="F428" s="10"/>
    </row>
    <row r="429" spans="5:6" ht="15.75" customHeight="1" x14ac:dyDescent="0.3">
      <c r="E429" s="10"/>
      <c r="F429" s="10"/>
    </row>
    <row r="430" spans="5:6" ht="15.75" customHeight="1" x14ac:dyDescent="0.3">
      <c r="E430" s="10"/>
      <c r="F430" s="10"/>
    </row>
    <row r="431" spans="5:6" ht="15.75" customHeight="1" x14ac:dyDescent="0.3">
      <c r="E431" s="10"/>
      <c r="F431" s="10"/>
    </row>
    <row r="432" spans="5:6" ht="15.75" customHeight="1" x14ac:dyDescent="0.3">
      <c r="E432" s="10"/>
      <c r="F432" s="10"/>
    </row>
    <row r="433" spans="5:6" ht="15.75" customHeight="1" x14ac:dyDescent="0.3">
      <c r="E433" s="10"/>
      <c r="F433" s="10"/>
    </row>
    <row r="434" spans="5:6" ht="15.75" customHeight="1" x14ac:dyDescent="0.3">
      <c r="E434" s="10"/>
      <c r="F434" s="10"/>
    </row>
    <row r="435" spans="5:6" ht="15.75" customHeight="1" x14ac:dyDescent="0.3">
      <c r="E435" s="10"/>
      <c r="F435" s="10"/>
    </row>
    <row r="436" spans="5:6" ht="15.75" customHeight="1" x14ac:dyDescent="0.3">
      <c r="E436" s="10"/>
      <c r="F436" s="10"/>
    </row>
    <row r="437" spans="5:6" ht="15.75" customHeight="1" x14ac:dyDescent="0.3">
      <c r="E437" s="10"/>
      <c r="F437" s="10"/>
    </row>
    <row r="438" spans="5:6" ht="15.75" customHeight="1" x14ac:dyDescent="0.3">
      <c r="E438" s="10"/>
      <c r="F438" s="10"/>
    </row>
    <row r="439" spans="5:6" ht="15.75" customHeight="1" x14ac:dyDescent="0.3">
      <c r="E439" s="10"/>
      <c r="F439" s="10"/>
    </row>
    <row r="440" spans="5:6" ht="15.75" customHeight="1" x14ac:dyDescent="0.3">
      <c r="E440" s="10"/>
      <c r="F440" s="10"/>
    </row>
    <row r="441" spans="5:6" ht="15.75" customHeight="1" x14ac:dyDescent="0.3">
      <c r="E441" s="10"/>
      <c r="F441" s="10"/>
    </row>
    <row r="442" spans="5:6" ht="15.75" customHeight="1" x14ac:dyDescent="0.3">
      <c r="E442" s="10"/>
      <c r="F442" s="10"/>
    </row>
    <row r="443" spans="5:6" ht="15.75" customHeight="1" x14ac:dyDescent="0.3">
      <c r="E443" s="10"/>
      <c r="F443" s="10"/>
    </row>
    <row r="444" spans="5:6" ht="15.75" customHeight="1" x14ac:dyDescent="0.3">
      <c r="E444" s="10"/>
      <c r="F444" s="10"/>
    </row>
    <row r="445" spans="5:6" ht="15.75" customHeight="1" x14ac:dyDescent="0.3">
      <c r="E445" s="10"/>
      <c r="F445" s="10"/>
    </row>
    <row r="446" spans="5:6" ht="15.75" customHeight="1" x14ac:dyDescent="0.3">
      <c r="E446" s="10"/>
      <c r="F446" s="10"/>
    </row>
    <row r="447" spans="5:6" ht="15.75" customHeight="1" x14ac:dyDescent="0.3">
      <c r="E447" s="10"/>
      <c r="F447" s="10"/>
    </row>
    <row r="448" spans="5:6" ht="15.75" customHeight="1" x14ac:dyDescent="0.3">
      <c r="E448" s="10"/>
      <c r="F448" s="10"/>
    </row>
    <row r="449" spans="5:6" ht="15.75" customHeight="1" x14ac:dyDescent="0.3">
      <c r="E449" s="10"/>
      <c r="F449" s="10"/>
    </row>
    <row r="450" spans="5:6" ht="15.75" customHeight="1" x14ac:dyDescent="0.3">
      <c r="E450" s="10"/>
      <c r="F450" s="10"/>
    </row>
    <row r="451" spans="5:6" ht="15.75" customHeight="1" x14ac:dyDescent="0.3">
      <c r="E451" s="10"/>
      <c r="F451" s="10"/>
    </row>
    <row r="452" spans="5:6" ht="15.75" customHeight="1" x14ac:dyDescent="0.3">
      <c r="E452" s="10"/>
      <c r="F452" s="10"/>
    </row>
    <row r="453" spans="5:6" ht="15.75" customHeight="1" x14ac:dyDescent="0.3">
      <c r="E453" s="10"/>
      <c r="F453" s="10"/>
    </row>
    <row r="454" spans="5:6" ht="15.75" customHeight="1" x14ac:dyDescent="0.3">
      <c r="E454" s="10"/>
      <c r="F454" s="10"/>
    </row>
    <row r="455" spans="5:6" ht="15.75" customHeight="1" x14ac:dyDescent="0.3">
      <c r="E455" s="10"/>
      <c r="F455" s="10"/>
    </row>
    <row r="456" spans="5:6" ht="15.75" customHeight="1" x14ac:dyDescent="0.3">
      <c r="E456" s="10"/>
      <c r="F456" s="10"/>
    </row>
    <row r="457" spans="5:6" ht="15.75" customHeight="1" x14ac:dyDescent="0.3">
      <c r="E457" s="10"/>
      <c r="F457" s="10"/>
    </row>
    <row r="458" spans="5:6" ht="15.75" customHeight="1" x14ac:dyDescent="0.3">
      <c r="E458" s="10"/>
      <c r="F458" s="10"/>
    </row>
    <row r="459" spans="5:6" ht="15.75" customHeight="1" x14ac:dyDescent="0.3">
      <c r="E459" s="10"/>
      <c r="F459" s="10"/>
    </row>
    <row r="460" spans="5:6" ht="15.75" customHeight="1" x14ac:dyDescent="0.3">
      <c r="E460" s="10"/>
      <c r="F460" s="10"/>
    </row>
    <row r="461" spans="5:6" ht="15.75" customHeight="1" x14ac:dyDescent="0.3">
      <c r="E461" s="10"/>
      <c r="F461" s="10"/>
    </row>
    <row r="462" spans="5:6" ht="15.75" customHeight="1" x14ac:dyDescent="0.3">
      <c r="E462" s="10"/>
      <c r="F462" s="10"/>
    </row>
    <row r="463" spans="5:6" ht="15.75" customHeight="1" x14ac:dyDescent="0.3">
      <c r="E463" s="10"/>
      <c r="F463" s="10"/>
    </row>
    <row r="464" spans="5:6" ht="15.75" customHeight="1" x14ac:dyDescent="0.3">
      <c r="E464" s="10"/>
      <c r="F464" s="10"/>
    </row>
    <row r="465" spans="5:6" ht="15.75" customHeight="1" x14ac:dyDescent="0.3">
      <c r="E465" s="10"/>
      <c r="F465" s="10"/>
    </row>
    <row r="466" spans="5:6" ht="15.75" customHeight="1" x14ac:dyDescent="0.3">
      <c r="E466" s="10"/>
      <c r="F466" s="10"/>
    </row>
    <row r="467" spans="5:6" ht="15.75" customHeight="1" x14ac:dyDescent="0.3">
      <c r="E467" s="10"/>
      <c r="F467" s="10"/>
    </row>
    <row r="468" spans="5:6" ht="15.75" customHeight="1" x14ac:dyDescent="0.3">
      <c r="E468" s="10"/>
      <c r="F468" s="10"/>
    </row>
    <row r="469" spans="5:6" ht="15.75" customHeight="1" x14ac:dyDescent="0.3">
      <c r="E469" s="10"/>
      <c r="F469" s="10"/>
    </row>
    <row r="470" spans="5:6" ht="15.75" customHeight="1" x14ac:dyDescent="0.3">
      <c r="E470" s="10"/>
      <c r="F470" s="10"/>
    </row>
    <row r="471" spans="5:6" ht="15.75" customHeight="1" x14ac:dyDescent="0.3">
      <c r="E471" s="10"/>
      <c r="F471" s="10"/>
    </row>
    <row r="472" spans="5:6" ht="15.75" customHeight="1" x14ac:dyDescent="0.3">
      <c r="E472" s="10"/>
      <c r="F472" s="10"/>
    </row>
    <row r="473" spans="5:6" ht="15.75" customHeight="1" x14ac:dyDescent="0.3">
      <c r="E473" s="10"/>
      <c r="F473" s="10"/>
    </row>
    <row r="474" spans="5:6" ht="15.75" customHeight="1" x14ac:dyDescent="0.3">
      <c r="E474" s="10"/>
      <c r="F474" s="10"/>
    </row>
    <row r="475" spans="5:6" ht="15.75" customHeight="1" x14ac:dyDescent="0.3">
      <c r="E475" s="10"/>
      <c r="F475" s="10"/>
    </row>
    <row r="476" spans="5:6" ht="15.75" customHeight="1" x14ac:dyDescent="0.3">
      <c r="E476" s="10"/>
      <c r="F476" s="10"/>
    </row>
    <row r="477" spans="5:6" ht="15.75" customHeight="1" x14ac:dyDescent="0.3">
      <c r="E477" s="10"/>
      <c r="F477" s="10"/>
    </row>
    <row r="478" spans="5:6" ht="15.75" customHeight="1" x14ac:dyDescent="0.3">
      <c r="E478" s="10"/>
      <c r="F478" s="10"/>
    </row>
    <row r="479" spans="5:6" ht="15.75" customHeight="1" x14ac:dyDescent="0.3">
      <c r="E479" s="10"/>
      <c r="F479" s="10"/>
    </row>
    <row r="480" spans="5:6" ht="15.75" customHeight="1" x14ac:dyDescent="0.3">
      <c r="E480" s="10"/>
      <c r="F480" s="10"/>
    </row>
    <row r="481" spans="5:6" ht="15.75" customHeight="1" x14ac:dyDescent="0.3">
      <c r="E481" s="10"/>
      <c r="F481" s="10"/>
    </row>
    <row r="482" spans="5:6" ht="15.75" customHeight="1" x14ac:dyDescent="0.3">
      <c r="E482" s="10"/>
      <c r="F482" s="10"/>
    </row>
    <row r="483" spans="5:6" ht="15.75" customHeight="1" x14ac:dyDescent="0.3">
      <c r="E483" s="10"/>
      <c r="F483" s="10"/>
    </row>
    <row r="484" spans="5:6" ht="15.75" customHeight="1" x14ac:dyDescent="0.3">
      <c r="E484" s="10"/>
      <c r="F484" s="10"/>
    </row>
    <row r="485" spans="5:6" ht="15.75" customHeight="1" x14ac:dyDescent="0.3">
      <c r="E485" s="10"/>
      <c r="F485" s="10"/>
    </row>
    <row r="486" spans="5:6" ht="15.75" customHeight="1" x14ac:dyDescent="0.3">
      <c r="E486" s="10"/>
      <c r="F486" s="10"/>
    </row>
    <row r="487" spans="5:6" ht="15.75" customHeight="1" x14ac:dyDescent="0.3">
      <c r="E487" s="10"/>
      <c r="F487" s="10"/>
    </row>
    <row r="488" spans="5:6" ht="15.75" customHeight="1" x14ac:dyDescent="0.3">
      <c r="E488" s="10"/>
      <c r="F488" s="10"/>
    </row>
    <row r="489" spans="5:6" ht="15.75" customHeight="1" x14ac:dyDescent="0.3">
      <c r="E489" s="10"/>
      <c r="F489" s="10"/>
    </row>
    <row r="490" spans="5:6" ht="15.75" customHeight="1" x14ac:dyDescent="0.3">
      <c r="E490" s="10"/>
      <c r="F490" s="10"/>
    </row>
    <row r="491" spans="5:6" ht="15.75" customHeight="1" x14ac:dyDescent="0.3">
      <c r="E491" s="10"/>
      <c r="F491" s="10"/>
    </row>
    <row r="492" spans="5:6" ht="15.75" customHeight="1" x14ac:dyDescent="0.3">
      <c r="E492" s="10"/>
      <c r="F492" s="10"/>
    </row>
    <row r="493" spans="5:6" ht="15.75" customHeight="1" x14ac:dyDescent="0.3">
      <c r="E493" s="10"/>
      <c r="F493" s="10"/>
    </row>
    <row r="494" spans="5:6" ht="15.75" customHeight="1" x14ac:dyDescent="0.3">
      <c r="E494" s="10"/>
      <c r="F494" s="10"/>
    </row>
    <row r="495" spans="5:6" ht="15.75" customHeight="1" x14ac:dyDescent="0.3">
      <c r="E495" s="10"/>
      <c r="F495" s="10"/>
    </row>
    <row r="496" spans="5:6" ht="15.75" customHeight="1" x14ac:dyDescent="0.3">
      <c r="E496" s="10"/>
      <c r="F496" s="10"/>
    </row>
    <row r="497" spans="5:6" ht="15.75" customHeight="1" x14ac:dyDescent="0.3">
      <c r="E497" s="10"/>
      <c r="F497" s="10"/>
    </row>
    <row r="498" spans="5:6" ht="15.75" customHeight="1" x14ac:dyDescent="0.3">
      <c r="E498" s="10"/>
      <c r="F498" s="10"/>
    </row>
    <row r="499" spans="5:6" ht="15.75" customHeight="1" x14ac:dyDescent="0.3">
      <c r="E499" s="10"/>
      <c r="F499" s="10"/>
    </row>
    <row r="500" spans="5:6" ht="15.75" customHeight="1" x14ac:dyDescent="0.3">
      <c r="E500" s="10"/>
      <c r="F500" s="10"/>
    </row>
    <row r="501" spans="5:6" ht="15.75" customHeight="1" x14ac:dyDescent="0.3">
      <c r="E501" s="10"/>
      <c r="F501" s="10"/>
    </row>
    <row r="502" spans="5:6" ht="15.75" customHeight="1" x14ac:dyDescent="0.3">
      <c r="E502" s="10"/>
      <c r="F502" s="10"/>
    </row>
    <row r="503" spans="5:6" ht="15.75" customHeight="1" x14ac:dyDescent="0.3">
      <c r="E503" s="10"/>
      <c r="F503" s="10"/>
    </row>
    <row r="504" spans="5:6" ht="15.75" customHeight="1" x14ac:dyDescent="0.3">
      <c r="E504" s="10"/>
      <c r="F504" s="10"/>
    </row>
    <row r="505" spans="5:6" ht="15.75" customHeight="1" x14ac:dyDescent="0.3">
      <c r="E505" s="10"/>
      <c r="F505" s="10"/>
    </row>
    <row r="506" spans="5:6" ht="15.75" customHeight="1" x14ac:dyDescent="0.3">
      <c r="E506" s="10"/>
      <c r="F506" s="10"/>
    </row>
    <row r="507" spans="5:6" ht="15.75" customHeight="1" x14ac:dyDescent="0.3">
      <c r="E507" s="10"/>
      <c r="F507" s="10"/>
    </row>
    <row r="508" spans="5:6" ht="15.75" customHeight="1" x14ac:dyDescent="0.3">
      <c r="E508" s="10"/>
      <c r="F508" s="10"/>
    </row>
    <row r="509" spans="5:6" ht="15.75" customHeight="1" x14ac:dyDescent="0.3">
      <c r="E509" s="10"/>
      <c r="F509" s="10"/>
    </row>
    <row r="510" spans="5:6" ht="15.75" customHeight="1" x14ac:dyDescent="0.3">
      <c r="E510" s="10"/>
      <c r="F510" s="10"/>
    </row>
    <row r="511" spans="5:6" ht="15.75" customHeight="1" x14ac:dyDescent="0.3">
      <c r="E511" s="10"/>
      <c r="F511" s="10"/>
    </row>
    <row r="512" spans="5:6" ht="15.75" customHeight="1" x14ac:dyDescent="0.3">
      <c r="E512" s="10"/>
      <c r="F512" s="10"/>
    </row>
    <row r="513" spans="5:6" ht="15.75" customHeight="1" x14ac:dyDescent="0.3">
      <c r="E513" s="10"/>
      <c r="F513" s="10"/>
    </row>
    <row r="514" spans="5:6" ht="15.75" customHeight="1" x14ac:dyDescent="0.3">
      <c r="E514" s="10"/>
      <c r="F514" s="10"/>
    </row>
    <row r="515" spans="5:6" ht="15.75" customHeight="1" x14ac:dyDescent="0.3">
      <c r="E515" s="10"/>
      <c r="F515" s="10"/>
    </row>
    <row r="516" spans="5:6" ht="15.75" customHeight="1" x14ac:dyDescent="0.3">
      <c r="E516" s="10"/>
      <c r="F516" s="10"/>
    </row>
    <row r="517" spans="5:6" ht="15.75" customHeight="1" x14ac:dyDescent="0.3">
      <c r="E517" s="10"/>
      <c r="F517" s="10"/>
    </row>
    <row r="518" spans="5:6" ht="15.75" customHeight="1" x14ac:dyDescent="0.3">
      <c r="E518" s="10"/>
      <c r="F518" s="10"/>
    </row>
    <row r="519" spans="5:6" ht="15.75" customHeight="1" x14ac:dyDescent="0.3">
      <c r="E519" s="10"/>
      <c r="F519" s="10"/>
    </row>
    <row r="520" spans="5:6" ht="15.75" customHeight="1" x14ac:dyDescent="0.3">
      <c r="E520" s="10"/>
      <c r="F520" s="10"/>
    </row>
    <row r="521" spans="5:6" ht="15.75" customHeight="1" x14ac:dyDescent="0.3">
      <c r="E521" s="10"/>
      <c r="F521" s="10"/>
    </row>
    <row r="522" spans="5:6" ht="15.75" customHeight="1" x14ac:dyDescent="0.3">
      <c r="E522" s="10"/>
      <c r="F522" s="10"/>
    </row>
    <row r="523" spans="5:6" ht="15.75" customHeight="1" x14ac:dyDescent="0.3">
      <c r="E523" s="10"/>
      <c r="F523" s="10"/>
    </row>
    <row r="524" spans="5:6" ht="15.75" customHeight="1" x14ac:dyDescent="0.3">
      <c r="E524" s="10"/>
      <c r="F524" s="10"/>
    </row>
    <row r="525" spans="5:6" ht="15.75" customHeight="1" x14ac:dyDescent="0.3">
      <c r="E525" s="10"/>
      <c r="F525" s="10"/>
    </row>
    <row r="526" spans="5:6" ht="15.75" customHeight="1" x14ac:dyDescent="0.3">
      <c r="E526" s="10"/>
      <c r="F526" s="10"/>
    </row>
    <row r="527" spans="5:6" ht="15.75" customHeight="1" x14ac:dyDescent="0.3">
      <c r="E527" s="10"/>
      <c r="F527" s="10"/>
    </row>
    <row r="528" spans="5:6" ht="15.75" customHeight="1" x14ac:dyDescent="0.3">
      <c r="E528" s="10"/>
      <c r="F528" s="10"/>
    </row>
    <row r="529" spans="5:6" ht="15.75" customHeight="1" x14ac:dyDescent="0.3">
      <c r="E529" s="10"/>
      <c r="F529" s="10"/>
    </row>
    <row r="530" spans="5:6" ht="15.75" customHeight="1" x14ac:dyDescent="0.3">
      <c r="E530" s="10"/>
      <c r="F530" s="10"/>
    </row>
    <row r="531" spans="5:6" ht="15.75" customHeight="1" x14ac:dyDescent="0.3">
      <c r="E531" s="10"/>
      <c r="F531" s="10"/>
    </row>
    <row r="532" spans="5:6" ht="15.75" customHeight="1" x14ac:dyDescent="0.3">
      <c r="E532" s="10"/>
      <c r="F532" s="10"/>
    </row>
    <row r="533" spans="5:6" ht="15.75" customHeight="1" x14ac:dyDescent="0.3">
      <c r="E533" s="10"/>
      <c r="F533" s="10"/>
    </row>
    <row r="534" spans="5:6" ht="15.75" customHeight="1" x14ac:dyDescent="0.3">
      <c r="E534" s="10"/>
      <c r="F534" s="10"/>
    </row>
    <row r="535" spans="5:6" ht="15.75" customHeight="1" x14ac:dyDescent="0.3">
      <c r="E535" s="10"/>
      <c r="F535" s="10"/>
    </row>
    <row r="536" spans="5:6" ht="15.75" customHeight="1" x14ac:dyDescent="0.3">
      <c r="E536" s="10"/>
      <c r="F536" s="10"/>
    </row>
    <row r="537" spans="5:6" ht="15.75" customHeight="1" x14ac:dyDescent="0.3">
      <c r="E537" s="10"/>
      <c r="F537" s="10"/>
    </row>
    <row r="538" spans="5:6" ht="15.75" customHeight="1" x14ac:dyDescent="0.3">
      <c r="E538" s="10"/>
      <c r="F538" s="10"/>
    </row>
    <row r="539" spans="5:6" ht="15.75" customHeight="1" x14ac:dyDescent="0.3">
      <c r="E539" s="10"/>
      <c r="F539" s="10"/>
    </row>
    <row r="540" spans="5:6" ht="15.75" customHeight="1" x14ac:dyDescent="0.3">
      <c r="E540" s="10"/>
      <c r="F540" s="10"/>
    </row>
    <row r="541" spans="5:6" ht="15.75" customHeight="1" x14ac:dyDescent="0.3">
      <c r="E541" s="10"/>
      <c r="F541" s="10"/>
    </row>
    <row r="542" spans="5:6" ht="15.75" customHeight="1" x14ac:dyDescent="0.3">
      <c r="E542" s="10"/>
      <c r="F542" s="10"/>
    </row>
    <row r="543" spans="5:6" ht="15.75" customHeight="1" x14ac:dyDescent="0.3">
      <c r="E543" s="10"/>
      <c r="F543" s="10"/>
    </row>
    <row r="544" spans="5:6" ht="15.75" customHeight="1" x14ac:dyDescent="0.3">
      <c r="E544" s="10"/>
      <c r="F544" s="10"/>
    </row>
    <row r="545" spans="5:6" ht="15.75" customHeight="1" x14ac:dyDescent="0.3">
      <c r="E545" s="10"/>
      <c r="F545" s="10"/>
    </row>
    <row r="546" spans="5:6" ht="15.75" customHeight="1" x14ac:dyDescent="0.3">
      <c r="E546" s="10"/>
      <c r="F546" s="10"/>
    </row>
    <row r="547" spans="5:6" ht="15.75" customHeight="1" x14ac:dyDescent="0.3">
      <c r="E547" s="10"/>
      <c r="F547" s="10"/>
    </row>
    <row r="548" spans="5:6" ht="15.75" customHeight="1" x14ac:dyDescent="0.3">
      <c r="E548" s="10"/>
      <c r="F548" s="10"/>
    </row>
    <row r="549" spans="5:6" ht="15.75" customHeight="1" x14ac:dyDescent="0.3">
      <c r="E549" s="10"/>
      <c r="F549" s="10"/>
    </row>
    <row r="550" spans="5:6" ht="15.75" customHeight="1" x14ac:dyDescent="0.3">
      <c r="E550" s="10"/>
      <c r="F550" s="10"/>
    </row>
    <row r="551" spans="5:6" ht="15.75" customHeight="1" x14ac:dyDescent="0.3">
      <c r="E551" s="10"/>
      <c r="F551" s="10"/>
    </row>
    <row r="552" spans="5:6" ht="15.75" customHeight="1" x14ac:dyDescent="0.3">
      <c r="E552" s="10"/>
      <c r="F552" s="10"/>
    </row>
    <row r="553" spans="5:6" ht="15.75" customHeight="1" x14ac:dyDescent="0.3">
      <c r="E553" s="10"/>
      <c r="F553" s="10"/>
    </row>
    <row r="554" spans="5:6" ht="15.75" customHeight="1" x14ac:dyDescent="0.3">
      <c r="E554" s="10"/>
      <c r="F554" s="10"/>
    </row>
    <row r="555" spans="5:6" ht="15.75" customHeight="1" x14ac:dyDescent="0.3">
      <c r="E555" s="10"/>
      <c r="F555" s="10"/>
    </row>
    <row r="556" spans="5:6" ht="15.75" customHeight="1" x14ac:dyDescent="0.3">
      <c r="E556" s="10"/>
      <c r="F556" s="10"/>
    </row>
    <row r="557" spans="5:6" ht="15.75" customHeight="1" x14ac:dyDescent="0.3">
      <c r="E557" s="10"/>
      <c r="F557" s="10"/>
    </row>
    <row r="558" spans="5:6" ht="15.75" customHeight="1" x14ac:dyDescent="0.3">
      <c r="E558" s="10"/>
      <c r="F558" s="10"/>
    </row>
    <row r="559" spans="5:6" ht="15.75" customHeight="1" x14ac:dyDescent="0.3">
      <c r="E559" s="10"/>
      <c r="F559" s="10"/>
    </row>
    <row r="560" spans="5:6" ht="15.75" customHeight="1" x14ac:dyDescent="0.3">
      <c r="E560" s="10"/>
      <c r="F560" s="10"/>
    </row>
    <row r="561" spans="5:6" ht="15.75" customHeight="1" x14ac:dyDescent="0.3">
      <c r="E561" s="10"/>
      <c r="F561" s="10"/>
    </row>
    <row r="562" spans="5:6" ht="15.75" customHeight="1" x14ac:dyDescent="0.3">
      <c r="E562" s="10"/>
      <c r="F562" s="10"/>
    </row>
    <row r="563" spans="5:6" ht="15.75" customHeight="1" x14ac:dyDescent="0.3">
      <c r="E563" s="10"/>
      <c r="F563" s="10"/>
    </row>
    <row r="564" spans="5:6" ht="15.75" customHeight="1" x14ac:dyDescent="0.3">
      <c r="E564" s="10"/>
      <c r="F564" s="10"/>
    </row>
    <row r="565" spans="5:6" ht="15.75" customHeight="1" x14ac:dyDescent="0.3">
      <c r="E565" s="10"/>
      <c r="F565" s="10"/>
    </row>
    <row r="566" spans="5:6" ht="15.75" customHeight="1" x14ac:dyDescent="0.3">
      <c r="E566" s="10"/>
      <c r="F566" s="10"/>
    </row>
    <row r="567" spans="5:6" ht="15.75" customHeight="1" x14ac:dyDescent="0.3">
      <c r="E567" s="10"/>
      <c r="F567" s="10"/>
    </row>
    <row r="568" spans="5:6" ht="15.75" customHeight="1" x14ac:dyDescent="0.3">
      <c r="E568" s="10"/>
      <c r="F568" s="10"/>
    </row>
    <row r="569" spans="5:6" ht="15.75" customHeight="1" x14ac:dyDescent="0.3">
      <c r="E569" s="10"/>
      <c r="F569" s="10"/>
    </row>
    <row r="570" spans="5:6" ht="15.75" customHeight="1" x14ac:dyDescent="0.3">
      <c r="E570" s="10"/>
      <c r="F570" s="10"/>
    </row>
    <row r="571" spans="5:6" ht="15.75" customHeight="1" x14ac:dyDescent="0.3">
      <c r="E571" s="10"/>
      <c r="F571" s="10"/>
    </row>
    <row r="572" spans="5:6" ht="15.75" customHeight="1" x14ac:dyDescent="0.3">
      <c r="E572" s="10"/>
      <c r="F572" s="10"/>
    </row>
    <row r="573" spans="5:6" ht="15.75" customHeight="1" x14ac:dyDescent="0.3">
      <c r="E573" s="10"/>
      <c r="F573" s="10"/>
    </row>
    <row r="574" spans="5:6" ht="15.75" customHeight="1" x14ac:dyDescent="0.3">
      <c r="E574" s="10"/>
      <c r="F574" s="10"/>
    </row>
    <row r="575" spans="5:6" ht="15.75" customHeight="1" x14ac:dyDescent="0.3">
      <c r="E575" s="10"/>
      <c r="F575" s="10"/>
    </row>
    <row r="576" spans="5:6" ht="15.75" customHeight="1" x14ac:dyDescent="0.3">
      <c r="E576" s="10"/>
      <c r="F576" s="10"/>
    </row>
    <row r="577" spans="5:6" ht="15.75" customHeight="1" x14ac:dyDescent="0.3">
      <c r="E577" s="10"/>
      <c r="F577" s="10"/>
    </row>
    <row r="578" spans="5:6" ht="15.75" customHeight="1" x14ac:dyDescent="0.3">
      <c r="E578" s="10"/>
      <c r="F578" s="10"/>
    </row>
    <row r="579" spans="5:6" ht="15.75" customHeight="1" x14ac:dyDescent="0.3">
      <c r="E579" s="10"/>
      <c r="F579" s="10"/>
    </row>
    <row r="580" spans="5:6" ht="15.75" customHeight="1" x14ac:dyDescent="0.3">
      <c r="E580" s="10"/>
      <c r="F580" s="10"/>
    </row>
    <row r="581" spans="5:6" ht="15.75" customHeight="1" x14ac:dyDescent="0.3">
      <c r="E581" s="10"/>
      <c r="F581" s="10"/>
    </row>
    <row r="582" spans="5:6" ht="15.75" customHeight="1" x14ac:dyDescent="0.3">
      <c r="E582" s="10"/>
      <c r="F582" s="10"/>
    </row>
    <row r="583" spans="5:6" ht="15.75" customHeight="1" x14ac:dyDescent="0.3">
      <c r="E583" s="10"/>
      <c r="F583" s="10"/>
    </row>
    <row r="584" spans="5:6" ht="15.75" customHeight="1" x14ac:dyDescent="0.3">
      <c r="E584" s="10"/>
      <c r="F584" s="10"/>
    </row>
    <row r="585" spans="5:6" ht="15.75" customHeight="1" x14ac:dyDescent="0.3">
      <c r="E585" s="10"/>
      <c r="F585" s="10"/>
    </row>
    <row r="586" spans="5:6" ht="15.75" customHeight="1" x14ac:dyDescent="0.3">
      <c r="E586" s="10"/>
      <c r="F586" s="10"/>
    </row>
    <row r="587" spans="5:6" ht="15.75" customHeight="1" x14ac:dyDescent="0.3">
      <c r="E587" s="10"/>
      <c r="F587" s="10"/>
    </row>
    <row r="588" spans="5:6" ht="15.75" customHeight="1" x14ac:dyDescent="0.3">
      <c r="E588" s="10"/>
      <c r="F588" s="10"/>
    </row>
    <row r="589" spans="5:6" ht="15.75" customHeight="1" x14ac:dyDescent="0.3">
      <c r="E589" s="10"/>
      <c r="F589" s="10"/>
    </row>
    <row r="590" spans="5:6" ht="15.75" customHeight="1" x14ac:dyDescent="0.3">
      <c r="E590" s="10"/>
      <c r="F590" s="10"/>
    </row>
    <row r="591" spans="5:6" ht="15.75" customHeight="1" x14ac:dyDescent="0.3">
      <c r="E591" s="10"/>
      <c r="F591" s="10"/>
    </row>
    <row r="592" spans="5:6" ht="15.75" customHeight="1" x14ac:dyDescent="0.3">
      <c r="E592" s="10"/>
      <c r="F592" s="10"/>
    </row>
    <row r="593" spans="5:6" ht="15.75" customHeight="1" x14ac:dyDescent="0.3">
      <c r="E593" s="10"/>
      <c r="F593" s="10"/>
    </row>
    <row r="594" spans="5:6" ht="15.75" customHeight="1" x14ac:dyDescent="0.3">
      <c r="E594" s="10"/>
      <c r="F594" s="10"/>
    </row>
    <row r="595" spans="5:6" ht="15.75" customHeight="1" x14ac:dyDescent="0.3">
      <c r="E595" s="10"/>
      <c r="F595" s="10"/>
    </row>
    <row r="596" spans="5:6" ht="15.75" customHeight="1" x14ac:dyDescent="0.3">
      <c r="E596" s="10"/>
      <c r="F596" s="10"/>
    </row>
    <row r="597" spans="5:6" ht="15.75" customHeight="1" x14ac:dyDescent="0.3">
      <c r="E597" s="10"/>
      <c r="F597" s="10"/>
    </row>
    <row r="598" spans="5:6" ht="15.75" customHeight="1" x14ac:dyDescent="0.3">
      <c r="E598" s="10"/>
      <c r="F598" s="10"/>
    </row>
    <row r="599" spans="5:6" ht="15.75" customHeight="1" x14ac:dyDescent="0.3">
      <c r="E599" s="10"/>
      <c r="F599" s="10"/>
    </row>
    <row r="600" spans="5:6" ht="15.75" customHeight="1" x14ac:dyDescent="0.3">
      <c r="E600" s="10"/>
      <c r="F600" s="10"/>
    </row>
    <row r="601" spans="5:6" ht="15.75" customHeight="1" x14ac:dyDescent="0.3">
      <c r="E601" s="10"/>
      <c r="F601" s="10"/>
    </row>
    <row r="602" spans="5:6" ht="15.75" customHeight="1" x14ac:dyDescent="0.3">
      <c r="E602" s="10"/>
      <c r="F602" s="10"/>
    </row>
    <row r="603" spans="5:6" ht="15.75" customHeight="1" x14ac:dyDescent="0.3">
      <c r="E603" s="10"/>
      <c r="F603" s="10"/>
    </row>
    <row r="604" spans="5:6" ht="15.75" customHeight="1" x14ac:dyDescent="0.3">
      <c r="E604" s="10"/>
      <c r="F604" s="10"/>
    </row>
    <row r="605" spans="5:6" ht="15.75" customHeight="1" x14ac:dyDescent="0.3">
      <c r="E605" s="10"/>
      <c r="F605" s="10"/>
    </row>
    <row r="606" spans="5:6" ht="15.75" customHeight="1" x14ac:dyDescent="0.3">
      <c r="E606" s="10"/>
      <c r="F606" s="10"/>
    </row>
    <row r="607" spans="5:6" ht="15.75" customHeight="1" x14ac:dyDescent="0.3">
      <c r="E607" s="10"/>
      <c r="F607" s="10"/>
    </row>
    <row r="608" spans="5:6" ht="15.75" customHeight="1" x14ac:dyDescent="0.3">
      <c r="E608" s="10"/>
      <c r="F608" s="10"/>
    </row>
    <row r="609" spans="5:6" ht="15.75" customHeight="1" x14ac:dyDescent="0.3">
      <c r="E609" s="10"/>
      <c r="F609" s="10"/>
    </row>
    <row r="610" spans="5:6" ht="15.75" customHeight="1" x14ac:dyDescent="0.3">
      <c r="E610" s="10"/>
      <c r="F610" s="10"/>
    </row>
    <row r="611" spans="5:6" ht="15.75" customHeight="1" x14ac:dyDescent="0.3">
      <c r="E611" s="10"/>
      <c r="F611" s="10"/>
    </row>
    <row r="612" spans="5:6" ht="15.75" customHeight="1" x14ac:dyDescent="0.3">
      <c r="E612" s="10"/>
      <c r="F612" s="10"/>
    </row>
    <row r="613" spans="5:6" ht="15.75" customHeight="1" x14ac:dyDescent="0.3">
      <c r="E613" s="10"/>
      <c r="F613" s="10"/>
    </row>
    <row r="614" spans="5:6" ht="15.75" customHeight="1" x14ac:dyDescent="0.3">
      <c r="E614" s="10"/>
      <c r="F614" s="10"/>
    </row>
    <row r="615" spans="5:6" ht="15.75" customHeight="1" x14ac:dyDescent="0.3">
      <c r="E615" s="10"/>
      <c r="F615" s="10"/>
    </row>
    <row r="616" spans="5:6" ht="15.75" customHeight="1" x14ac:dyDescent="0.3">
      <c r="E616" s="10"/>
      <c r="F616" s="10"/>
    </row>
    <row r="617" spans="5:6" ht="15.75" customHeight="1" x14ac:dyDescent="0.3">
      <c r="E617" s="10"/>
      <c r="F617" s="10"/>
    </row>
    <row r="618" spans="5:6" ht="15.75" customHeight="1" x14ac:dyDescent="0.3">
      <c r="E618" s="10"/>
      <c r="F618" s="10"/>
    </row>
    <row r="619" spans="5:6" ht="15.75" customHeight="1" x14ac:dyDescent="0.3">
      <c r="E619" s="10"/>
      <c r="F619" s="10"/>
    </row>
    <row r="620" spans="5:6" ht="15.75" customHeight="1" x14ac:dyDescent="0.3">
      <c r="E620" s="10"/>
      <c r="F620" s="10"/>
    </row>
    <row r="621" spans="5:6" ht="15.75" customHeight="1" x14ac:dyDescent="0.3">
      <c r="E621" s="10"/>
      <c r="F621" s="10"/>
    </row>
    <row r="622" spans="5:6" ht="15.75" customHeight="1" x14ac:dyDescent="0.3">
      <c r="E622" s="10"/>
      <c r="F622" s="10"/>
    </row>
    <row r="623" spans="5:6" ht="15.75" customHeight="1" x14ac:dyDescent="0.3">
      <c r="E623" s="10"/>
      <c r="F623" s="10"/>
    </row>
    <row r="624" spans="5:6" ht="15.75" customHeight="1" x14ac:dyDescent="0.3">
      <c r="E624" s="10"/>
      <c r="F624" s="10"/>
    </row>
    <row r="625" spans="5:6" ht="15.75" customHeight="1" x14ac:dyDescent="0.3">
      <c r="E625" s="10"/>
      <c r="F625" s="10"/>
    </row>
    <row r="626" spans="5:6" ht="15.75" customHeight="1" x14ac:dyDescent="0.3">
      <c r="E626" s="10"/>
      <c r="F626" s="10"/>
    </row>
    <row r="627" spans="5:6" ht="15.75" customHeight="1" x14ac:dyDescent="0.3">
      <c r="E627" s="10"/>
      <c r="F627" s="10"/>
    </row>
    <row r="628" spans="5:6" ht="15.75" customHeight="1" x14ac:dyDescent="0.3">
      <c r="E628" s="10"/>
      <c r="F628" s="10"/>
    </row>
    <row r="629" spans="5:6" ht="15.75" customHeight="1" x14ac:dyDescent="0.3">
      <c r="E629" s="10"/>
      <c r="F629" s="10"/>
    </row>
    <row r="630" spans="5:6" ht="15.75" customHeight="1" x14ac:dyDescent="0.3">
      <c r="E630" s="10"/>
      <c r="F630" s="10"/>
    </row>
    <row r="631" spans="5:6" ht="15.75" customHeight="1" x14ac:dyDescent="0.3">
      <c r="E631" s="10"/>
      <c r="F631" s="10"/>
    </row>
    <row r="632" spans="5:6" ht="15.75" customHeight="1" x14ac:dyDescent="0.3">
      <c r="E632" s="10"/>
      <c r="F632" s="10"/>
    </row>
    <row r="633" spans="5:6" ht="15.75" customHeight="1" x14ac:dyDescent="0.3">
      <c r="E633" s="10"/>
      <c r="F633" s="10"/>
    </row>
    <row r="634" spans="5:6" ht="15.75" customHeight="1" x14ac:dyDescent="0.3">
      <c r="E634" s="10"/>
      <c r="F634" s="10"/>
    </row>
    <row r="635" spans="5:6" ht="15.75" customHeight="1" x14ac:dyDescent="0.3">
      <c r="E635" s="10"/>
      <c r="F635" s="10"/>
    </row>
    <row r="636" spans="5:6" ht="15.75" customHeight="1" x14ac:dyDescent="0.3">
      <c r="E636" s="10"/>
      <c r="F636" s="10"/>
    </row>
    <row r="637" spans="5:6" ht="15.75" customHeight="1" x14ac:dyDescent="0.3">
      <c r="E637" s="10"/>
      <c r="F637" s="10"/>
    </row>
    <row r="638" spans="5:6" ht="15.75" customHeight="1" x14ac:dyDescent="0.3">
      <c r="E638" s="10"/>
      <c r="F638" s="10"/>
    </row>
    <row r="639" spans="5:6" ht="15.75" customHeight="1" x14ac:dyDescent="0.3">
      <c r="E639" s="10"/>
      <c r="F639" s="10"/>
    </row>
    <row r="640" spans="5:6" ht="15.75" customHeight="1" x14ac:dyDescent="0.3">
      <c r="E640" s="10"/>
      <c r="F640" s="10"/>
    </row>
    <row r="641" spans="5:6" ht="15.75" customHeight="1" x14ac:dyDescent="0.3">
      <c r="E641" s="10"/>
      <c r="F641" s="10"/>
    </row>
    <row r="642" spans="5:6" ht="15.75" customHeight="1" x14ac:dyDescent="0.3">
      <c r="E642" s="10"/>
      <c r="F642" s="10"/>
    </row>
    <row r="643" spans="5:6" ht="15.75" customHeight="1" x14ac:dyDescent="0.3">
      <c r="E643" s="10"/>
      <c r="F643" s="10"/>
    </row>
    <row r="644" spans="5:6" ht="15.75" customHeight="1" x14ac:dyDescent="0.3">
      <c r="E644" s="10"/>
      <c r="F644" s="10"/>
    </row>
    <row r="645" spans="5:6" ht="15.75" customHeight="1" x14ac:dyDescent="0.3">
      <c r="E645" s="10"/>
      <c r="F645" s="10"/>
    </row>
    <row r="646" spans="5:6" ht="15.75" customHeight="1" x14ac:dyDescent="0.3">
      <c r="E646" s="10"/>
      <c r="F646" s="10"/>
    </row>
    <row r="647" spans="5:6" ht="15.75" customHeight="1" x14ac:dyDescent="0.3">
      <c r="E647" s="10"/>
      <c r="F647" s="10"/>
    </row>
    <row r="648" spans="5:6" ht="15.75" customHeight="1" x14ac:dyDescent="0.3">
      <c r="E648" s="10"/>
      <c r="F648" s="10"/>
    </row>
    <row r="649" spans="5:6" ht="15.75" customHeight="1" x14ac:dyDescent="0.3">
      <c r="E649" s="10"/>
      <c r="F649" s="10"/>
    </row>
    <row r="650" spans="5:6" ht="15.75" customHeight="1" x14ac:dyDescent="0.3">
      <c r="E650" s="10"/>
      <c r="F650" s="10"/>
    </row>
    <row r="651" spans="5:6" ht="15.75" customHeight="1" x14ac:dyDescent="0.3">
      <c r="E651" s="10"/>
      <c r="F651" s="10"/>
    </row>
    <row r="652" spans="5:6" ht="15.75" customHeight="1" x14ac:dyDescent="0.3">
      <c r="E652" s="10"/>
      <c r="F652" s="10"/>
    </row>
    <row r="653" spans="5:6" ht="15.75" customHeight="1" x14ac:dyDescent="0.3">
      <c r="E653" s="10"/>
      <c r="F653" s="10"/>
    </row>
    <row r="654" spans="5:6" ht="15.75" customHeight="1" x14ac:dyDescent="0.3">
      <c r="E654" s="10"/>
      <c r="F654" s="10"/>
    </row>
    <row r="655" spans="5:6" ht="15.75" customHeight="1" x14ac:dyDescent="0.3">
      <c r="E655" s="10"/>
      <c r="F655" s="10"/>
    </row>
    <row r="656" spans="5:6" ht="15.75" customHeight="1" x14ac:dyDescent="0.3">
      <c r="E656" s="10"/>
      <c r="F656" s="10"/>
    </row>
    <row r="657" spans="5:6" ht="15.75" customHeight="1" x14ac:dyDescent="0.3">
      <c r="E657" s="10"/>
      <c r="F657" s="10"/>
    </row>
    <row r="658" spans="5:6" ht="15.75" customHeight="1" x14ac:dyDescent="0.3">
      <c r="E658" s="10"/>
      <c r="F658" s="10"/>
    </row>
    <row r="659" spans="5:6" ht="15.75" customHeight="1" x14ac:dyDescent="0.3">
      <c r="E659" s="10"/>
      <c r="F659" s="10"/>
    </row>
    <row r="660" spans="5:6" ht="15.75" customHeight="1" x14ac:dyDescent="0.3">
      <c r="E660" s="10"/>
      <c r="F660" s="10"/>
    </row>
    <row r="661" spans="5:6" ht="15.75" customHeight="1" x14ac:dyDescent="0.3">
      <c r="E661" s="10"/>
      <c r="F661" s="10"/>
    </row>
    <row r="662" spans="5:6" ht="15.75" customHeight="1" x14ac:dyDescent="0.3">
      <c r="E662" s="10"/>
      <c r="F662" s="10"/>
    </row>
    <row r="663" spans="5:6" ht="15.75" customHeight="1" x14ac:dyDescent="0.3">
      <c r="E663" s="10"/>
      <c r="F663" s="10"/>
    </row>
    <row r="664" spans="5:6" ht="15.75" customHeight="1" x14ac:dyDescent="0.3">
      <c r="E664" s="10"/>
      <c r="F664" s="10"/>
    </row>
    <row r="665" spans="5:6" ht="15.75" customHeight="1" x14ac:dyDescent="0.3">
      <c r="E665" s="10"/>
      <c r="F665" s="10"/>
    </row>
    <row r="666" spans="5:6" ht="15.75" customHeight="1" x14ac:dyDescent="0.3">
      <c r="E666" s="10"/>
      <c r="F666" s="10"/>
    </row>
    <row r="667" spans="5:6" ht="15.75" customHeight="1" x14ac:dyDescent="0.3">
      <c r="E667" s="10"/>
      <c r="F667" s="10"/>
    </row>
    <row r="668" spans="5:6" ht="15.75" customHeight="1" x14ac:dyDescent="0.3">
      <c r="E668" s="10"/>
      <c r="F668" s="10"/>
    </row>
    <row r="669" spans="5:6" ht="15.75" customHeight="1" x14ac:dyDescent="0.3">
      <c r="E669" s="10"/>
      <c r="F669" s="10"/>
    </row>
    <row r="670" spans="5:6" ht="15.75" customHeight="1" x14ac:dyDescent="0.3">
      <c r="E670" s="10"/>
      <c r="F670" s="10"/>
    </row>
    <row r="671" spans="5:6" ht="15.75" customHeight="1" x14ac:dyDescent="0.3">
      <c r="E671" s="10"/>
      <c r="F671" s="10"/>
    </row>
    <row r="672" spans="5:6" ht="15.75" customHeight="1" x14ac:dyDescent="0.3">
      <c r="E672" s="10"/>
      <c r="F672" s="10"/>
    </row>
    <row r="673" spans="5:6" ht="15.75" customHeight="1" x14ac:dyDescent="0.3">
      <c r="E673" s="10"/>
      <c r="F673" s="10"/>
    </row>
    <row r="674" spans="5:6" ht="15.75" customHeight="1" x14ac:dyDescent="0.3">
      <c r="E674" s="10"/>
      <c r="F674" s="10"/>
    </row>
    <row r="675" spans="5:6" ht="15.75" customHeight="1" x14ac:dyDescent="0.3">
      <c r="E675" s="10"/>
      <c r="F675" s="10"/>
    </row>
    <row r="676" spans="5:6" ht="15.75" customHeight="1" x14ac:dyDescent="0.3">
      <c r="E676" s="10"/>
      <c r="F676" s="10"/>
    </row>
    <row r="677" spans="5:6" ht="15.75" customHeight="1" x14ac:dyDescent="0.3">
      <c r="E677" s="10"/>
      <c r="F677" s="10"/>
    </row>
    <row r="678" spans="5:6" ht="15.75" customHeight="1" x14ac:dyDescent="0.3">
      <c r="E678" s="10"/>
      <c r="F678" s="10"/>
    </row>
    <row r="679" spans="5:6" ht="15.75" customHeight="1" x14ac:dyDescent="0.3">
      <c r="E679" s="10"/>
      <c r="F679" s="10"/>
    </row>
    <row r="680" spans="5:6" ht="15.75" customHeight="1" x14ac:dyDescent="0.3">
      <c r="E680" s="10"/>
      <c r="F680" s="10"/>
    </row>
    <row r="681" spans="5:6" ht="15.75" customHeight="1" x14ac:dyDescent="0.3">
      <c r="E681" s="10"/>
      <c r="F681" s="10"/>
    </row>
    <row r="682" spans="5:6" ht="15.75" customHeight="1" x14ac:dyDescent="0.3">
      <c r="E682" s="10"/>
      <c r="F682" s="10"/>
    </row>
    <row r="683" spans="5:6" ht="15.75" customHeight="1" x14ac:dyDescent="0.3">
      <c r="E683" s="10"/>
      <c r="F683" s="10"/>
    </row>
    <row r="684" spans="5:6" ht="15.75" customHeight="1" x14ac:dyDescent="0.3">
      <c r="E684" s="10"/>
      <c r="F684" s="10"/>
    </row>
    <row r="685" spans="5:6" ht="15.75" customHeight="1" x14ac:dyDescent="0.3">
      <c r="E685" s="10"/>
      <c r="F685" s="10"/>
    </row>
    <row r="686" spans="5:6" ht="15.75" customHeight="1" x14ac:dyDescent="0.3">
      <c r="E686" s="10"/>
      <c r="F686" s="10"/>
    </row>
    <row r="687" spans="5:6" ht="15.75" customHeight="1" x14ac:dyDescent="0.3">
      <c r="E687" s="10"/>
      <c r="F687" s="10"/>
    </row>
    <row r="688" spans="5:6" ht="15.75" customHeight="1" x14ac:dyDescent="0.3">
      <c r="E688" s="10"/>
      <c r="F688" s="10"/>
    </row>
    <row r="689" spans="5:6" ht="15.75" customHeight="1" x14ac:dyDescent="0.3">
      <c r="E689" s="10"/>
      <c r="F689" s="10"/>
    </row>
    <row r="690" spans="5:6" ht="15.75" customHeight="1" x14ac:dyDescent="0.3">
      <c r="E690" s="10"/>
      <c r="F690" s="10"/>
    </row>
    <row r="691" spans="5:6" ht="15.75" customHeight="1" x14ac:dyDescent="0.3">
      <c r="E691" s="10"/>
      <c r="F691" s="10"/>
    </row>
    <row r="692" spans="5:6" ht="15.75" customHeight="1" x14ac:dyDescent="0.3">
      <c r="E692" s="10"/>
      <c r="F692" s="10"/>
    </row>
    <row r="693" spans="5:6" ht="15.75" customHeight="1" x14ac:dyDescent="0.3">
      <c r="E693" s="10"/>
      <c r="F693" s="10"/>
    </row>
    <row r="694" spans="5:6" ht="15.75" customHeight="1" x14ac:dyDescent="0.3">
      <c r="E694" s="10"/>
      <c r="F694" s="10"/>
    </row>
    <row r="695" spans="5:6" ht="15.75" customHeight="1" x14ac:dyDescent="0.3">
      <c r="E695" s="10"/>
      <c r="F695" s="10"/>
    </row>
    <row r="696" spans="5:6" ht="15.75" customHeight="1" x14ac:dyDescent="0.3">
      <c r="E696" s="10"/>
      <c r="F696" s="10"/>
    </row>
    <row r="697" spans="5:6" ht="15.75" customHeight="1" x14ac:dyDescent="0.3">
      <c r="E697" s="10"/>
      <c r="F697" s="10"/>
    </row>
    <row r="698" spans="5:6" ht="15.75" customHeight="1" x14ac:dyDescent="0.3">
      <c r="E698" s="10"/>
      <c r="F698" s="10"/>
    </row>
    <row r="699" spans="5:6" ht="15.75" customHeight="1" x14ac:dyDescent="0.3">
      <c r="E699" s="10"/>
      <c r="F699" s="10"/>
    </row>
    <row r="700" spans="5:6" ht="15.75" customHeight="1" x14ac:dyDescent="0.3">
      <c r="E700" s="10"/>
      <c r="F700" s="10"/>
    </row>
    <row r="701" spans="5:6" ht="15.75" customHeight="1" x14ac:dyDescent="0.3">
      <c r="E701" s="10"/>
      <c r="F701" s="10"/>
    </row>
    <row r="702" spans="5:6" ht="15.75" customHeight="1" x14ac:dyDescent="0.3">
      <c r="E702" s="10"/>
      <c r="F702" s="10"/>
    </row>
    <row r="703" spans="5:6" ht="15.75" customHeight="1" x14ac:dyDescent="0.3">
      <c r="E703" s="10"/>
      <c r="F703" s="10"/>
    </row>
    <row r="704" spans="5:6" ht="15.75" customHeight="1" x14ac:dyDescent="0.3">
      <c r="E704" s="10"/>
      <c r="F704" s="10"/>
    </row>
    <row r="705" spans="5:6" ht="15.75" customHeight="1" x14ac:dyDescent="0.3">
      <c r="E705" s="10"/>
      <c r="F705" s="10"/>
    </row>
    <row r="706" spans="5:6" ht="15.75" customHeight="1" x14ac:dyDescent="0.3">
      <c r="E706" s="10"/>
      <c r="F706" s="10"/>
    </row>
    <row r="707" spans="5:6" ht="15.75" customHeight="1" x14ac:dyDescent="0.3">
      <c r="E707" s="10"/>
      <c r="F707" s="10"/>
    </row>
    <row r="708" spans="5:6" ht="15.75" customHeight="1" x14ac:dyDescent="0.3">
      <c r="E708" s="10"/>
      <c r="F708" s="10"/>
    </row>
    <row r="709" spans="5:6" ht="15.75" customHeight="1" x14ac:dyDescent="0.3">
      <c r="E709" s="10"/>
      <c r="F709" s="10"/>
    </row>
    <row r="710" spans="5:6" ht="15.75" customHeight="1" x14ac:dyDescent="0.3">
      <c r="E710" s="10"/>
      <c r="F710" s="10"/>
    </row>
    <row r="711" spans="5:6" ht="15.75" customHeight="1" x14ac:dyDescent="0.3">
      <c r="E711" s="10"/>
      <c r="F711" s="10"/>
    </row>
    <row r="712" spans="5:6" ht="15.75" customHeight="1" x14ac:dyDescent="0.3">
      <c r="E712" s="10"/>
      <c r="F712" s="10"/>
    </row>
    <row r="713" spans="5:6" ht="15.75" customHeight="1" x14ac:dyDescent="0.3">
      <c r="E713" s="10"/>
      <c r="F713" s="10"/>
    </row>
    <row r="714" spans="5:6" ht="15.75" customHeight="1" x14ac:dyDescent="0.3">
      <c r="E714" s="10"/>
      <c r="F714" s="10"/>
    </row>
    <row r="715" spans="5:6" ht="15.75" customHeight="1" x14ac:dyDescent="0.3">
      <c r="E715" s="10"/>
      <c r="F715" s="10"/>
    </row>
    <row r="716" spans="5:6" ht="15.75" customHeight="1" x14ac:dyDescent="0.3">
      <c r="E716" s="10"/>
      <c r="F716" s="10"/>
    </row>
    <row r="717" spans="5:6" ht="15.75" customHeight="1" x14ac:dyDescent="0.3">
      <c r="E717" s="10"/>
      <c r="F717" s="10"/>
    </row>
    <row r="718" spans="5:6" ht="15.75" customHeight="1" x14ac:dyDescent="0.3">
      <c r="E718" s="10"/>
      <c r="F718" s="10"/>
    </row>
    <row r="719" spans="5:6" ht="15.75" customHeight="1" x14ac:dyDescent="0.3">
      <c r="E719" s="10"/>
      <c r="F719" s="10"/>
    </row>
    <row r="720" spans="5:6" ht="15.75" customHeight="1" x14ac:dyDescent="0.3">
      <c r="E720" s="10"/>
      <c r="F720" s="10"/>
    </row>
    <row r="721" spans="5:6" ht="15.75" customHeight="1" x14ac:dyDescent="0.3">
      <c r="E721" s="10"/>
      <c r="F721" s="10"/>
    </row>
    <row r="722" spans="5:6" ht="15.75" customHeight="1" x14ac:dyDescent="0.3">
      <c r="E722" s="10"/>
      <c r="F722" s="10"/>
    </row>
    <row r="723" spans="5:6" ht="15.75" customHeight="1" x14ac:dyDescent="0.3">
      <c r="E723" s="10"/>
      <c r="F723" s="10"/>
    </row>
    <row r="724" spans="5:6" ht="15.75" customHeight="1" x14ac:dyDescent="0.3">
      <c r="E724" s="10"/>
      <c r="F724" s="10"/>
    </row>
    <row r="725" spans="5:6" ht="15.75" customHeight="1" x14ac:dyDescent="0.3">
      <c r="E725" s="10"/>
      <c r="F725" s="10"/>
    </row>
    <row r="726" spans="5:6" ht="15.75" customHeight="1" x14ac:dyDescent="0.3">
      <c r="E726" s="10"/>
      <c r="F726" s="10"/>
    </row>
    <row r="727" spans="5:6" ht="15.75" customHeight="1" x14ac:dyDescent="0.3">
      <c r="E727" s="10"/>
      <c r="F727" s="10"/>
    </row>
    <row r="728" spans="5:6" ht="15.75" customHeight="1" x14ac:dyDescent="0.3">
      <c r="E728" s="10"/>
      <c r="F728" s="10"/>
    </row>
    <row r="729" spans="5:6" ht="15.75" customHeight="1" x14ac:dyDescent="0.3">
      <c r="E729" s="10"/>
      <c r="F729" s="10"/>
    </row>
    <row r="730" spans="5:6" ht="15.75" customHeight="1" x14ac:dyDescent="0.3">
      <c r="E730" s="10"/>
      <c r="F730" s="10"/>
    </row>
    <row r="731" spans="5:6" ht="15.75" customHeight="1" x14ac:dyDescent="0.3">
      <c r="E731" s="10"/>
      <c r="F731" s="10"/>
    </row>
    <row r="732" spans="5:6" ht="15.75" customHeight="1" x14ac:dyDescent="0.3">
      <c r="E732" s="10"/>
      <c r="F732" s="10"/>
    </row>
    <row r="733" spans="5:6" ht="15.75" customHeight="1" x14ac:dyDescent="0.3">
      <c r="E733" s="10"/>
      <c r="F733" s="10"/>
    </row>
    <row r="734" spans="5:6" ht="15.75" customHeight="1" x14ac:dyDescent="0.3">
      <c r="E734" s="10"/>
      <c r="F734" s="10"/>
    </row>
    <row r="735" spans="5:6" ht="15.75" customHeight="1" x14ac:dyDescent="0.3">
      <c r="E735" s="10"/>
      <c r="F735" s="10"/>
    </row>
    <row r="736" spans="5:6" ht="15.75" customHeight="1" x14ac:dyDescent="0.3">
      <c r="E736" s="10"/>
      <c r="F736" s="10"/>
    </row>
    <row r="737" spans="5:6" ht="15.75" customHeight="1" x14ac:dyDescent="0.3">
      <c r="E737" s="10"/>
      <c r="F737" s="10"/>
    </row>
    <row r="738" spans="5:6" ht="15.75" customHeight="1" x14ac:dyDescent="0.3">
      <c r="E738" s="10"/>
      <c r="F738" s="10"/>
    </row>
    <row r="739" spans="5:6" ht="15.75" customHeight="1" x14ac:dyDescent="0.3">
      <c r="E739" s="10"/>
      <c r="F739" s="10"/>
    </row>
    <row r="740" spans="5:6" ht="15.75" customHeight="1" x14ac:dyDescent="0.3">
      <c r="E740" s="10"/>
      <c r="F740" s="10"/>
    </row>
    <row r="741" spans="5:6" ht="15.75" customHeight="1" x14ac:dyDescent="0.3">
      <c r="E741" s="10"/>
      <c r="F741" s="10"/>
    </row>
    <row r="742" spans="5:6" ht="15.75" customHeight="1" x14ac:dyDescent="0.3">
      <c r="E742" s="10"/>
      <c r="F742" s="10"/>
    </row>
    <row r="743" spans="5:6" ht="15.75" customHeight="1" x14ac:dyDescent="0.3">
      <c r="E743" s="10"/>
      <c r="F743" s="10"/>
    </row>
    <row r="744" spans="5:6" ht="15.75" customHeight="1" x14ac:dyDescent="0.3">
      <c r="E744" s="10"/>
      <c r="F744" s="10"/>
    </row>
    <row r="745" spans="5:6" ht="15.75" customHeight="1" x14ac:dyDescent="0.3">
      <c r="E745" s="10"/>
      <c r="F745" s="10"/>
    </row>
    <row r="746" spans="5:6" ht="15.75" customHeight="1" x14ac:dyDescent="0.3">
      <c r="E746" s="10"/>
      <c r="F746" s="10"/>
    </row>
    <row r="747" spans="5:6" ht="15.75" customHeight="1" x14ac:dyDescent="0.3">
      <c r="E747" s="10"/>
      <c r="F747" s="10"/>
    </row>
    <row r="748" spans="5:6" ht="15.75" customHeight="1" x14ac:dyDescent="0.3">
      <c r="E748" s="10"/>
      <c r="F748" s="10"/>
    </row>
    <row r="749" spans="5:6" ht="15.75" customHeight="1" x14ac:dyDescent="0.3">
      <c r="E749" s="10"/>
      <c r="F749" s="10"/>
    </row>
    <row r="750" spans="5:6" ht="15.75" customHeight="1" x14ac:dyDescent="0.3">
      <c r="E750" s="10"/>
      <c r="F750" s="10"/>
    </row>
    <row r="751" spans="5:6" ht="15.75" customHeight="1" x14ac:dyDescent="0.3">
      <c r="E751" s="10"/>
      <c r="F751" s="10"/>
    </row>
    <row r="752" spans="5:6" ht="15.75" customHeight="1" x14ac:dyDescent="0.3">
      <c r="E752" s="10"/>
      <c r="F752" s="10"/>
    </row>
    <row r="753" spans="5:6" ht="15.75" customHeight="1" x14ac:dyDescent="0.3">
      <c r="E753" s="10"/>
      <c r="F753" s="10"/>
    </row>
    <row r="754" spans="5:6" ht="15.75" customHeight="1" x14ac:dyDescent="0.3">
      <c r="E754" s="10"/>
      <c r="F754" s="10"/>
    </row>
    <row r="755" spans="5:6" ht="15.75" customHeight="1" x14ac:dyDescent="0.3">
      <c r="E755" s="10"/>
      <c r="F755" s="10"/>
    </row>
    <row r="756" spans="5:6" ht="15.75" customHeight="1" x14ac:dyDescent="0.3">
      <c r="E756" s="10"/>
      <c r="F756" s="10"/>
    </row>
    <row r="757" spans="5:6" ht="15.75" customHeight="1" x14ac:dyDescent="0.3">
      <c r="E757" s="10"/>
      <c r="F757" s="10"/>
    </row>
    <row r="758" spans="5:6" ht="15.75" customHeight="1" x14ac:dyDescent="0.3">
      <c r="E758" s="10"/>
      <c r="F758" s="10"/>
    </row>
    <row r="759" spans="5:6" ht="15.75" customHeight="1" x14ac:dyDescent="0.3">
      <c r="E759" s="10"/>
      <c r="F759" s="10"/>
    </row>
    <row r="760" spans="5:6" ht="15.75" customHeight="1" x14ac:dyDescent="0.3">
      <c r="E760" s="10"/>
      <c r="F760" s="10"/>
    </row>
    <row r="761" spans="5:6" ht="15.75" customHeight="1" x14ac:dyDescent="0.3">
      <c r="E761" s="10"/>
      <c r="F761" s="10"/>
    </row>
    <row r="762" spans="5:6" ht="15.75" customHeight="1" x14ac:dyDescent="0.3">
      <c r="E762" s="10"/>
      <c r="F762" s="10"/>
    </row>
    <row r="763" spans="5:6" ht="15.75" customHeight="1" x14ac:dyDescent="0.3">
      <c r="E763" s="10"/>
      <c r="F763" s="10"/>
    </row>
    <row r="764" spans="5:6" ht="15.75" customHeight="1" x14ac:dyDescent="0.3">
      <c r="E764" s="10"/>
      <c r="F764" s="10"/>
    </row>
    <row r="765" spans="5:6" ht="15.75" customHeight="1" x14ac:dyDescent="0.3">
      <c r="E765" s="10"/>
      <c r="F765" s="10"/>
    </row>
    <row r="766" spans="5:6" ht="15.75" customHeight="1" x14ac:dyDescent="0.3">
      <c r="E766" s="10"/>
      <c r="F766" s="10"/>
    </row>
    <row r="767" spans="5:6" ht="15.75" customHeight="1" x14ac:dyDescent="0.3">
      <c r="E767" s="10"/>
      <c r="F767" s="10"/>
    </row>
    <row r="768" spans="5:6" ht="15.75" customHeight="1" x14ac:dyDescent="0.3">
      <c r="E768" s="10"/>
      <c r="F768" s="10"/>
    </row>
    <row r="769" spans="5:6" ht="15.75" customHeight="1" x14ac:dyDescent="0.3">
      <c r="E769" s="10"/>
      <c r="F769" s="10"/>
    </row>
    <row r="770" spans="5:6" ht="15.75" customHeight="1" x14ac:dyDescent="0.3">
      <c r="E770" s="10"/>
      <c r="F770" s="10"/>
    </row>
    <row r="771" spans="5:6" ht="15.75" customHeight="1" x14ac:dyDescent="0.3">
      <c r="E771" s="10"/>
      <c r="F771" s="10"/>
    </row>
    <row r="772" spans="5:6" ht="15.75" customHeight="1" x14ac:dyDescent="0.3">
      <c r="E772" s="10"/>
      <c r="F772" s="10"/>
    </row>
    <row r="773" spans="5:6" ht="15.75" customHeight="1" x14ac:dyDescent="0.3">
      <c r="E773" s="10"/>
      <c r="F773" s="10"/>
    </row>
    <row r="774" spans="5:6" ht="15.75" customHeight="1" x14ac:dyDescent="0.3">
      <c r="E774" s="10"/>
      <c r="F774" s="10"/>
    </row>
    <row r="775" spans="5:6" ht="15.75" customHeight="1" x14ac:dyDescent="0.3">
      <c r="E775" s="10"/>
      <c r="F775" s="10"/>
    </row>
    <row r="776" spans="5:6" ht="15.75" customHeight="1" x14ac:dyDescent="0.3">
      <c r="E776" s="10"/>
      <c r="F776" s="10"/>
    </row>
    <row r="777" spans="5:6" ht="15.75" customHeight="1" x14ac:dyDescent="0.3">
      <c r="E777" s="10"/>
      <c r="F777" s="10"/>
    </row>
    <row r="778" spans="5:6" ht="15.75" customHeight="1" x14ac:dyDescent="0.3">
      <c r="E778" s="10"/>
      <c r="F778" s="10"/>
    </row>
    <row r="779" spans="5:6" ht="15.75" customHeight="1" x14ac:dyDescent="0.3">
      <c r="E779" s="10"/>
      <c r="F779" s="10"/>
    </row>
    <row r="780" spans="5:6" ht="15.75" customHeight="1" x14ac:dyDescent="0.3">
      <c r="E780" s="10"/>
      <c r="F780" s="10"/>
    </row>
    <row r="781" spans="5:6" ht="15.75" customHeight="1" x14ac:dyDescent="0.3">
      <c r="E781" s="10"/>
      <c r="F781" s="10"/>
    </row>
    <row r="782" spans="5:6" ht="15.75" customHeight="1" x14ac:dyDescent="0.3">
      <c r="E782" s="10"/>
      <c r="F782" s="10"/>
    </row>
    <row r="783" spans="5:6" ht="15.75" customHeight="1" x14ac:dyDescent="0.3">
      <c r="E783" s="10"/>
      <c r="F783" s="10"/>
    </row>
    <row r="784" spans="5:6" ht="15.75" customHeight="1" x14ac:dyDescent="0.3">
      <c r="E784" s="10"/>
      <c r="F784" s="10"/>
    </row>
    <row r="785" spans="5:6" ht="15.75" customHeight="1" x14ac:dyDescent="0.3">
      <c r="E785" s="10"/>
      <c r="F785" s="10"/>
    </row>
    <row r="786" spans="5:6" ht="15.75" customHeight="1" x14ac:dyDescent="0.3">
      <c r="E786" s="10"/>
      <c r="F786" s="10"/>
    </row>
    <row r="787" spans="5:6" ht="15.75" customHeight="1" x14ac:dyDescent="0.3">
      <c r="E787" s="10"/>
      <c r="F787" s="10"/>
    </row>
    <row r="788" spans="5:6" ht="15.75" customHeight="1" x14ac:dyDescent="0.3">
      <c r="E788" s="10"/>
      <c r="F788" s="10"/>
    </row>
    <row r="789" spans="5:6" ht="15.75" customHeight="1" x14ac:dyDescent="0.3">
      <c r="E789" s="10"/>
      <c r="F789" s="10"/>
    </row>
    <row r="790" spans="5:6" ht="15.75" customHeight="1" x14ac:dyDescent="0.3">
      <c r="E790" s="10"/>
      <c r="F790" s="10"/>
    </row>
    <row r="791" spans="5:6" ht="15.75" customHeight="1" x14ac:dyDescent="0.3">
      <c r="E791" s="10"/>
      <c r="F791" s="10"/>
    </row>
    <row r="792" spans="5:6" ht="15.75" customHeight="1" x14ac:dyDescent="0.3">
      <c r="E792" s="10"/>
      <c r="F792" s="10"/>
    </row>
    <row r="793" spans="5:6" ht="15.75" customHeight="1" x14ac:dyDescent="0.3">
      <c r="E793" s="10"/>
      <c r="F793" s="10"/>
    </row>
    <row r="794" spans="5:6" ht="15.75" customHeight="1" x14ac:dyDescent="0.3">
      <c r="E794" s="10"/>
      <c r="F794" s="10"/>
    </row>
    <row r="795" spans="5:6" ht="15.75" customHeight="1" x14ac:dyDescent="0.3">
      <c r="E795" s="10"/>
      <c r="F795" s="10"/>
    </row>
    <row r="796" spans="5:6" ht="15.75" customHeight="1" x14ac:dyDescent="0.3">
      <c r="E796" s="10"/>
      <c r="F796" s="10"/>
    </row>
    <row r="797" spans="5:6" ht="15.75" customHeight="1" x14ac:dyDescent="0.3">
      <c r="E797" s="10"/>
      <c r="F797" s="10"/>
    </row>
    <row r="798" spans="5:6" ht="15.75" customHeight="1" x14ac:dyDescent="0.3">
      <c r="E798" s="10"/>
      <c r="F798" s="10"/>
    </row>
    <row r="799" spans="5:6" ht="15.75" customHeight="1" x14ac:dyDescent="0.3">
      <c r="E799" s="10"/>
      <c r="F799" s="10"/>
    </row>
    <row r="800" spans="5:6" ht="15.75" customHeight="1" x14ac:dyDescent="0.3">
      <c r="E800" s="10"/>
      <c r="F800" s="10"/>
    </row>
    <row r="801" spans="5:6" ht="15.75" customHeight="1" x14ac:dyDescent="0.3">
      <c r="E801" s="10"/>
      <c r="F801" s="10"/>
    </row>
    <row r="802" spans="5:6" ht="15.75" customHeight="1" x14ac:dyDescent="0.3">
      <c r="E802" s="10"/>
      <c r="F802" s="10"/>
    </row>
    <row r="803" spans="5:6" ht="15.75" customHeight="1" x14ac:dyDescent="0.3">
      <c r="E803" s="10"/>
      <c r="F803" s="10"/>
    </row>
    <row r="804" spans="5:6" ht="15.75" customHeight="1" x14ac:dyDescent="0.3">
      <c r="E804" s="10"/>
      <c r="F804" s="10"/>
    </row>
    <row r="805" spans="5:6" ht="15.75" customHeight="1" x14ac:dyDescent="0.3">
      <c r="E805" s="10"/>
      <c r="F805" s="10"/>
    </row>
    <row r="806" spans="5:6" ht="15.75" customHeight="1" x14ac:dyDescent="0.3">
      <c r="E806" s="10"/>
      <c r="F806" s="10"/>
    </row>
    <row r="807" spans="5:6" ht="15.75" customHeight="1" x14ac:dyDescent="0.3">
      <c r="E807" s="10"/>
      <c r="F807" s="10"/>
    </row>
    <row r="808" spans="5:6" ht="15.75" customHeight="1" x14ac:dyDescent="0.3">
      <c r="E808" s="10"/>
      <c r="F808" s="10"/>
    </row>
    <row r="809" spans="5:6" ht="15.75" customHeight="1" x14ac:dyDescent="0.3">
      <c r="E809" s="10"/>
      <c r="F809" s="10"/>
    </row>
    <row r="810" spans="5:6" ht="15.75" customHeight="1" x14ac:dyDescent="0.3">
      <c r="E810" s="10"/>
      <c r="F810" s="10"/>
    </row>
    <row r="811" spans="5:6" ht="15.75" customHeight="1" x14ac:dyDescent="0.3">
      <c r="E811" s="10"/>
      <c r="F811" s="10"/>
    </row>
    <row r="812" spans="5:6" ht="15.75" customHeight="1" x14ac:dyDescent="0.3">
      <c r="E812" s="10"/>
      <c r="F812" s="10"/>
    </row>
    <row r="813" spans="5:6" ht="15.75" customHeight="1" x14ac:dyDescent="0.3">
      <c r="E813" s="10"/>
      <c r="F813" s="10"/>
    </row>
    <row r="814" spans="5:6" ht="15.75" customHeight="1" x14ac:dyDescent="0.3">
      <c r="E814" s="10"/>
      <c r="F814" s="10"/>
    </row>
    <row r="815" spans="5:6" ht="15.75" customHeight="1" x14ac:dyDescent="0.3">
      <c r="E815" s="10"/>
      <c r="F815" s="10"/>
    </row>
    <row r="816" spans="5:6" ht="15.75" customHeight="1" x14ac:dyDescent="0.3">
      <c r="E816" s="10"/>
      <c r="F816" s="10"/>
    </row>
    <row r="817" spans="5:6" ht="15.75" customHeight="1" x14ac:dyDescent="0.3">
      <c r="E817" s="10"/>
      <c r="F817" s="10"/>
    </row>
    <row r="818" spans="5:6" ht="15.75" customHeight="1" x14ac:dyDescent="0.3">
      <c r="E818" s="10"/>
      <c r="F818" s="10"/>
    </row>
    <row r="819" spans="5:6" ht="15.75" customHeight="1" x14ac:dyDescent="0.3">
      <c r="E819" s="10"/>
      <c r="F819" s="10"/>
    </row>
    <row r="820" spans="5:6" ht="15.75" customHeight="1" x14ac:dyDescent="0.3">
      <c r="E820" s="10"/>
      <c r="F820" s="10"/>
    </row>
    <row r="821" spans="5:6" ht="15.75" customHeight="1" x14ac:dyDescent="0.3">
      <c r="E821" s="10"/>
      <c r="F821" s="10"/>
    </row>
    <row r="822" spans="5:6" ht="15.75" customHeight="1" x14ac:dyDescent="0.3">
      <c r="E822" s="10"/>
      <c r="F822" s="10"/>
    </row>
    <row r="823" spans="5:6" ht="15.75" customHeight="1" x14ac:dyDescent="0.3">
      <c r="E823" s="10"/>
      <c r="F823" s="10"/>
    </row>
    <row r="824" spans="5:6" ht="15.75" customHeight="1" x14ac:dyDescent="0.3">
      <c r="E824" s="10"/>
      <c r="F824" s="10"/>
    </row>
    <row r="825" spans="5:6" ht="15.75" customHeight="1" x14ac:dyDescent="0.3">
      <c r="E825" s="10"/>
      <c r="F825" s="10"/>
    </row>
    <row r="826" spans="5:6" ht="15.75" customHeight="1" x14ac:dyDescent="0.3">
      <c r="E826" s="10"/>
      <c r="F826" s="10"/>
    </row>
    <row r="827" spans="5:6" ht="15.75" customHeight="1" x14ac:dyDescent="0.3">
      <c r="E827" s="10"/>
      <c r="F827" s="10"/>
    </row>
    <row r="828" spans="5:6" ht="15.75" customHeight="1" x14ac:dyDescent="0.3">
      <c r="E828" s="10"/>
      <c r="F828" s="10"/>
    </row>
    <row r="829" spans="5:6" ht="15.75" customHeight="1" x14ac:dyDescent="0.3">
      <c r="E829" s="10"/>
      <c r="F829" s="10"/>
    </row>
    <row r="830" spans="5:6" ht="15.75" customHeight="1" x14ac:dyDescent="0.3">
      <c r="E830" s="10"/>
      <c r="F830" s="10"/>
    </row>
    <row r="831" spans="5:6" ht="15.75" customHeight="1" x14ac:dyDescent="0.3">
      <c r="E831" s="10"/>
      <c r="F831" s="10"/>
    </row>
    <row r="832" spans="5:6" ht="15.75" customHeight="1" x14ac:dyDescent="0.3">
      <c r="E832" s="10"/>
      <c r="F832" s="10"/>
    </row>
    <row r="833" spans="5:6" ht="15.75" customHeight="1" x14ac:dyDescent="0.3">
      <c r="E833" s="10"/>
      <c r="F833" s="10"/>
    </row>
    <row r="834" spans="5:6" ht="15.75" customHeight="1" x14ac:dyDescent="0.3">
      <c r="E834" s="10"/>
      <c r="F834" s="10"/>
    </row>
    <row r="835" spans="5:6" ht="15.75" customHeight="1" x14ac:dyDescent="0.3">
      <c r="E835" s="10"/>
      <c r="F835" s="10"/>
    </row>
    <row r="836" spans="5:6" ht="15.75" customHeight="1" x14ac:dyDescent="0.3">
      <c r="E836" s="10"/>
      <c r="F836" s="10"/>
    </row>
    <row r="837" spans="5:6" ht="15.75" customHeight="1" x14ac:dyDescent="0.3">
      <c r="E837" s="10"/>
      <c r="F837" s="10"/>
    </row>
    <row r="838" spans="5:6" ht="15.75" customHeight="1" x14ac:dyDescent="0.3">
      <c r="E838" s="10"/>
      <c r="F838" s="10"/>
    </row>
    <row r="839" spans="5:6" ht="15.75" customHeight="1" x14ac:dyDescent="0.3">
      <c r="E839" s="10"/>
      <c r="F839" s="10"/>
    </row>
    <row r="840" spans="5:6" ht="15.75" customHeight="1" x14ac:dyDescent="0.3">
      <c r="E840" s="10"/>
      <c r="F840" s="10"/>
    </row>
    <row r="841" spans="5:6" ht="15.75" customHeight="1" x14ac:dyDescent="0.3">
      <c r="E841" s="10"/>
      <c r="F841" s="10"/>
    </row>
    <row r="842" spans="5:6" ht="15.75" customHeight="1" x14ac:dyDescent="0.3">
      <c r="E842" s="10"/>
      <c r="F842" s="10"/>
    </row>
    <row r="843" spans="5:6" ht="15.75" customHeight="1" x14ac:dyDescent="0.3">
      <c r="E843" s="10"/>
      <c r="F843" s="10"/>
    </row>
    <row r="844" spans="5:6" ht="15.75" customHeight="1" x14ac:dyDescent="0.3">
      <c r="E844" s="10"/>
      <c r="F844" s="10"/>
    </row>
    <row r="845" spans="5:6" ht="15.75" customHeight="1" x14ac:dyDescent="0.3">
      <c r="E845" s="10"/>
      <c r="F845" s="10"/>
    </row>
    <row r="846" spans="5:6" ht="15.75" customHeight="1" x14ac:dyDescent="0.3">
      <c r="E846" s="10"/>
      <c r="F846" s="10"/>
    </row>
    <row r="847" spans="5:6" ht="15.75" customHeight="1" x14ac:dyDescent="0.3">
      <c r="E847" s="10"/>
      <c r="F847" s="10"/>
    </row>
    <row r="848" spans="5:6" ht="15.75" customHeight="1" x14ac:dyDescent="0.3">
      <c r="E848" s="10"/>
      <c r="F848" s="10"/>
    </row>
    <row r="849" spans="5:6" ht="15.75" customHeight="1" x14ac:dyDescent="0.3">
      <c r="E849" s="10"/>
      <c r="F849" s="10"/>
    </row>
    <row r="850" spans="5:6" ht="15.75" customHeight="1" x14ac:dyDescent="0.3">
      <c r="E850" s="10"/>
      <c r="F850" s="10"/>
    </row>
    <row r="851" spans="5:6" ht="15.75" customHeight="1" x14ac:dyDescent="0.3">
      <c r="E851" s="10"/>
      <c r="F851" s="10"/>
    </row>
    <row r="852" spans="5:6" ht="15.75" customHeight="1" x14ac:dyDescent="0.3">
      <c r="E852" s="10"/>
      <c r="F852" s="10"/>
    </row>
    <row r="853" spans="5:6" ht="15.75" customHeight="1" x14ac:dyDescent="0.3">
      <c r="E853" s="10"/>
      <c r="F853" s="10"/>
    </row>
    <row r="854" spans="5:6" ht="15.75" customHeight="1" x14ac:dyDescent="0.3">
      <c r="E854" s="10"/>
      <c r="F854" s="10"/>
    </row>
    <row r="855" spans="5:6" ht="15.75" customHeight="1" x14ac:dyDescent="0.3">
      <c r="E855" s="10"/>
      <c r="F855" s="10"/>
    </row>
    <row r="856" spans="5:6" ht="15.75" customHeight="1" x14ac:dyDescent="0.3">
      <c r="E856" s="10"/>
      <c r="F856" s="10"/>
    </row>
    <row r="857" spans="5:6" ht="15.75" customHeight="1" x14ac:dyDescent="0.3">
      <c r="E857" s="10"/>
      <c r="F857" s="10"/>
    </row>
    <row r="858" spans="5:6" ht="15.75" customHeight="1" x14ac:dyDescent="0.3">
      <c r="E858" s="10"/>
      <c r="F858" s="10"/>
    </row>
    <row r="859" spans="5:6" ht="15.75" customHeight="1" x14ac:dyDescent="0.3">
      <c r="E859" s="10"/>
      <c r="F859" s="10"/>
    </row>
    <row r="860" spans="5:6" ht="15.75" customHeight="1" x14ac:dyDescent="0.3">
      <c r="E860" s="10"/>
      <c r="F860" s="10"/>
    </row>
    <row r="861" spans="5:6" ht="15.75" customHeight="1" x14ac:dyDescent="0.3">
      <c r="E861" s="10"/>
      <c r="F861" s="10"/>
    </row>
    <row r="862" spans="5:6" ht="15.75" customHeight="1" x14ac:dyDescent="0.3">
      <c r="E862" s="10"/>
      <c r="F862" s="10"/>
    </row>
    <row r="863" spans="5:6" ht="15.75" customHeight="1" x14ac:dyDescent="0.3">
      <c r="E863" s="10"/>
      <c r="F863" s="10"/>
    </row>
    <row r="864" spans="5:6" ht="15.75" customHeight="1" x14ac:dyDescent="0.3">
      <c r="E864" s="10"/>
      <c r="F864" s="10"/>
    </row>
    <row r="865" spans="5:6" ht="15.75" customHeight="1" x14ac:dyDescent="0.3">
      <c r="E865" s="10"/>
      <c r="F865" s="10"/>
    </row>
    <row r="866" spans="5:6" ht="15.75" customHeight="1" x14ac:dyDescent="0.3">
      <c r="E866" s="10"/>
      <c r="F866" s="10"/>
    </row>
    <row r="867" spans="5:6" ht="15.75" customHeight="1" x14ac:dyDescent="0.3">
      <c r="E867" s="10"/>
      <c r="F867" s="10"/>
    </row>
    <row r="868" spans="5:6" ht="15.75" customHeight="1" x14ac:dyDescent="0.3">
      <c r="E868" s="10"/>
      <c r="F868" s="10"/>
    </row>
    <row r="869" spans="5:6" ht="15.75" customHeight="1" x14ac:dyDescent="0.3">
      <c r="E869" s="10"/>
      <c r="F869" s="10"/>
    </row>
    <row r="870" spans="5:6" ht="15.75" customHeight="1" x14ac:dyDescent="0.3">
      <c r="E870" s="10"/>
      <c r="F870" s="10"/>
    </row>
    <row r="871" spans="5:6" ht="15.75" customHeight="1" x14ac:dyDescent="0.3">
      <c r="E871" s="10"/>
      <c r="F871" s="10"/>
    </row>
    <row r="872" spans="5:6" ht="15.75" customHeight="1" x14ac:dyDescent="0.3">
      <c r="E872" s="10"/>
      <c r="F872" s="10"/>
    </row>
    <row r="873" spans="5:6" ht="15.75" customHeight="1" x14ac:dyDescent="0.3">
      <c r="E873" s="10"/>
      <c r="F873" s="10"/>
    </row>
    <row r="874" spans="5:6" ht="15.75" customHeight="1" x14ac:dyDescent="0.3">
      <c r="E874" s="10"/>
      <c r="F874" s="10"/>
    </row>
    <row r="875" spans="5:6" ht="15.75" customHeight="1" x14ac:dyDescent="0.3">
      <c r="E875" s="10"/>
      <c r="F875" s="10"/>
    </row>
    <row r="876" spans="5:6" ht="15.75" customHeight="1" x14ac:dyDescent="0.3">
      <c r="E876" s="10"/>
      <c r="F876" s="10"/>
    </row>
    <row r="877" spans="5:6" ht="15.75" customHeight="1" x14ac:dyDescent="0.3">
      <c r="E877" s="10"/>
      <c r="F877" s="10"/>
    </row>
    <row r="878" spans="5:6" ht="15.75" customHeight="1" x14ac:dyDescent="0.3">
      <c r="E878" s="10"/>
      <c r="F878" s="10"/>
    </row>
    <row r="879" spans="5:6" ht="15.75" customHeight="1" x14ac:dyDescent="0.3">
      <c r="E879" s="10"/>
      <c r="F879" s="10"/>
    </row>
    <row r="880" spans="5:6" ht="15.75" customHeight="1" x14ac:dyDescent="0.3">
      <c r="E880" s="10"/>
      <c r="F880" s="10"/>
    </row>
    <row r="881" spans="5:6" ht="15.75" customHeight="1" x14ac:dyDescent="0.3">
      <c r="E881" s="10"/>
      <c r="F881" s="10"/>
    </row>
    <row r="882" spans="5:6" ht="15.75" customHeight="1" x14ac:dyDescent="0.3">
      <c r="E882" s="10"/>
      <c r="F882" s="10"/>
    </row>
    <row r="883" spans="5:6" ht="15.75" customHeight="1" x14ac:dyDescent="0.3">
      <c r="E883" s="10"/>
      <c r="F883" s="10"/>
    </row>
    <row r="884" spans="5:6" ht="15.75" customHeight="1" x14ac:dyDescent="0.3">
      <c r="E884" s="10"/>
      <c r="F884" s="10"/>
    </row>
    <row r="885" spans="5:6" ht="15.75" customHeight="1" x14ac:dyDescent="0.3">
      <c r="E885" s="10"/>
      <c r="F885" s="10"/>
    </row>
    <row r="886" spans="5:6" ht="15.75" customHeight="1" x14ac:dyDescent="0.3">
      <c r="E886" s="10"/>
      <c r="F886" s="10"/>
    </row>
    <row r="887" spans="5:6" ht="15.75" customHeight="1" x14ac:dyDescent="0.3">
      <c r="E887" s="10"/>
      <c r="F887" s="10"/>
    </row>
    <row r="888" spans="5:6" ht="15.75" customHeight="1" x14ac:dyDescent="0.3">
      <c r="E888" s="10"/>
      <c r="F888" s="10"/>
    </row>
    <row r="889" spans="5:6" ht="15.75" customHeight="1" x14ac:dyDescent="0.3">
      <c r="E889" s="10"/>
      <c r="F889" s="10"/>
    </row>
    <row r="890" spans="5:6" ht="15.75" customHeight="1" x14ac:dyDescent="0.3">
      <c r="E890" s="10"/>
      <c r="F890" s="10"/>
    </row>
    <row r="891" spans="5:6" ht="15.75" customHeight="1" x14ac:dyDescent="0.3">
      <c r="E891" s="10"/>
      <c r="F891" s="10"/>
    </row>
    <row r="892" spans="5:6" ht="15.75" customHeight="1" x14ac:dyDescent="0.3">
      <c r="E892" s="10"/>
      <c r="F892" s="10"/>
    </row>
    <row r="893" spans="5:6" ht="15.75" customHeight="1" x14ac:dyDescent="0.3">
      <c r="E893" s="10"/>
      <c r="F893" s="10"/>
    </row>
    <row r="894" spans="5:6" ht="15.75" customHeight="1" x14ac:dyDescent="0.3">
      <c r="E894" s="10"/>
      <c r="F894" s="10"/>
    </row>
    <row r="895" spans="5:6" ht="15.75" customHeight="1" x14ac:dyDescent="0.3">
      <c r="E895" s="10"/>
      <c r="F895" s="10"/>
    </row>
    <row r="896" spans="5:6" ht="15.75" customHeight="1" x14ac:dyDescent="0.3">
      <c r="E896" s="10"/>
      <c r="F896" s="10"/>
    </row>
    <row r="897" spans="5:6" ht="15.75" customHeight="1" x14ac:dyDescent="0.3">
      <c r="E897" s="10"/>
      <c r="F897" s="10"/>
    </row>
    <row r="898" spans="5:6" ht="15.75" customHeight="1" x14ac:dyDescent="0.3">
      <c r="E898" s="10"/>
      <c r="F898" s="10"/>
    </row>
    <row r="899" spans="5:6" ht="15.75" customHeight="1" x14ac:dyDescent="0.3">
      <c r="E899" s="10"/>
      <c r="F899" s="10"/>
    </row>
    <row r="900" spans="5:6" ht="15.75" customHeight="1" x14ac:dyDescent="0.3">
      <c r="E900" s="10"/>
      <c r="F900" s="10"/>
    </row>
    <row r="901" spans="5:6" ht="15.75" customHeight="1" x14ac:dyDescent="0.3">
      <c r="E901" s="10"/>
      <c r="F901" s="10"/>
    </row>
    <row r="902" spans="5:6" ht="15.75" customHeight="1" x14ac:dyDescent="0.3">
      <c r="E902" s="10"/>
      <c r="F902" s="10"/>
    </row>
    <row r="903" spans="5:6" ht="15.75" customHeight="1" x14ac:dyDescent="0.3">
      <c r="E903" s="10"/>
      <c r="F903" s="10"/>
    </row>
    <row r="904" spans="5:6" ht="15.75" customHeight="1" x14ac:dyDescent="0.3">
      <c r="E904" s="10"/>
      <c r="F904" s="10"/>
    </row>
    <row r="905" spans="5:6" ht="15.75" customHeight="1" x14ac:dyDescent="0.3">
      <c r="E905" s="10"/>
      <c r="F905" s="10"/>
    </row>
    <row r="906" spans="5:6" ht="15.75" customHeight="1" x14ac:dyDescent="0.3">
      <c r="E906" s="10"/>
      <c r="F906" s="10"/>
    </row>
    <row r="907" spans="5:6" ht="15.75" customHeight="1" x14ac:dyDescent="0.3">
      <c r="E907" s="10"/>
      <c r="F907" s="10"/>
    </row>
    <row r="908" spans="5:6" ht="15.75" customHeight="1" x14ac:dyDescent="0.3">
      <c r="E908" s="10"/>
      <c r="F908" s="10"/>
    </row>
    <row r="909" spans="5:6" ht="15.75" customHeight="1" x14ac:dyDescent="0.3">
      <c r="E909" s="10"/>
      <c r="F909" s="10"/>
    </row>
    <row r="910" spans="5:6" ht="15.75" customHeight="1" x14ac:dyDescent="0.3">
      <c r="E910" s="10"/>
      <c r="F910" s="10"/>
    </row>
    <row r="911" spans="5:6" ht="15.75" customHeight="1" x14ac:dyDescent="0.3">
      <c r="E911" s="10"/>
      <c r="F911" s="10"/>
    </row>
    <row r="912" spans="5:6" ht="15.75" customHeight="1" x14ac:dyDescent="0.3">
      <c r="E912" s="10"/>
      <c r="F912" s="10"/>
    </row>
    <row r="913" spans="5:6" ht="15.75" customHeight="1" x14ac:dyDescent="0.3">
      <c r="E913" s="10"/>
      <c r="F913" s="10"/>
    </row>
    <row r="914" spans="5:6" ht="15.75" customHeight="1" x14ac:dyDescent="0.3">
      <c r="E914" s="10"/>
      <c r="F914" s="10"/>
    </row>
    <row r="915" spans="5:6" ht="15.75" customHeight="1" x14ac:dyDescent="0.3">
      <c r="E915" s="10"/>
      <c r="F915" s="10"/>
    </row>
    <row r="916" spans="5:6" ht="15.75" customHeight="1" x14ac:dyDescent="0.3">
      <c r="E916" s="10"/>
      <c r="F916" s="10"/>
    </row>
    <row r="917" spans="5:6" ht="15.75" customHeight="1" x14ac:dyDescent="0.3">
      <c r="E917" s="10"/>
      <c r="F917" s="10"/>
    </row>
    <row r="918" spans="5:6" ht="15.75" customHeight="1" x14ac:dyDescent="0.3">
      <c r="E918" s="10"/>
      <c r="F918" s="10"/>
    </row>
    <row r="919" spans="5:6" ht="15.75" customHeight="1" x14ac:dyDescent="0.3">
      <c r="E919" s="10"/>
      <c r="F919" s="10"/>
    </row>
    <row r="920" spans="5:6" ht="15.75" customHeight="1" x14ac:dyDescent="0.3">
      <c r="E920" s="10"/>
      <c r="F920" s="10"/>
    </row>
    <row r="921" spans="5:6" ht="15.75" customHeight="1" x14ac:dyDescent="0.3">
      <c r="E921" s="10"/>
      <c r="F921" s="10"/>
    </row>
    <row r="922" spans="5:6" ht="15.75" customHeight="1" x14ac:dyDescent="0.3">
      <c r="E922" s="10"/>
      <c r="F922" s="10"/>
    </row>
    <row r="923" spans="5:6" ht="15.75" customHeight="1" x14ac:dyDescent="0.3">
      <c r="E923" s="10"/>
      <c r="F923" s="10"/>
    </row>
    <row r="924" spans="5:6" ht="15.75" customHeight="1" x14ac:dyDescent="0.3">
      <c r="E924" s="10"/>
      <c r="F924" s="10"/>
    </row>
    <row r="925" spans="5:6" ht="15.75" customHeight="1" x14ac:dyDescent="0.3">
      <c r="E925" s="10"/>
      <c r="F925" s="10"/>
    </row>
    <row r="926" spans="5:6" ht="15.75" customHeight="1" x14ac:dyDescent="0.3">
      <c r="E926" s="10"/>
      <c r="F926" s="10"/>
    </row>
    <row r="927" spans="5:6" ht="15.75" customHeight="1" x14ac:dyDescent="0.3">
      <c r="E927" s="10"/>
      <c r="F927" s="10"/>
    </row>
    <row r="928" spans="5:6" ht="15.75" customHeight="1" x14ac:dyDescent="0.3">
      <c r="E928" s="10"/>
      <c r="F928" s="10"/>
    </row>
    <row r="929" spans="5:6" ht="15.75" customHeight="1" x14ac:dyDescent="0.3">
      <c r="E929" s="10"/>
      <c r="F929" s="10"/>
    </row>
    <row r="930" spans="5:6" ht="15.75" customHeight="1" x14ac:dyDescent="0.3">
      <c r="E930" s="10"/>
      <c r="F930" s="10"/>
    </row>
    <row r="931" spans="5:6" ht="15.75" customHeight="1" x14ac:dyDescent="0.3">
      <c r="E931" s="10"/>
      <c r="F931" s="10"/>
    </row>
    <row r="932" spans="5:6" ht="15.75" customHeight="1" x14ac:dyDescent="0.3">
      <c r="E932" s="10"/>
      <c r="F932" s="10"/>
    </row>
    <row r="933" spans="5:6" ht="15.75" customHeight="1" x14ac:dyDescent="0.3">
      <c r="E933" s="10"/>
      <c r="F933" s="10"/>
    </row>
    <row r="934" spans="5:6" ht="15.75" customHeight="1" x14ac:dyDescent="0.3">
      <c r="E934" s="10"/>
      <c r="F934" s="10"/>
    </row>
    <row r="935" spans="5:6" ht="15.75" customHeight="1" x14ac:dyDescent="0.3">
      <c r="E935" s="10"/>
      <c r="F935" s="10"/>
    </row>
    <row r="936" spans="5:6" ht="15.75" customHeight="1" x14ac:dyDescent="0.3">
      <c r="E936" s="10"/>
      <c r="F936" s="10"/>
    </row>
    <row r="937" spans="5:6" ht="15.75" customHeight="1" x14ac:dyDescent="0.3">
      <c r="E937" s="10"/>
      <c r="F937" s="10"/>
    </row>
    <row r="938" spans="5:6" ht="15.75" customHeight="1" x14ac:dyDescent="0.3">
      <c r="E938" s="10"/>
      <c r="F938" s="10"/>
    </row>
    <row r="939" spans="5:6" ht="15.75" customHeight="1" x14ac:dyDescent="0.3">
      <c r="E939" s="10"/>
      <c r="F939" s="10"/>
    </row>
    <row r="940" spans="5:6" ht="15.75" customHeight="1" x14ac:dyDescent="0.3">
      <c r="E940" s="10"/>
      <c r="F940" s="10"/>
    </row>
    <row r="941" spans="5:6" ht="15.75" customHeight="1" x14ac:dyDescent="0.3">
      <c r="E941" s="10"/>
      <c r="F941" s="10"/>
    </row>
    <row r="942" spans="5:6" ht="15.75" customHeight="1" x14ac:dyDescent="0.3">
      <c r="E942" s="10"/>
      <c r="F942" s="10"/>
    </row>
    <row r="943" spans="5:6" ht="15.75" customHeight="1" x14ac:dyDescent="0.3">
      <c r="E943" s="10"/>
      <c r="F943" s="10"/>
    </row>
    <row r="944" spans="5:6" ht="15.75" customHeight="1" x14ac:dyDescent="0.3">
      <c r="E944" s="10"/>
      <c r="F944" s="10"/>
    </row>
    <row r="945" spans="5:6" ht="15.75" customHeight="1" x14ac:dyDescent="0.3">
      <c r="E945" s="10"/>
      <c r="F945" s="10"/>
    </row>
    <row r="946" spans="5:6" ht="15.75" customHeight="1" x14ac:dyDescent="0.3">
      <c r="E946" s="10"/>
      <c r="F946" s="10"/>
    </row>
    <row r="947" spans="5:6" ht="15.75" customHeight="1" x14ac:dyDescent="0.3">
      <c r="E947" s="10"/>
      <c r="F947" s="10"/>
    </row>
    <row r="948" spans="5:6" ht="15.75" customHeight="1" x14ac:dyDescent="0.3">
      <c r="E948" s="10"/>
      <c r="F948" s="10"/>
    </row>
    <row r="949" spans="5:6" ht="15.75" customHeight="1" x14ac:dyDescent="0.3">
      <c r="E949" s="10"/>
      <c r="F949" s="10"/>
    </row>
    <row r="950" spans="5:6" ht="15.75" customHeight="1" x14ac:dyDescent="0.3">
      <c r="E950" s="10"/>
      <c r="F950" s="10"/>
    </row>
    <row r="951" spans="5:6" ht="15.75" customHeight="1" x14ac:dyDescent="0.3">
      <c r="E951" s="10"/>
      <c r="F951" s="10"/>
    </row>
    <row r="952" spans="5:6" ht="15.75" customHeight="1" x14ac:dyDescent="0.3">
      <c r="E952" s="10"/>
      <c r="F952" s="10"/>
    </row>
    <row r="953" spans="5:6" ht="15.75" customHeight="1" x14ac:dyDescent="0.3">
      <c r="E953" s="10"/>
      <c r="F953" s="10"/>
    </row>
    <row r="954" spans="5:6" ht="15.75" customHeight="1" x14ac:dyDescent="0.3">
      <c r="E954" s="10"/>
      <c r="F954" s="10"/>
    </row>
    <row r="955" spans="5:6" ht="15.75" customHeight="1" x14ac:dyDescent="0.3">
      <c r="E955" s="10"/>
      <c r="F955" s="10"/>
    </row>
    <row r="956" spans="5:6" ht="15.75" customHeight="1" x14ac:dyDescent="0.3">
      <c r="E956" s="10"/>
      <c r="F956" s="10"/>
    </row>
    <row r="957" spans="5:6" ht="15.75" customHeight="1" x14ac:dyDescent="0.3">
      <c r="E957" s="10"/>
      <c r="F957" s="10"/>
    </row>
    <row r="958" spans="5:6" ht="15.75" customHeight="1" x14ac:dyDescent="0.3">
      <c r="E958" s="10"/>
      <c r="F958" s="10"/>
    </row>
    <row r="959" spans="5:6" ht="15.75" customHeight="1" x14ac:dyDescent="0.3">
      <c r="E959" s="10"/>
      <c r="F959" s="10"/>
    </row>
    <row r="960" spans="5:6" ht="15.75" customHeight="1" x14ac:dyDescent="0.3">
      <c r="E960" s="10"/>
      <c r="F960" s="10"/>
    </row>
    <row r="961" spans="5:6" ht="15.75" customHeight="1" x14ac:dyDescent="0.3">
      <c r="E961" s="10"/>
      <c r="F961" s="10"/>
    </row>
    <row r="962" spans="5:6" ht="15.75" customHeight="1" x14ac:dyDescent="0.3">
      <c r="E962" s="10"/>
      <c r="F962" s="10"/>
    </row>
    <row r="963" spans="5:6" ht="15.75" customHeight="1" x14ac:dyDescent="0.3">
      <c r="E963" s="10"/>
      <c r="F963" s="10"/>
    </row>
    <row r="964" spans="5:6" ht="15.75" customHeight="1" x14ac:dyDescent="0.3">
      <c r="E964" s="10"/>
      <c r="F964" s="10"/>
    </row>
    <row r="965" spans="5:6" ht="15.75" customHeight="1" x14ac:dyDescent="0.3">
      <c r="E965" s="10"/>
      <c r="F965" s="10"/>
    </row>
    <row r="966" spans="5:6" ht="15.75" customHeight="1" x14ac:dyDescent="0.3">
      <c r="E966" s="10"/>
      <c r="F966" s="10"/>
    </row>
    <row r="967" spans="5:6" ht="15.75" customHeight="1" x14ac:dyDescent="0.3">
      <c r="E967" s="10"/>
      <c r="F967" s="10"/>
    </row>
    <row r="968" spans="5:6" ht="15.75" customHeight="1" x14ac:dyDescent="0.3">
      <c r="E968" s="10"/>
      <c r="F968" s="10"/>
    </row>
    <row r="969" spans="5:6" ht="15.75" customHeight="1" x14ac:dyDescent="0.3">
      <c r="E969" s="10"/>
      <c r="F969" s="10"/>
    </row>
    <row r="970" spans="5:6" ht="15.75" customHeight="1" x14ac:dyDescent="0.3">
      <c r="E970" s="10"/>
      <c r="F970" s="10"/>
    </row>
    <row r="971" spans="5:6" ht="15.75" customHeight="1" x14ac:dyDescent="0.3">
      <c r="E971" s="10"/>
      <c r="F971" s="10"/>
    </row>
    <row r="972" spans="5:6" ht="15.75" customHeight="1" x14ac:dyDescent="0.3">
      <c r="E972" s="10"/>
      <c r="F972" s="10"/>
    </row>
    <row r="973" spans="5:6" ht="15.75" customHeight="1" x14ac:dyDescent="0.3">
      <c r="E973" s="10"/>
      <c r="F973" s="10"/>
    </row>
    <row r="974" spans="5:6" ht="15.75" customHeight="1" x14ac:dyDescent="0.3">
      <c r="E974" s="10"/>
      <c r="F974" s="10"/>
    </row>
    <row r="975" spans="5:6" ht="15.75" customHeight="1" x14ac:dyDescent="0.3">
      <c r="E975" s="10"/>
      <c r="F975" s="10"/>
    </row>
    <row r="976" spans="5:6" ht="15.75" customHeight="1" x14ac:dyDescent="0.3">
      <c r="E976" s="10"/>
      <c r="F976" s="10"/>
    </row>
    <row r="977" spans="5:6" ht="15.75" customHeight="1" x14ac:dyDescent="0.3">
      <c r="E977" s="10"/>
      <c r="F977" s="10"/>
    </row>
    <row r="978" spans="5:6" ht="15.75" customHeight="1" x14ac:dyDescent="0.3">
      <c r="E978" s="10"/>
      <c r="F978" s="10"/>
    </row>
    <row r="979" spans="5:6" ht="15.75" customHeight="1" x14ac:dyDescent="0.3">
      <c r="E979" s="10"/>
      <c r="F979" s="10"/>
    </row>
    <row r="980" spans="5:6" ht="15.75" customHeight="1" x14ac:dyDescent="0.3">
      <c r="E980" s="10"/>
      <c r="F980" s="10"/>
    </row>
    <row r="981" spans="5:6" ht="15.75" customHeight="1" x14ac:dyDescent="0.3">
      <c r="E981" s="10"/>
      <c r="F981" s="10"/>
    </row>
    <row r="982" spans="5:6" ht="15.75" customHeight="1" x14ac:dyDescent="0.3">
      <c r="E982" s="10"/>
      <c r="F982" s="10"/>
    </row>
    <row r="983" spans="5:6" ht="15.75" customHeight="1" x14ac:dyDescent="0.3">
      <c r="E983" s="10"/>
      <c r="F983" s="10"/>
    </row>
    <row r="984" spans="5:6" ht="15.75" customHeight="1" x14ac:dyDescent="0.3">
      <c r="E984" s="10"/>
      <c r="F984" s="10"/>
    </row>
    <row r="985" spans="5:6" ht="15.75" customHeight="1" x14ac:dyDescent="0.3">
      <c r="E985" s="10"/>
      <c r="F985" s="10"/>
    </row>
    <row r="986" spans="5:6" ht="15.75" customHeight="1" x14ac:dyDescent="0.3">
      <c r="E986" s="10"/>
      <c r="F986" s="10"/>
    </row>
    <row r="987" spans="5:6" ht="15.75" customHeight="1" x14ac:dyDescent="0.3">
      <c r="E987" s="10"/>
      <c r="F987" s="10"/>
    </row>
    <row r="988" spans="5:6" ht="15.75" customHeight="1" x14ac:dyDescent="0.3">
      <c r="E988" s="10"/>
      <c r="F988" s="10"/>
    </row>
    <row r="989" spans="5:6" ht="15.75" customHeight="1" x14ac:dyDescent="0.3">
      <c r="E989" s="10"/>
      <c r="F989" s="10"/>
    </row>
    <row r="990" spans="5:6" ht="15.75" customHeight="1" x14ac:dyDescent="0.3">
      <c r="E990" s="10"/>
      <c r="F990" s="10"/>
    </row>
    <row r="991" spans="5:6" ht="15.75" customHeight="1" x14ac:dyDescent="0.3">
      <c r="E991" s="10"/>
      <c r="F991" s="10"/>
    </row>
    <row r="992" spans="5:6" ht="15.75" customHeight="1" x14ac:dyDescent="0.3">
      <c r="E992" s="10"/>
      <c r="F992" s="10"/>
    </row>
    <row r="993" spans="5:6" ht="15.75" customHeight="1" x14ac:dyDescent="0.3">
      <c r="E993" s="10"/>
      <c r="F993" s="10"/>
    </row>
    <row r="994" spans="5:6" ht="15.75" customHeight="1" x14ac:dyDescent="0.3">
      <c r="E994" s="10"/>
      <c r="F994" s="10"/>
    </row>
    <row r="995" spans="5:6" ht="15.75" customHeight="1" x14ac:dyDescent="0.3">
      <c r="E995" s="10"/>
      <c r="F995" s="10"/>
    </row>
    <row r="996" spans="5:6" ht="15.75" customHeight="1" x14ac:dyDescent="0.3">
      <c r="E996" s="10"/>
      <c r="F996" s="10"/>
    </row>
    <row r="997" spans="5:6" ht="15.75" customHeight="1" x14ac:dyDescent="0.3">
      <c r="E997" s="10"/>
      <c r="F997" s="10"/>
    </row>
    <row r="998" spans="5:6" ht="15.75" customHeight="1" x14ac:dyDescent="0.3">
      <c r="E998" s="10"/>
      <c r="F998" s="10"/>
    </row>
    <row r="999" spans="5:6" ht="15.75" customHeight="1" x14ac:dyDescent="0.3">
      <c r="E999" s="10"/>
      <c r="F999" s="10"/>
    </row>
    <row r="1000" spans="5:6" ht="15.75" customHeight="1" x14ac:dyDescent="0.3">
      <c r="E1000" s="10"/>
      <c r="F1000" s="10"/>
    </row>
  </sheetData>
  <sheetProtection algorithmName="SHA-512" hashValue="/6BaOhUVWDq9Vqg1dCH8oDGP6oimpgCW4/TMXiszKs+JbioSxMe4QWsv2bdMjsmDGQXCAY7rDpc95Da3ux+atA==" saltValue="y2/ytd+oPA3lF1fvzb8Svw==" spinCount="100000" sheet="1" objects="1" scenarios="1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26.6640625" customWidth="1"/>
    <col min="3" max="3" width="21.44140625" customWidth="1"/>
    <col min="4" max="26" width="8.6640625" customWidth="1"/>
  </cols>
  <sheetData>
    <row r="1" spans="1:5" ht="14.4" x14ac:dyDescent="0.3">
      <c r="A1" s="2" t="s">
        <v>1</v>
      </c>
      <c r="B1" s="2" t="s">
        <v>12</v>
      </c>
      <c r="C1" s="2" t="s">
        <v>13</v>
      </c>
      <c r="D1" s="2" t="s">
        <v>15</v>
      </c>
      <c r="E1" s="6"/>
    </row>
    <row r="2" spans="1:5" ht="14.4" x14ac:dyDescent="0.3">
      <c r="A2" s="5" t="s">
        <v>21</v>
      </c>
      <c r="B2" s="5" t="s">
        <v>22</v>
      </c>
      <c r="C2" s="5" t="s">
        <v>23</v>
      </c>
      <c r="D2" s="5" t="s">
        <v>24</v>
      </c>
    </row>
    <row r="3" spans="1:5" ht="14.4" x14ac:dyDescent="0.3">
      <c r="A3" s="5" t="s">
        <v>25</v>
      </c>
      <c r="B3" s="5" t="s">
        <v>26</v>
      </c>
      <c r="C3" s="5" t="s">
        <v>27</v>
      </c>
      <c r="D3" s="5" t="s">
        <v>28</v>
      </c>
    </row>
    <row r="4" spans="1:5" ht="14.4" x14ac:dyDescent="0.3">
      <c r="A4" s="5" t="s">
        <v>29</v>
      </c>
      <c r="B4" s="5" t="s">
        <v>30</v>
      </c>
      <c r="C4" s="5" t="s">
        <v>31</v>
      </c>
      <c r="D4" s="5" t="s">
        <v>32</v>
      </c>
    </row>
    <row r="5" spans="1:5" ht="14.4" x14ac:dyDescent="0.3">
      <c r="A5" s="5" t="s">
        <v>33</v>
      </c>
      <c r="B5" s="5" t="s">
        <v>34</v>
      </c>
      <c r="C5" s="5" t="s">
        <v>35</v>
      </c>
      <c r="D5" s="5" t="s">
        <v>36</v>
      </c>
    </row>
    <row r="6" spans="1:5" ht="14.4" x14ac:dyDescent="0.3">
      <c r="A6" s="5" t="s">
        <v>37</v>
      </c>
      <c r="B6" s="5" t="s">
        <v>38</v>
      </c>
      <c r="C6" s="5" t="s">
        <v>39</v>
      </c>
      <c r="D6" s="5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algorithmName="SHA-512" hashValue="Rr9JPKUumjty2lDUBPwfH7Ugocmj7yVzUmWtNCTX15KCxGgnnhYZ65iEHkW2Nj1+cVUufBaExtCNbuRuz1GRNg==" saltValue="JFpqLvESG498/XBEbgozOw==" spinCount="100000" sheet="1" objects="1" scenarios="1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01"/>
  <sheetViews>
    <sheetView workbookViewId="0"/>
  </sheetViews>
  <sheetFormatPr defaultColWidth="14.44140625" defaultRowHeight="15" customHeight="1" x14ac:dyDescent="0.3"/>
  <cols>
    <col min="1" max="1" width="15.6640625" customWidth="1"/>
    <col min="2" max="2" width="15.33203125" customWidth="1"/>
    <col min="3" max="3" width="19.109375" customWidth="1"/>
    <col min="4" max="4" width="14.44140625" customWidth="1"/>
    <col min="5" max="7" width="8.6640625" customWidth="1"/>
    <col min="8" max="8" width="21.33203125" customWidth="1"/>
    <col min="9" max="10" width="16.5546875" customWidth="1"/>
  </cols>
  <sheetData>
    <row r="1" spans="1:10" ht="14.4" x14ac:dyDescent="0.3">
      <c r="A1" s="1" t="s">
        <v>3</v>
      </c>
      <c r="B1" s="7" t="s">
        <v>20</v>
      </c>
      <c r="C1" s="1" t="s">
        <v>2</v>
      </c>
      <c r="D1" s="1" t="s">
        <v>0</v>
      </c>
      <c r="E1" s="1" t="s">
        <v>1</v>
      </c>
      <c r="F1" s="1" t="s">
        <v>40</v>
      </c>
      <c r="G1" s="12" t="s">
        <v>41</v>
      </c>
      <c r="H1" s="1" t="s">
        <v>88</v>
      </c>
      <c r="I1" s="13" t="s">
        <v>96</v>
      </c>
      <c r="J1" s="14"/>
    </row>
    <row r="2" spans="1:10" ht="14.4" x14ac:dyDescent="0.3">
      <c r="A2" s="5" t="s">
        <v>112</v>
      </c>
      <c r="B2" s="11">
        <v>45461</v>
      </c>
      <c r="C2" s="5" t="s">
        <v>402</v>
      </c>
      <c r="D2" s="5" t="s">
        <v>95</v>
      </c>
      <c r="E2" s="5" t="s">
        <v>29</v>
      </c>
      <c r="F2" s="5">
        <v>1</v>
      </c>
      <c r="G2" s="19">
        <v>0.1</v>
      </c>
      <c r="H2" s="5" t="s">
        <v>454</v>
      </c>
      <c r="I2" s="10">
        <f>IF(OR(D2="", F2=""), "", F2 * VLOOKUP(D2, Products!A:E, 5, FALSE) * (1 - G2))</f>
        <v>1208.4750000000001</v>
      </c>
      <c r="J2" s="10"/>
    </row>
    <row r="3" spans="1:10" ht="14.4" x14ac:dyDescent="0.3">
      <c r="A3" s="5" t="s">
        <v>595</v>
      </c>
      <c r="B3" s="11">
        <v>45232</v>
      </c>
      <c r="C3" s="5" t="s">
        <v>602</v>
      </c>
      <c r="D3" s="5" t="s">
        <v>193</v>
      </c>
      <c r="E3" s="5" t="s">
        <v>33</v>
      </c>
      <c r="F3" s="5">
        <v>3</v>
      </c>
      <c r="G3" s="19">
        <v>0.15</v>
      </c>
      <c r="H3" s="5" t="s">
        <v>454</v>
      </c>
      <c r="I3" s="10">
        <f>IF(OR(D3="", F3=""), "", F3 * VLOOKUP(D3, Products!A:E, 5, FALSE) * (1 - G3))</f>
        <v>74.561999999999998</v>
      </c>
      <c r="J3" s="10"/>
    </row>
    <row r="4" spans="1:10" ht="14.4" x14ac:dyDescent="0.3">
      <c r="A4" s="5" t="s">
        <v>629</v>
      </c>
      <c r="B4" s="11">
        <v>45379</v>
      </c>
      <c r="C4" s="5" t="s">
        <v>635</v>
      </c>
      <c r="D4" s="5" t="s">
        <v>47</v>
      </c>
      <c r="E4" s="5" t="s">
        <v>25</v>
      </c>
      <c r="F4" s="5">
        <v>2</v>
      </c>
      <c r="G4" s="19">
        <v>0.15</v>
      </c>
      <c r="H4" s="5" t="s">
        <v>637</v>
      </c>
      <c r="I4" s="10">
        <f>IF(OR(D4="", F4=""), "", F4 * VLOOKUP(D4, Products!A:E, 5, FALSE) * (1 - G4))</f>
        <v>1391.8920000000001</v>
      </c>
      <c r="J4" s="10"/>
    </row>
    <row r="5" spans="1:10" ht="14.4" x14ac:dyDescent="0.3">
      <c r="A5" s="5" t="s">
        <v>655</v>
      </c>
      <c r="B5" s="11">
        <v>45458</v>
      </c>
      <c r="C5" s="5" t="s">
        <v>662</v>
      </c>
      <c r="D5" s="5" t="s">
        <v>291</v>
      </c>
      <c r="E5" s="5" t="s">
        <v>25</v>
      </c>
      <c r="F5" s="5">
        <v>5</v>
      </c>
      <c r="G5" s="19">
        <v>0.1</v>
      </c>
      <c r="H5" s="5" t="s">
        <v>637</v>
      </c>
      <c r="I5" s="10">
        <f>IF(OR(D5="", F5=""), "", F5 * VLOOKUP(D5, Products!A:E, 5, FALSE) * (1 - G5))</f>
        <v>4700.880000000001</v>
      </c>
      <c r="J5" s="10"/>
    </row>
    <row r="6" spans="1:10" ht="14.4" x14ac:dyDescent="0.3">
      <c r="A6" s="5" t="s">
        <v>687</v>
      </c>
      <c r="B6" s="11">
        <v>45533</v>
      </c>
      <c r="C6" s="5" t="s">
        <v>683</v>
      </c>
      <c r="D6" s="5" t="s">
        <v>226</v>
      </c>
      <c r="E6" s="5" t="s">
        <v>21</v>
      </c>
      <c r="F6" s="5">
        <v>3</v>
      </c>
      <c r="G6" s="19">
        <v>0.1</v>
      </c>
      <c r="H6" s="5" t="s">
        <v>697</v>
      </c>
      <c r="I6" s="10">
        <f>IF(OR(D6="", F6=""), "", F6 * VLOOKUP(D6, Products!A:E, 5, FALSE) * (1 - G6))</f>
        <v>4053.942</v>
      </c>
      <c r="J6" s="10"/>
    </row>
    <row r="7" spans="1:10" ht="14.4" x14ac:dyDescent="0.3">
      <c r="A7" s="5" t="s">
        <v>713</v>
      </c>
      <c r="B7" s="11">
        <v>45744</v>
      </c>
      <c r="C7" s="5" t="s">
        <v>579</v>
      </c>
      <c r="D7" s="5" t="s">
        <v>226</v>
      </c>
      <c r="E7" s="5" t="s">
        <v>37</v>
      </c>
      <c r="F7" s="5">
        <v>5</v>
      </c>
      <c r="G7" s="19">
        <v>0.1</v>
      </c>
      <c r="H7" s="5" t="s">
        <v>637</v>
      </c>
      <c r="I7" s="10">
        <f>IF(OR(D7="", F7=""), "", F7 * VLOOKUP(D7, Products!A:E, 5, FALSE) * (1 - G7))</f>
        <v>6756.5700000000006</v>
      </c>
      <c r="J7" s="10"/>
    </row>
    <row r="8" spans="1:10" ht="14.4" x14ac:dyDescent="0.3">
      <c r="A8" s="5" t="s">
        <v>743</v>
      </c>
      <c r="B8" s="11">
        <v>45605</v>
      </c>
      <c r="C8" s="5" t="s">
        <v>590</v>
      </c>
      <c r="D8" s="5" t="s">
        <v>70</v>
      </c>
      <c r="E8" s="5" t="s">
        <v>33</v>
      </c>
      <c r="F8" s="5">
        <v>2</v>
      </c>
      <c r="G8" s="19">
        <v>0.15</v>
      </c>
      <c r="H8" s="5" t="s">
        <v>697</v>
      </c>
      <c r="I8" s="10">
        <f>IF(OR(D8="", F8=""), "", F8 * VLOOKUP(D8, Products!A:E, 5, FALSE) * (1 - G8))</f>
        <v>209.423</v>
      </c>
      <c r="J8" s="10"/>
    </row>
    <row r="9" spans="1:10" ht="14.4" x14ac:dyDescent="0.3">
      <c r="A9" s="5" t="s">
        <v>769</v>
      </c>
      <c r="B9" s="11">
        <v>45440</v>
      </c>
      <c r="C9" s="5" t="s">
        <v>773</v>
      </c>
      <c r="D9" s="5" t="s">
        <v>57</v>
      </c>
      <c r="E9" s="5" t="s">
        <v>21</v>
      </c>
      <c r="F9" s="5">
        <v>3</v>
      </c>
      <c r="G9" s="19">
        <v>0.1</v>
      </c>
      <c r="H9" s="5" t="s">
        <v>776</v>
      </c>
      <c r="I9" s="10">
        <f>IF(OR(D9="", F9=""), "", F9 * VLOOKUP(D9, Products!A:E, 5, FALSE) * (1 - G9))</f>
        <v>3769.7939999999999</v>
      </c>
      <c r="J9" s="10"/>
    </row>
    <row r="10" spans="1:10" ht="14.4" x14ac:dyDescent="0.3">
      <c r="A10" s="5" t="s">
        <v>793</v>
      </c>
      <c r="B10" s="11">
        <v>45539</v>
      </c>
      <c r="C10" s="5" t="s">
        <v>799</v>
      </c>
      <c r="D10" s="5" t="s">
        <v>221</v>
      </c>
      <c r="E10" s="5" t="s">
        <v>25</v>
      </c>
      <c r="F10" s="5">
        <v>3</v>
      </c>
      <c r="G10" s="19">
        <v>0.05</v>
      </c>
      <c r="H10" s="5" t="s">
        <v>697</v>
      </c>
      <c r="I10" s="10">
        <f>IF(OR(D10="", F10=""), "", F10 * VLOOKUP(D10, Products!A:E, 5, FALSE) * (1 - G10))</f>
        <v>4452.9254999999994</v>
      </c>
      <c r="J10" s="10"/>
    </row>
    <row r="11" spans="1:10" ht="14.4" x14ac:dyDescent="0.3">
      <c r="A11" s="5" t="s">
        <v>818</v>
      </c>
      <c r="B11" s="11">
        <v>45459</v>
      </c>
      <c r="C11" s="5" t="s">
        <v>300</v>
      </c>
      <c r="D11" s="5" t="s">
        <v>269</v>
      </c>
      <c r="E11" s="5" t="s">
        <v>21</v>
      </c>
      <c r="F11" s="5">
        <v>1</v>
      </c>
      <c r="G11" s="19">
        <v>0.05</v>
      </c>
      <c r="H11" s="5" t="s">
        <v>637</v>
      </c>
      <c r="I11" s="10">
        <f>IF(OR(D11="", F11=""), "", F11 * VLOOKUP(D11, Products!A:E, 5, FALSE) * (1 - G11))</f>
        <v>1785.1259999999997</v>
      </c>
      <c r="J11" s="10"/>
    </row>
    <row r="12" spans="1:10" ht="14.4" x14ac:dyDescent="0.3">
      <c r="A12" s="5" t="s">
        <v>846</v>
      </c>
      <c r="B12" s="11">
        <v>45725</v>
      </c>
      <c r="C12" s="5" t="s">
        <v>736</v>
      </c>
      <c r="D12" s="5" t="s">
        <v>140</v>
      </c>
      <c r="E12" s="5" t="s">
        <v>21</v>
      </c>
      <c r="F12" s="5">
        <v>4</v>
      </c>
      <c r="G12" s="19">
        <v>0.15</v>
      </c>
      <c r="H12" s="5" t="s">
        <v>697</v>
      </c>
      <c r="I12" s="10">
        <f>IF(OR(D12="", F12=""), "", F12 * VLOOKUP(D12, Products!A:E, 5, FALSE) * (1 - G12))</f>
        <v>86.938000000000002</v>
      </c>
      <c r="J12" s="10"/>
    </row>
    <row r="13" spans="1:10" ht="14.4" x14ac:dyDescent="0.3">
      <c r="A13" s="5" t="s">
        <v>866</v>
      </c>
      <c r="B13" s="11">
        <v>45449</v>
      </c>
      <c r="C13" s="5" t="s">
        <v>826</v>
      </c>
      <c r="D13" s="5" t="s">
        <v>262</v>
      </c>
      <c r="E13" s="5" t="s">
        <v>33</v>
      </c>
      <c r="F13" s="5">
        <v>4</v>
      </c>
      <c r="G13" s="19">
        <v>0.15</v>
      </c>
      <c r="H13" s="5" t="s">
        <v>697</v>
      </c>
      <c r="I13" s="10">
        <f>IF(OR(D13="", F13=""), "", F13 * VLOOKUP(D13, Products!A:E, 5, FALSE) * (1 - G13))</f>
        <v>1542.308</v>
      </c>
      <c r="J13" s="10"/>
    </row>
    <row r="14" spans="1:10" ht="14.4" x14ac:dyDescent="0.3">
      <c r="A14" s="5" t="s">
        <v>881</v>
      </c>
      <c r="B14" s="11">
        <v>45201</v>
      </c>
      <c r="C14" s="5" t="s">
        <v>300</v>
      </c>
      <c r="D14" s="5" t="s">
        <v>280</v>
      </c>
      <c r="E14" s="5" t="s">
        <v>21</v>
      </c>
      <c r="F14" s="5">
        <v>1</v>
      </c>
      <c r="G14" s="19">
        <v>0.15</v>
      </c>
      <c r="H14" s="5" t="s">
        <v>697</v>
      </c>
      <c r="I14" s="10">
        <f>IF(OR(D14="", F14=""), "", F14 * VLOOKUP(D14, Products!A:E, 5, FALSE) * (1 - G14))</f>
        <v>1033.9059999999999</v>
      </c>
      <c r="J14" s="10"/>
    </row>
    <row r="15" spans="1:10" ht="14.4" x14ac:dyDescent="0.3">
      <c r="A15" s="5" t="s">
        <v>882</v>
      </c>
      <c r="B15" s="11">
        <v>45593</v>
      </c>
      <c r="C15" s="5" t="s">
        <v>334</v>
      </c>
      <c r="D15" s="5" t="s">
        <v>217</v>
      </c>
      <c r="E15" s="5" t="s">
        <v>37</v>
      </c>
      <c r="F15" s="5">
        <v>4</v>
      </c>
      <c r="G15" s="19">
        <v>0</v>
      </c>
      <c r="H15" s="5" t="s">
        <v>697</v>
      </c>
      <c r="I15" s="10">
        <f>IF(OR(D15="", F15=""), "", F15 * VLOOKUP(D15, Products!A:E, 5, FALSE) * (1 - G15))</f>
        <v>1712.2</v>
      </c>
      <c r="J15" s="10"/>
    </row>
    <row r="16" spans="1:10" ht="14.4" x14ac:dyDescent="0.3">
      <c r="A16" s="5" t="s">
        <v>883</v>
      </c>
      <c r="B16" s="11">
        <v>45739</v>
      </c>
      <c r="C16" s="5" t="s">
        <v>261</v>
      </c>
      <c r="D16" s="5" t="s">
        <v>109</v>
      </c>
      <c r="E16" s="5" t="s">
        <v>33</v>
      </c>
      <c r="F16" s="5">
        <v>2</v>
      </c>
      <c r="G16" s="19">
        <v>0.15</v>
      </c>
      <c r="H16" s="5" t="s">
        <v>454</v>
      </c>
      <c r="I16" s="10">
        <f>IF(OR(D16="", F16=""), "", F16 * VLOOKUP(D16, Products!A:E, 5, FALSE) * (1 - G16))</f>
        <v>3159.875</v>
      </c>
      <c r="J16" s="10"/>
    </row>
    <row r="17" spans="1:10" ht="14.4" x14ac:dyDescent="0.3">
      <c r="A17" s="5" t="s">
        <v>884</v>
      </c>
      <c r="B17" s="11">
        <v>45274</v>
      </c>
      <c r="C17" s="5" t="s">
        <v>859</v>
      </c>
      <c r="D17" s="5" t="s">
        <v>153</v>
      </c>
      <c r="E17" s="5" t="s">
        <v>33</v>
      </c>
      <c r="F17" s="5">
        <v>5</v>
      </c>
      <c r="G17" s="19">
        <v>0.15</v>
      </c>
      <c r="H17" s="5" t="s">
        <v>637</v>
      </c>
      <c r="I17" s="10">
        <f>IF(OR(D17="", F17=""), "", F17 * VLOOKUP(D17, Products!A:E, 5, FALSE) * (1 - G17))</f>
        <v>6321.4925000000003</v>
      </c>
      <c r="J17" s="10"/>
    </row>
    <row r="18" spans="1:10" ht="14.4" x14ac:dyDescent="0.3">
      <c r="A18" s="5" t="s">
        <v>885</v>
      </c>
      <c r="B18" s="11">
        <v>45650</v>
      </c>
      <c r="C18" s="5" t="s">
        <v>312</v>
      </c>
      <c r="D18" s="5" t="s">
        <v>168</v>
      </c>
      <c r="E18" s="5" t="s">
        <v>33</v>
      </c>
      <c r="F18" s="5">
        <v>4</v>
      </c>
      <c r="G18" s="19">
        <v>0.1</v>
      </c>
      <c r="H18" s="5" t="s">
        <v>697</v>
      </c>
      <c r="I18" s="10">
        <f>IF(OR(D18="", F18=""), "", F18 * VLOOKUP(D18, Products!A:E, 5, FALSE) * (1 - G18))</f>
        <v>3656.7359999999999</v>
      </c>
      <c r="J18" s="10"/>
    </row>
    <row r="19" spans="1:10" ht="14.4" x14ac:dyDescent="0.3">
      <c r="A19" s="5" t="s">
        <v>886</v>
      </c>
      <c r="B19" s="11">
        <v>45807</v>
      </c>
      <c r="C19" s="5" t="s">
        <v>758</v>
      </c>
      <c r="D19" s="5" t="s">
        <v>212</v>
      </c>
      <c r="E19" s="5" t="s">
        <v>29</v>
      </c>
      <c r="F19" s="5">
        <v>5</v>
      </c>
      <c r="G19" s="19">
        <v>0.15</v>
      </c>
      <c r="H19" s="5" t="s">
        <v>697</v>
      </c>
      <c r="I19" s="10">
        <f>IF(OR(D19="", F19=""), "", F19 * VLOOKUP(D19, Products!A:E, 5, FALSE) * (1 - G19))</f>
        <v>7645.6225000000004</v>
      </c>
      <c r="J19" s="10"/>
    </row>
    <row r="20" spans="1:10" ht="14.4" x14ac:dyDescent="0.3">
      <c r="A20" s="5" t="s">
        <v>887</v>
      </c>
      <c r="B20" s="11">
        <v>45768</v>
      </c>
      <c r="C20" s="5" t="s">
        <v>433</v>
      </c>
      <c r="D20" s="5" t="s">
        <v>77</v>
      </c>
      <c r="E20" s="5" t="s">
        <v>33</v>
      </c>
      <c r="F20" s="5">
        <v>1</v>
      </c>
      <c r="G20" s="19">
        <v>0.1</v>
      </c>
      <c r="H20" s="5" t="s">
        <v>697</v>
      </c>
      <c r="I20" s="10">
        <f>IF(OR(D20="", F20=""), "", F20 * VLOOKUP(D20, Products!A:E, 5, FALSE) * (1 - G20))</f>
        <v>223.71299999999999</v>
      </c>
      <c r="J20" s="10"/>
    </row>
    <row r="21" spans="1:10" ht="15.75" customHeight="1" x14ac:dyDescent="0.3">
      <c r="A21" s="5" t="s">
        <v>888</v>
      </c>
      <c r="B21" s="11">
        <v>45664</v>
      </c>
      <c r="C21" s="5" t="s">
        <v>429</v>
      </c>
      <c r="D21" s="5" t="s">
        <v>65</v>
      </c>
      <c r="E21" s="5" t="s">
        <v>29</v>
      </c>
      <c r="F21" s="5">
        <v>3</v>
      </c>
      <c r="G21" s="19">
        <v>0</v>
      </c>
      <c r="H21" s="5" t="s">
        <v>697</v>
      </c>
      <c r="I21" s="10">
        <f>IF(OR(D21="", F21=""), "", F21 * VLOOKUP(D21, Products!A:E, 5, FALSE) * (1 - G21))</f>
        <v>4422.3599999999997</v>
      </c>
      <c r="J21" s="10"/>
    </row>
    <row r="22" spans="1:10" ht="15.75" customHeight="1" x14ac:dyDescent="0.3">
      <c r="A22" s="5" t="s">
        <v>889</v>
      </c>
      <c r="B22" s="11">
        <v>45612</v>
      </c>
      <c r="C22" s="5" t="s">
        <v>304</v>
      </c>
      <c r="D22" s="5" t="s">
        <v>119</v>
      </c>
      <c r="E22" s="5" t="s">
        <v>25</v>
      </c>
      <c r="F22" s="5">
        <v>4</v>
      </c>
      <c r="G22" s="19">
        <v>0.05</v>
      </c>
      <c r="H22" s="5" t="s">
        <v>697</v>
      </c>
      <c r="I22" s="10">
        <f>IF(OR(D22="", F22=""), "", F22 * VLOOKUP(D22, Products!A:E, 5, FALSE) * (1 - G22))</f>
        <v>4103.5820000000003</v>
      </c>
      <c r="J22" s="10"/>
    </row>
    <row r="23" spans="1:10" ht="15.75" customHeight="1" x14ac:dyDescent="0.3">
      <c r="A23" s="5" t="s">
        <v>890</v>
      </c>
      <c r="B23" s="11">
        <v>45622</v>
      </c>
      <c r="C23" s="5" t="s">
        <v>177</v>
      </c>
      <c r="D23" s="5" t="s">
        <v>140</v>
      </c>
      <c r="E23" s="5" t="s">
        <v>33</v>
      </c>
      <c r="F23" s="5">
        <v>4</v>
      </c>
      <c r="G23" s="19">
        <v>0.1</v>
      </c>
      <c r="H23" s="5" t="s">
        <v>637</v>
      </c>
      <c r="I23" s="10">
        <f>IF(OR(D23="", F23=""), "", F23 * VLOOKUP(D23, Products!A:E, 5, FALSE) * (1 - G23))</f>
        <v>92.052000000000007</v>
      </c>
      <c r="J23" s="10"/>
    </row>
    <row r="24" spans="1:10" ht="15.75" customHeight="1" x14ac:dyDescent="0.3">
      <c r="A24" s="5" t="s">
        <v>891</v>
      </c>
      <c r="B24" s="11">
        <v>45506</v>
      </c>
      <c r="C24" s="5" t="s">
        <v>563</v>
      </c>
      <c r="D24" s="5" t="s">
        <v>147</v>
      </c>
      <c r="E24" s="5" t="s">
        <v>21</v>
      </c>
      <c r="F24" s="5">
        <v>2</v>
      </c>
      <c r="G24" s="19">
        <v>0.15</v>
      </c>
      <c r="H24" s="5" t="s">
        <v>637</v>
      </c>
      <c r="I24" s="10">
        <f>IF(OR(D24="", F24=""), "", F24 * VLOOKUP(D24, Products!A:E, 5, FALSE) * (1 - G24))</f>
        <v>3193.3989999999999</v>
      </c>
      <c r="J24" s="10"/>
    </row>
    <row r="25" spans="1:10" ht="15.75" customHeight="1" x14ac:dyDescent="0.3">
      <c r="A25" s="5" t="s">
        <v>892</v>
      </c>
      <c r="B25" s="11">
        <v>45746</v>
      </c>
      <c r="C25" s="5" t="s">
        <v>872</v>
      </c>
      <c r="D25" s="5" t="s">
        <v>89</v>
      </c>
      <c r="E25" s="5" t="s">
        <v>37</v>
      </c>
      <c r="F25" s="5">
        <v>1</v>
      </c>
      <c r="G25" s="19">
        <v>0.15</v>
      </c>
      <c r="H25" s="5" t="s">
        <v>637</v>
      </c>
      <c r="I25" s="10">
        <f>IF(OR(D25="", F25=""), "", F25 * VLOOKUP(D25, Products!A:E, 5, FALSE) * (1 - G25))</f>
        <v>964.57999999999993</v>
      </c>
      <c r="J25" s="10"/>
    </row>
    <row r="26" spans="1:10" ht="15.75" customHeight="1" x14ac:dyDescent="0.3">
      <c r="A26" s="5" t="s">
        <v>893</v>
      </c>
      <c r="B26" s="11">
        <v>45445</v>
      </c>
      <c r="C26" s="5" t="s">
        <v>69</v>
      </c>
      <c r="D26" s="5" t="s">
        <v>243</v>
      </c>
      <c r="E26" s="5" t="s">
        <v>29</v>
      </c>
      <c r="F26" s="5">
        <v>3</v>
      </c>
      <c r="G26" s="19">
        <v>0.15</v>
      </c>
      <c r="H26" s="5" t="s">
        <v>637</v>
      </c>
      <c r="I26" s="10">
        <f>IF(OR(D26="", F26=""), "", F26 * VLOOKUP(D26, Products!A:E, 5, FALSE) * (1 - G26))</f>
        <v>1379.3970000000002</v>
      </c>
      <c r="J26" s="10"/>
    </row>
    <row r="27" spans="1:10" ht="15.75" customHeight="1" x14ac:dyDescent="0.3">
      <c r="A27" s="5" t="s">
        <v>894</v>
      </c>
      <c r="B27" s="11">
        <v>45591</v>
      </c>
      <c r="C27" s="5" t="s">
        <v>674</v>
      </c>
      <c r="D27" s="5" t="s">
        <v>134</v>
      </c>
      <c r="E27" s="5" t="s">
        <v>37</v>
      </c>
      <c r="F27" s="5">
        <v>5</v>
      </c>
      <c r="G27" s="19">
        <v>0.05</v>
      </c>
      <c r="H27" s="5" t="s">
        <v>637</v>
      </c>
      <c r="I27" s="10">
        <f>IF(OR(D27="", F27=""), "", F27 * VLOOKUP(D27, Products!A:E, 5, FALSE) * (1 - G27))</f>
        <v>5829.3899999999994</v>
      </c>
      <c r="J27" s="10"/>
    </row>
    <row r="28" spans="1:10" ht="15.75" customHeight="1" x14ac:dyDescent="0.3">
      <c r="A28" s="5" t="s">
        <v>895</v>
      </c>
      <c r="B28" s="11">
        <v>45314</v>
      </c>
      <c r="C28" s="5" t="s">
        <v>376</v>
      </c>
      <c r="D28" s="5" t="s">
        <v>243</v>
      </c>
      <c r="E28" s="5" t="s">
        <v>29</v>
      </c>
      <c r="F28" s="5">
        <v>4</v>
      </c>
      <c r="G28" s="19">
        <v>0.15</v>
      </c>
      <c r="H28" s="5" t="s">
        <v>776</v>
      </c>
      <c r="I28" s="10">
        <f>IF(OR(D28="", F28=""), "", F28 * VLOOKUP(D28, Products!A:E, 5, FALSE) * (1 - G28))</f>
        <v>1839.1960000000001</v>
      </c>
      <c r="J28" s="10"/>
    </row>
    <row r="29" spans="1:10" ht="15.75" customHeight="1" x14ac:dyDescent="0.3">
      <c r="A29" s="5" t="s">
        <v>896</v>
      </c>
      <c r="B29" s="11">
        <v>45641</v>
      </c>
      <c r="C29" s="5" t="s">
        <v>539</v>
      </c>
      <c r="D29" s="5" t="s">
        <v>128</v>
      </c>
      <c r="E29" s="5" t="s">
        <v>29</v>
      </c>
      <c r="F29" s="5">
        <v>4</v>
      </c>
      <c r="G29" s="19">
        <v>0.05</v>
      </c>
      <c r="H29" s="5" t="s">
        <v>637</v>
      </c>
      <c r="I29" s="10">
        <f>IF(OR(D29="", F29=""), "", F29 * VLOOKUP(D29, Products!A:E, 5, FALSE) * (1 - G29))</f>
        <v>1230.896</v>
      </c>
      <c r="J29" s="10"/>
    </row>
    <row r="30" spans="1:10" ht="15.75" customHeight="1" x14ac:dyDescent="0.3">
      <c r="A30" s="5" t="s">
        <v>897</v>
      </c>
      <c r="B30" s="11">
        <v>45756</v>
      </c>
      <c r="C30" s="5" t="s">
        <v>274</v>
      </c>
      <c r="D30" s="5" t="s">
        <v>89</v>
      </c>
      <c r="E30" s="5" t="s">
        <v>37</v>
      </c>
      <c r="F30" s="5">
        <v>5</v>
      </c>
      <c r="G30" s="19">
        <v>0</v>
      </c>
      <c r="H30" s="5" t="s">
        <v>637</v>
      </c>
      <c r="I30" s="10">
        <f>IF(OR(D30="", F30=""), "", F30 * VLOOKUP(D30, Products!A:E, 5, FALSE) * (1 - G30))</f>
        <v>5674</v>
      </c>
      <c r="J30" s="10"/>
    </row>
    <row r="31" spans="1:10" ht="15.75" customHeight="1" x14ac:dyDescent="0.3">
      <c r="A31" s="5" t="s">
        <v>898</v>
      </c>
      <c r="B31" s="11">
        <v>45714</v>
      </c>
      <c r="C31" s="5" t="s">
        <v>722</v>
      </c>
      <c r="D31" s="5" t="s">
        <v>180</v>
      </c>
      <c r="E31" s="5" t="s">
        <v>37</v>
      </c>
      <c r="F31" s="5">
        <v>1</v>
      </c>
      <c r="G31" s="19">
        <v>0</v>
      </c>
      <c r="H31" s="5" t="s">
        <v>637</v>
      </c>
      <c r="I31" s="10">
        <f>IF(OR(D31="", F31=""), "", F31 * VLOOKUP(D31, Products!A:E, 5, FALSE) * (1 - G31))</f>
        <v>673.78</v>
      </c>
      <c r="J31" s="10"/>
    </row>
    <row r="32" spans="1:10" ht="15.75" customHeight="1" x14ac:dyDescent="0.3">
      <c r="A32" s="5" t="s">
        <v>899</v>
      </c>
      <c r="B32" s="11">
        <v>45642</v>
      </c>
      <c r="C32" s="5" t="s">
        <v>286</v>
      </c>
      <c r="D32" s="5" t="s">
        <v>122</v>
      </c>
      <c r="E32" s="5" t="s">
        <v>33</v>
      </c>
      <c r="F32" s="5">
        <v>2</v>
      </c>
      <c r="G32" s="19">
        <v>0</v>
      </c>
      <c r="H32" s="5" t="s">
        <v>454</v>
      </c>
      <c r="I32" s="10">
        <f>IF(OR(D32="", F32=""), "", F32 * VLOOKUP(D32, Products!A:E, 5, FALSE) * (1 - G32))</f>
        <v>3525.84</v>
      </c>
      <c r="J32" s="10"/>
    </row>
    <row r="33" spans="1:10" ht="15.75" customHeight="1" x14ac:dyDescent="0.3">
      <c r="A33" s="5" t="s">
        <v>900</v>
      </c>
      <c r="B33" s="11">
        <v>45673</v>
      </c>
      <c r="C33" s="5" t="s">
        <v>532</v>
      </c>
      <c r="D33" s="5" t="s">
        <v>180</v>
      </c>
      <c r="E33" s="5" t="s">
        <v>29</v>
      </c>
      <c r="F33" s="5">
        <v>2</v>
      </c>
      <c r="G33" s="19">
        <v>0.15</v>
      </c>
      <c r="H33" s="5" t="s">
        <v>454</v>
      </c>
      <c r="I33" s="10">
        <f>IF(OR(D33="", F33=""), "", F33 * VLOOKUP(D33, Products!A:E, 5, FALSE) * (1 - G33))</f>
        <v>1145.4259999999999</v>
      </c>
      <c r="J33" s="10"/>
    </row>
    <row r="34" spans="1:10" ht="15.75" customHeight="1" x14ac:dyDescent="0.3">
      <c r="A34" s="5" t="s">
        <v>901</v>
      </c>
      <c r="B34" s="11">
        <v>45858</v>
      </c>
      <c r="C34" s="5" t="s">
        <v>491</v>
      </c>
      <c r="D34" s="5" t="s">
        <v>134</v>
      </c>
      <c r="E34" s="5" t="s">
        <v>33</v>
      </c>
      <c r="F34" s="5">
        <v>3</v>
      </c>
      <c r="G34" s="19">
        <v>0.15</v>
      </c>
      <c r="H34" s="5" t="s">
        <v>454</v>
      </c>
      <c r="I34" s="10">
        <f>IF(OR(D34="", F34=""), "", F34 * VLOOKUP(D34, Products!A:E, 5, FALSE) * (1 - G34))</f>
        <v>3129.462</v>
      </c>
      <c r="J34" s="10"/>
    </row>
    <row r="35" spans="1:10" ht="15.75" customHeight="1" x14ac:dyDescent="0.3">
      <c r="A35" s="5" t="s">
        <v>902</v>
      </c>
      <c r="B35" s="11">
        <v>45243</v>
      </c>
      <c r="C35" s="5" t="s">
        <v>197</v>
      </c>
      <c r="D35" s="5" t="s">
        <v>232</v>
      </c>
      <c r="E35" s="5" t="s">
        <v>33</v>
      </c>
      <c r="F35" s="5">
        <v>1</v>
      </c>
      <c r="G35" s="19">
        <v>0</v>
      </c>
      <c r="H35" s="5" t="s">
        <v>454</v>
      </c>
      <c r="I35" s="10">
        <f>IF(OR(D35="", F35=""), "", F35 * VLOOKUP(D35, Products!A:E, 5, FALSE) * (1 - G35))</f>
        <v>1952.65</v>
      </c>
      <c r="J35" s="10"/>
    </row>
    <row r="36" spans="1:10" ht="15.75" customHeight="1" x14ac:dyDescent="0.3">
      <c r="A36" s="5" t="s">
        <v>903</v>
      </c>
      <c r="B36" s="11">
        <v>45338</v>
      </c>
      <c r="C36" s="5" t="s">
        <v>380</v>
      </c>
      <c r="D36" s="5" t="s">
        <v>276</v>
      </c>
      <c r="E36" s="5" t="s">
        <v>21</v>
      </c>
      <c r="F36" s="5">
        <v>1</v>
      </c>
      <c r="G36" s="19">
        <v>0</v>
      </c>
      <c r="H36" s="5" t="s">
        <v>697</v>
      </c>
      <c r="I36" s="10">
        <f>IF(OR(D36="", F36=""), "", F36 * VLOOKUP(D36, Products!A:E, 5, FALSE) * (1 - G36))</f>
        <v>1197.18</v>
      </c>
      <c r="J36" s="10"/>
    </row>
    <row r="37" spans="1:10" ht="15.75" customHeight="1" x14ac:dyDescent="0.3">
      <c r="A37" s="5" t="s">
        <v>904</v>
      </c>
      <c r="B37" s="11">
        <v>45811</v>
      </c>
      <c r="C37" s="5" t="s">
        <v>357</v>
      </c>
      <c r="D37" s="5" t="s">
        <v>285</v>
      </c>
      <c r="E37" s="5" t="s">
        <v>21</v>
      </c>
      <c r="F37" s="5">
        <v>5</v>
      </c>
      <c r="G37" s="19">
        <v>0.05</v>
      </c>
      <c r="H37" s="5" t="s">
        <v>697</v>
      </c>
      <c r="I37" s="10">
        <f>IF(OR(D37="", F37=""), "", F37 * VLOOKUP(D37, Products!A:E, 5, FALSE) * (1 - G37))</f>
        <v>1844.2349999999999</v>
      </c>
      <c r="J37" s="10"/>
    </row>
    <row r="38" spans="1:10" ht="15.75" customHeight="1" x14ac:dyDescent="0.3">
      <c r="A38" s="5" t="s">
        <v>905</v>
      </c>
      <c r="B38" s="11">
        <v>45308</v>
      </c>
      <c r="C38" s="5" t="s">
        <v>274</v>
      </c>
      <c r="D38" s="5" t="s">
        <v>193</v>
      </c>
      <c r="E38" s="5" t="s">
        <v>33</v>
      </c>
      <c r="F38" s="5">
        <v>1</v>
      </c>
      <c r="G38" s="19">
        <v>0.05</v>
      </c>
      <c r="H38" s="5" t="s">
        <v>637</v>
      </c>
      <c r="I38" s="10">
        <f>IF(OR(D38="", F38=""), "", F38 * VLOOKUP(D38, Products!A:E, 5, FALSE) * (1 - G38))</f>
        <v>27.777999999999999</v>
      </c>
      <c r="J38" s="10"/>
    </row>
    <row r="39" spans="1:10" ht="15.75" customHeight="1" x14ac:dyDescent="0.3">
      <c r="A39" s="5" t="s">
        <v>906</v>
      </c>
      <c r="B39" s="11">
        <v>45783</v>
      </c>
      <c r="C39" s="5" t="s">
        <v>811</v>
      </c>
      <c r="D39" s="5" t="s">
        <v>256</v>
      </c>
      <c r="E39" s="5" t="s">
        <v>29</v>
      </c>
      <c r="F39" s="5">
        <v>3</v>
      </c>
      <c r="G39" s="19">
        <v>0.05</v>
      </c>
      <c r="H39" s="5" t="s">
        <v>776</v>
      </c>
      <c r="I39" s="10">
        <f>IF(OR(D39="", F39=""), "", F39 * VLOOKUP(D39, Products!A:E, 5, FALSE) * (1 - G39))</f>
        <v>4659.7784999999994</v>
      </c>
      <c r="J39" s="10"/>
    </row>
    <row r="40" spans="1:10" ht="15.75" customHeight="1" x14ac:dyDescent="0.3">
      <c r="A40" s="5" t="s">
        <v>907</v>
      </c>
      <c r="B40" s="11">
        <v>45578</v>
      </c>
      <c r="C40" s="5" t="s">
        <v>878</v>
      </c>
      <c r="D40" s="5" t="s">
        <v>43</v>
      </c>
      <c r="E40" s="5" t="s">
        <v>25</v>
      </c>
      <c r="F40" s="5">
        <v>3</v>
      </c>
      <c r="G40" s="19">
        <v>0</v>
      </c>
      <c r="H40" s="5" t="s">
        <v>776</v>
      </c>
      <c r="I40" s="10">
        <f>IF(OR(D40="", F40=""), "", F40 * VLOOKUP(D40, Products!A:E, 5, FALSE) * (1 - G40))</f>
        <v>5021.07</v>
      </c>
      <c r="J40" s="10"/>
    </row>
    <row r="41" spans="1:10" ht="15.75" customHeight="1" x14ac:dyDescent="0.3">
      <c r="A41" s="5" t="s">
        <v>908</v>
      </c>
      <c r="B41" s="11">
        <v>45506</v>
      </c>
      <c r="C41" s="5" t="s">
        <v>466</v>
      </c>
      <c r="D41" s="5" t="s">
        <v>77</v>
      </c>
      <c r="E41" s="5" t="s">
        <v>37</v>
      </c>
      <c r="F41" s="5">
        <v>4</v>
      </c>
      <c r="G41" s="19">
        <v>0.15</v>
      </c>
      <c r="H41" s="5" t="s">
        <v>697</v>
      </c>
      <c r="I41" s="10">
        <f>IF(OR(D41="", F41=""), "", F41 * VLOOKUP(D41, Products!A:E, 5, FALSE) * (1 - G41))</f>
        <v>845.13799999999992</v>
      </c>
      <c r="J41" s="10"/>
    </row>
    <row r="42" spans="1:10" ht="15.75" customHeight="1" x14ac:dyDescent="0.3">
      <c r="A42" s="5" t="s">
        <v>909</v>
      </c>
      <c r="B42" s="11">
        <v>45280</v>
      </c>
      <c r="C42" s="5" t="s">
        <v>191</v>
      </c>
      <c r="D42" s="5" t="s">
        <v>267</v>
      </c>
      <c r="E42" s="5" t="s">
        <v>37</v>
      </c>
      <c r="F42" s="5">
        <v>2</v>
      </c>
      <c r="G42" s="19">
        <v>0</v>
      </c>
      <c r="H42" s="5" t="s">
        <v>454</v>
      </c>
      <c r="I42" s="10">
        <f>IF(OR(D42="", F42=""), "", F42 * VLOOKUP(D42, Products!A:E, 5, FALSE) * (1 - G42))</f>
        <v>2573.1</v>
      </c>
      <c r="J42" s="10"/>
    </row>
    <row r="43" spans="1:10" ht="15.75" customHeight="1" x14ac:dyDescent="0.3">
      <c r="A43" s="5" t="s">
        <v>910</v>
      </c>
      <c r="B43" s="11">
        <v>45446</v>
      </c>
      <c r="C43" s="5" t="s">
        <v>800</v>
      </c>
      <c r="D43" s="5" t="s">
        <v>162</v>
      </c>
      <c r="E43" s="5" t="s">
        <v>37</v>
      </c>
      <c r="F43" s="5">
        <v>1</v>
      </c>
      <c r="G43" s="19">
        <v>0</v>
      </c>
      <c r="H43" s="5" t="s">
        <v>454</v>
      </c>
      <c r="I43" s="10">
        <f>IF(OR(D43="", F43=""), "", F43 * VLOOKUP(D43, Products!A:E, 5, FALSE) * (1 - G43))</f>
        <v>429.15</v>
      </c>
      <c r="J43" s="10"/>
    </row>
    <row r="44" spans="1:10" ht="15.75" customHeight="1" x14ac:dyDescent="0.3">
      <c r="A44" s="5" t="s">
        <v>911</v>
      </c>
      <c r="B44" s="11">
        <v>45595</v>
      </c>
      <c r="C44" s="5" t="s">
        <v>671</v>
      </c>
      <c r="D44" s="5" t="s">
        <v>77</v>
      </c>
      <c r="E44" s="5" t="s">
        <v>33</v>
      </c>
      <c r="F44" s="5">
        <v>3</v>
      </c>
      <c r="G44" s="19">
        <v>0</v>
      </c>
      <c r="H44" s="5" t="s">
        <v>454</v>
      </c>
      <c r="I44" s="10">
        <f>IF(OR(D44="", F44=""), "", F44 * VLOOKUP(D44, Products!A:E, 5, FALSE) * (1 - G44))</f>
        <v>745.71</v>
      </c>
      <c r="J44" s="10"/>
    </row>
    <row r="45" spans="1:10" ht="15.75" customHeight="1" x14ac:dyDescent="0.3">
      <c r="A45" s="5" t="s">
        <v>912</v>
      </c>
      <c r="B45" s="11">
        <v>45657</v>
      </c>
      <c r="C45" s="5" t="s">
        <v>91</v>
      </c>
      <c r="D45" s="5" t="s">
        <v>212</v>
      </c>
      <c r="E45" s="5" t="s">
        <v>33</v>
      </c>
      <c r="F45" s="5">
        <v>4</v>
      </c>
      <c r="G45" s="19">
        <v>0</v>
      </c>
      <c r="H45" s="5" t="s">
        <v>637</v>
      </c>
      <c r="I45" s="10">
        <f>IF(OR(D45="", F45=""), "", F45 * VLOOKUP(D45, Products!A:E, 5, FALSE) * (1 - G45))</f>
        <v>7195.88</v>
      </c>
      <c r="J45" s="10"/>
    </row>
    <row r="46" spans="1:10" ht="15.75" customHeight="1" x14ac:dyDescent="0.3">
      <c r="A46" s="5" t="s">
        <v>913</v>
      </c>
      <c r="B46" s="11">
        <v>45565</v>
      </c>
      <c r="C46" s="5" t="s">
        <v>515</v>
      </c>
      <c r="D46" s="5" t="s">
        <v>269</v>
      </c>
      <c r="E46" s="5" t="s">
        <v>33</v>
      </c>
      <c r="F46" s="5">
        <v>2</v>
      </c>
      <c r="G46" s="19">
        <v>0.15</v>
      </c>
      <c r="H46" s="5" t="s">
        <v>697</v>
      </c>
      <c r="I46" s="10">
        <f>IF(OR(D46="", F46=""), "", F46 * VLOOKUP(D46, Products!A:E, 5, FALSE) * (1 - G46))</f>
        <v>3194.4359999999997</v>
      </c>
      <c r="J46" s="10"/>
    </row>
    <row r="47" spans="1:10" ht="15.75" customHeight="1" x14ac:dyDescent="0.3">
      <c r="A47" s="5" t="s">
        <v>914</v>
      </c>
      <c r="B47" s="11">
        <v>45257</v>
      </c>
      <c r="C47" s="5" t="s">
        <v>840</v>
      </c>
      <c r="D47" s="5" t="s">
        <v>175</v>
      </c>
      <c r="E47" s="5" t="s">
        <v>37</v>
      </c>
      <c r="F47" s="5">
        <v>3</v>
      </c>
      <c r="G47" s="19">
        <v>0.15</v>
      </c>
      <c r="H47" s="5" t="s">
        <v>637</v>
      </c>
      <c r="I47" s="10">
        <f>IF(OR(D47="", F47=""), "", F47 * VLOOKUP(D47, Products!A:E, 5, FALSE) * (1 - G47))</f>
        <v>3244.1864999999998</v>
      </c>
      <c r="J47" s="10"/>
    </row>
    <row r="48" spans="1:10" ht="15.75" customHeight="1" x14ac:dyDescent="0.3">
      <c r="A48" s="5" t="s">
        <v>915</v>
      </c>
      <c r="B48" s="11">
        <v>45783</v>
      </c>
      <c r="C48" s="5" t="s">
        <v>583</v>
      </c>
      <c r="D48" s="5" t="s">
        <v>269</v>
      </c>
      <c r="E48" s="5" t="s">
        <v>37</v>
      </c>
      <c r="F48" s="5">
        <v>3</v>
      </c>
      <c r="G48" s="19">
        <v>0.1</v>
      </c>
      <c r="H48" s="5" t="s">
        <v>697</v>
      </c>
      <c r="I48" s="10">
        <f>IF(OR(D48="", F48=""), "", F48 * VLOOKUP(D48, Products!A:E, 5, FALSE) * (1 - G48))</f>
        <v>5073.5159999999996</v>
      </c>
      <c r="J48" s="10"/>
    </row>
    <row r="49" spans="1:10" ht="15.75" customHeight="1" x14ac:dyDescent="0.3">
      <c r="A49" s="5" t="s">
        <v>916</v>
      </c>
      <c r="B49" s="11">
        <v>45682</v>
      </c>
      <c r="C49" s="5" t="s">
        <v>209</v>
      </c>
      <c r="D49" s="5" t="s">
        <v>77</v>
      </c>
      <c r="E49" s="5" t="s">
        <v>29</v>
      </c>
      <c r="F49" s="5">
        <v>4</v>
      </c>
      <c r="G49" s="19">
        <v>0.05</v>
      </c>
      <c r="H49" s="5" t="s">
        <v>637</v>
      </c>
      <c r="I49" s="10">
        <f>IF(OR(D49="", F49=""), "", F49 * VLOOKUP(D49, Products!A:E, 5, FALSE) * (1 - G49))</f>
        <v>944.56599999999992</v>
      </c>
      <c r="J49" s="10"/>
    </row>
    <row r="50" spans="1:10" ht="15.75" customHeight="1" x14ac:dyDescent="0.3">
      <c r="A50" s="5" t="s">
        <v>917</v>
      </c>
      <c r="B50" s="11">
        <v>45878</v>
      </c>
      <c r="C50" s="5" t="s">
        <v>703</v>
      </c>
      <c r="D50" s="5" t="s">
        <v>89</v>
      </c>
      <c r="E50" s="5" t="s">
        <v>37</v>
      </c>
      <c r="F50" s="5">
        <v>4</v>
      </c>
      <c r="G50" s="19">
        <v>0.1</v>
      </c>
      <c r="H50" s="5" t="s">
        <v>776</v>
      </c>
      <c r="I50" s="10">
        <f>IF(OR(D50="", F50=""), "", F50 * VLOOKUP(D50, Products!A:E, 5, FALSE) * (1 - G50))</f>
        <v>4085.2799999999997</v>
      </c>
      <c r="J50" s="10"/>
    </row>
    <row r="51" spans="1:10" ht="15.75" customHeight="1" x14ac:dyDescent="0.3">
      <c r="A51" s="5" t="s">
        <v>918</v>
      </c>
      <c r="B51" s="11">
        <v>45883</v>
      </c>
      <c r="C51" s="5" t="s">
        <v>634</v>
      </c>
      <c r="D51" s="5" t="s">
        <v>65</v>
      </c>
      <c r="E51" s="5" t="s">
        <v>29</v>
      </c>
      <c r="F51" s="5">
        <v>2</v>
      </c>
      <c r="G51" s="19">
        <v>0.15</v>
      </c>
      <c r="H51" s="5" t="s">
        <v>697</v>
      </c>
      <c r="I51" s="10">
        <f>IF(OR(D51="", F51=""), "", F51 * VLOOKUP(D51, Products!A:E, 5, FALSE) * (1 - G51))</f>
        <v>2506.0039999999999</v>
      </c>
      <c r="J51" s="10"/>
    </row>
    <row r="52" spans="1:10" ht="15.75" customHeight="1" x14ac:dyDescent="0.3">
      <c r="A52" s="5" t="s">
        <v>919</v>
      </c>
      <c r="B52" s="11">
        <v>45560</v>
      </c>
      <c r="C52" s="5" t="s">
        <v>507</v>
      </c>
      <c r="D52" s="5" t="s">
        <v>168</v>
      </c>
      <c r="E52" s="5" t="s">
        <v>29</v>
      </c>
      <c r="F52" s="5">
        <v>3</v>
      </c>
      <c r="G52" s="19">
        <v>0.1</v>
      </c>
      <c r="H52" s="5" t="s">
        <v>454</v>
      </c>
      <c r="I52" s="10">
        <f>IF(OR(D52="", F52=""), "", F52 * VLOOKUP(D52, Products!A:E, 5, FALSE) * (1 - G52))</f>
        <v>2742.5519999999997</v>
      </c>
      <c r="J52" s="10"/>
    </row>
    <row r="53" spans="1:10" ht="15.75" customHeight="1" x14ac:dyDescent="0.3">
      <c r="A53" s="5" t="s">
        <v>920</v>
      </c>
      <c r="B53" s="11">
        <v>45786</v>
      </c>
      <c r="C53" s="5" t="s">
        <v>691</v>
      </c>
      <c r="D53" s="5" t="s">
        <v>140</v>
      </c>
      <c r="E53" s="5" t="s">
        <v>21</v>
      </c>
      <c r="F53" s="5">
        <v>5</v>
      </c>
      <c r="G53" s="19">
        <v>0.05</v>
      </c>
      <c r="H53" s="5" t="s">
        <v>776</v>
      </c>
      <c r="I53" s="10">
        <f>IF(OR(D53="", F53=""), "", F53 * VLOOKUP(D53, Products!A:E, 5, FALSE) * (1 - G53))</f>
        <v>121.4575</v>
      </c>
      <c r="J53" s="10"/>
    </row>
    <row r="54" spans="1:10" ht="15.75" customHeight="1" x14ac:dyDescent="0.3">
      <c r="A54" s="5" t="s">
        <v>921</v>
      </c>
      <c r="B54" s="11">
        <v>45565</v>
      </c>
      <c r="C54" s="5" t="s">
        <v>397</v>
      </c>
      <c r="D54" s="5" t="s">
        <v>276</v>
      </c>
      <c r="E54" s="5" t="s">
        <v>33</v>
      </c>
      <c r="F54" s="5">
        <v>4</v>
      </c>
      <c r="G54" s="19">
        <v>0.05</v>
      </c>
      <c r="H54" s="5" t="s">
        <v>637</v>
      </c>
      <c r="I54" s="10">
        <f>IF(OR(D54="", F54=""), "", F54 * VLOOKUP(D54, Products!A:E, 5, FALSE) * (1 - G54))</f>
        <v>4549.2839999999997</v>
      </c>
      <c r="J54" s="10"/>
    </row>
    <row r="55" spans="1:10" ht="15.75" customHeight="1" x14ac:dyDescent="0.3">
      <c r="A55" s="5" t="s">
        <v>922</v>
      </c>
      <c r="B55" s="11">
        <v>45320</v>
      </c>
      <c r="C55" s="5" t="s">
        <v>766</v>
      </c>
      <c r="D55" s="5" t="s">
        <v>43</v>
      </c>
      <c r="E55" s="5" t="s">
        <v>33</v>
      </c>
      <c r="F55" s="5">
        <v>4</v>
      </c>
      <c r="G55" s="19">
        <v>0</v>
      </c>
      <c r="H55" s="5" t="s">
        <v>776</v>
      </c>
      <c r="I55" s="10">
        <f>IF(OR(D55="", F55=""), "", F55 * VLOOKUP(D55, Products!A:E, 5, FALSE) * (1 - G55))</f>
        <v>6694.76</v>
      </c>
      <c r="J55" s="10"/>
    </row>
    <row r="56" spans="1:10" ht="15.75" customHeight="1" x14ac:dyDescent="0.3">
      <c r="A56" s="5" t="s">
        <v>923</v>
      </c>
      <c r="B56" s="11">
        <v>45470</v>
      </c>
      <c r="C56" s="5" t="s">
        <v>450</v>
      </c>
      <c r="D56" s="5" t="s">
        <v>70</v>
      </c>
      <c r="E56" s="5" t="s">
        <v>25</v>
      </c>
      <c r="F56" s="5">
        <v>4</v>
      </c>
      <c r="G56" s="19">
        <v>0.05</v>
      </c>
      <c r="H56" s="5" t="s">
        <v>454</v>
      </c>
      <c r="I56" s="10">
        <f>IF(OR(D56="", F56=""), "", F56 * VLOOKUP(D56, Products!A:E, 5, FALSE) * (1 - G56))</f>
        <v>468.12199999999996</v>
      </c>
      <c r="J56" s="10"/>
    </row>
    <row r="57" spans="1:10" ht="15.75" customHeight="1" x14ac:dyDescent="0.3">
      <c r="A57" s="5" t="s">
        <v>924</v>
      </c>
      <c r="B57" s="11">
        <v>45888</v>
      </c>
      <c r="C57" s="5" t="s">
        <v>779</v>
      </c>
      <c r="D57" s="5" t="s">
        <v>180</v>
      </c>
      <c r="E57" s="5" t="s">
        <v>37</v>
      </c>
      <c r="F57" s="5">
        <v>3</v>
      </c>
      <c r="G57" s="19">
        <v>0.15</v>
      </c>
      <c r="H57" s="5" t="s">
        <v>454</v>
      </c>
      <c r="I57" s="10">
        <f>IF(OR(D57="", F57=""), "", F57 * VLOOKUP(D57, Products!A:E, 5, FALSE) * (1 - G57))</f>
        <v>1718.1389999999999</v>
      </c>
      <c r="J57" s="10"/>
    </row>
    <row r="58" spans="1:10" ht="15.75" customHeight="1" x14ac:dyDescent="0.3">
      <c r="A58" s="5" t="s">
        <v>925</v>
      </c>
      <c r="B58" s="11">
        <v>45576</v>
      </c>
      <c r="C58" s="5" t="s">
        <v>571</v>
      </c>
      <c r="D58" s="5" t="s">
        <v>77</v>
      </c>
      <c r="E58" s="5" t="s">
        <v>37</v>
      </c>
      <c r="F58" s="5">
        <v>3</v>
      </c>
      <c r="G58" s="19">
        <v>0.1</v>
      </c>
      <c r="H58" s="5" t="s">
        <v>637</v>
      </c>
      <c r="I58" s="10">
        <f>IF(OR(D58="", F58=""), "", F58 * VLOOKUP(D58, Products!A:E, 5, FALSE) * (1 - G58))</f>
        <v>671.13900000000001</v>
      </c>
      <c r="J58" s="10"/>
    </row>
    <row r="59" spans="1:10" ht="15.75" customHeight="1" x14ac:dyDescent="0.3">
      <c r="A59" s="5" t="s">
        <v>926</v>
      </c>
      <c r="B59" s="11">
        <v>45311</v>
      </c>
      <c r="C59" s="5" t="s">
        <v>429</v>
      </c>
      <c r="D59" s="5" t="s">
        <v>217</v>
      </c>
      <c r="E59" s="5" t="s">
        <v>29</v>
      </c>
      <c r="F59" s="5">
        <v>3</v>
      </c>
      <c r="G59" s="19">
        <v>0.05</v>
      </c>
      <c r="H59" s="5" t="s">
        <v>776</v>
      </c>
      <c r="I59" s="10">
        <f>IF(OR(D59="", F59=""), "", F59 * VLOOKUP(D59, Products!A:E, 5, FALSE) * (1 - G59))</f>
        <v>1219.9425000000001</v>
      </c>
      <c r="J59" s="10"/>
    </row>
    <row r="60" spans="1:10" ht="15.75" customHeight="1" x14ac:dyDescent="0.3">
      <c r="A60" s="5" t="s">
        <v>927</v>
      </c>
      <c r="B60" s="11">
        <v>45702</v>
      </c>
      <c r="C60" s="5" t="s">
        <v>829</v>
      </c>
      <c r="D60" s="5" t="s">
        <v>175</v>
      </c>
      <c r="E60" s="5" t="s">
        <v>25</v>
      </c>
      <c r="F60" s="5">
        <v>3</v>
      </c>
      <c r="G60" s="19">
        <v>0</v>
      </c>
      <c r="H60" s="5" t="s">
        <v>697</v>
      </c>
      <c r="I60" s="10">
        <f>IF(OR(D60="", F60=""), "", F60 * VLOOKUP(D60, Products!A:E, 5, FALSE) * (1 - G60))</f>
        <v>3816.69</v>
      </c>
      <c r="J60" s="10"/>
    </row>
    <row r="61" spans="1:10" ht="15.75" customHeight="1" x14ac:dyDescent="0.3">
      <c r="A61" s="5" t="s">
        <v>928</v>
      </c>
      <c r="B61" s="11">
        <v>45622</v>
      </c>
      <c r="C61" s="5" t="s">
        <v>350</v>
      </c>
      <c r="D61" s="5" t="s">
        <v>267</v>
      </c>
      <c r="E61" s="5" t="s">
        <v>25</v>
      </c>
      <c r="F61" s="5">
        <v>4</v>
      </c>
      <c r="G61" s="19">
        <v>0.1</v>
      </c>
      <c r="H61" s="5" t="s">
        <v>454</v>
      </c>
      <c r="I61" s="10">
        <f>IF(OR(D61="", F61=""), "", F61 * VLOOKUP(D61, Products!A:E, 5, FALSE) * (1 - G61))</f>
        <v>4631.58</v>
      </c>
      <c r="J61" s="10"/>
    </row>
    <row r="62" spans="1:10" ht="15.75" customHeight="1" x14ac:dyDescent="0.3">
      <c r="A62" s="5" t="s">
        <v>929</v>
      </c>
      <c r="B62" s="11">
        <v>45736</v>
      </c>
      <c r="C62" s="5" t="s">
        <v>229</v>
      </c>
      <c r="D62" s="5" t="s">
        <v>61</v>
      </c>
      <c r="E62" s="5" t="s">
        <v>25</v>
      </c>
      <c r="F62" s="5">
        <v>3</v>
      </c>
      <c r="G62" s="19">
        <v>0.05</v>
      </c>
      <c r="H62" s="5" t="s">
        <v>454</v>
      </c>
      <c r="I62" s="10">
        <f>IF(OR(D62="", F62=""), "", F62 * VLOOKUP(D62, Products!A:E, 5, FALSE) * (1 - G62))</f>
        <v>906.4425</v>
      </c>
      <c r="J62" s="10"/>
    </row>
    <row r="63" spans="1:10" ht="15.75" customHeight="1" x14ac:dyDescent="0.3">
      <c r="A63" s="5" t="s">
        <v>930</v>
      </c>
      <c r="B63" s="11">
        <v>45780</v>
      </c>
      <c r="C63" s="5" t="s">
        <v>334</v>
      </c>
      <c r="D63" s="5" t="s">
        <v>175</v>
      </c>
      <c r="E63" s="5" t="s">
        <v>29</v>
      </c>
      <c r="F63" s="5">
        <v>1</v>
      </c>
      <c r="G63" s="19">
        <v>0.05</v>
      </c>
      <c r="H63" s="5" t="s">
        <v>454</v>
      </c>
      <c r="I63" s="10">
        <f>IF(OR(D63="", F63=""), "", F63 * VLOOKUP(D63, Products!A:E, 5, FALSE) * (1 - G63))</f>
        <v>1208.6185</v>
      </c>
      <c r="J63" s="10"/>
    </row>
    <row r="64" spans="1:10" ht="15.75" customHeight="1" x14ac:dyDescent="0.3">
      <c r="A64" s="5" t="s">
        <v>931</v>
      </c>
      <c r="B64" s="11">
        <v>45444</v>
      </c>
      <c r="C64" s="5" t="s">
        <v>149</v>
      </c>
      <c r="D64" s="5" t="s">
        <v>226</v>
      </c>
      <c r="E64" s="5" t="s">
        <v>21</v>
      </c>
      <c r="F64" s="5">
        <v>5</v>
      </c>
      <c r="G64" s="19">
        <v>0.1</v>
      </c>
      <c r="H64" s="5" t="s">
        <v>697</v>
      </c>
      <c r="I64" s="10">
        <f>IF(OR(D64="", F64=""), "", F64 * VLOOKUP(D64, Products!A:E, 5, FALSE) * (1 - G64))</f>
        <v>6756.5700000000006</v>
      </c>
      <c r="J64" s="10"/>
    </row>
    <row r="65" spans="1:10" ht="15.75" customHeight="1" x14ac:dyDescent="0.3">
      <c r="A65" s="5" t="s">
        <v>932</v>
      </c>
      <c r="B65" s="11">
        <v>45611</v>
      </c>
      <c r="C65" s="5" t="s">
        <v>758</v>
      </c>
      <c r="D65" s="5" t="s">
        <v>280</v>
      </c>
      <c r="E65" s="5" t="s">
        <v>33</v>
      </c>
      <c r="F65" s="5">
        <v>1</v>
      </c>
      <c r="G65" s="19">
        <v>0</v>
      </c>
      <c r="H65" s="5" t="s">
        <v>454</v>
      </c>
      <c r="I65" s="10">
        <f>IF(OR(D65="", F65=""), "", F65 * VLOOKUP(D65, Products!A:E, 5, FALSE) * (1 - G65))</f>
        <v>1216.3599999999999</v>
      </c>
      <c r="J65" s="10"/>
    </row>
    <row r="66" spans="1:10" ht="15.75" customHeight="1" x14ac:dyDescent="0.3">
      <c r="A66" s="5" t="s">
        <v>933</v>
      </c>
      <c r="B66" s="11">
        <v>45438</v>
      </c>
      <c r="C66" s="5" t="s">
        <v>615</v>
      </c>
      <c r="D66" s="5" t="s">
        <v>180</v>
      </c>
      <c r="E66" s="5" t="s">
        <v>33</v>
      </c>
      <c r="F66" s="5">
        <v>4</v>
      </c>
      <c r="G66" s="19">
        <v>0.1</v>
      </c>
      <c r="H66" s="5" t="s">
        <v>697</v>
      </c>
      <c r="I66" s="10">
        <f>IF(OR(D66="", F66=""), "", F66 * VLOOKUP(D66, Products!A:E, 5, FALSE) * (1 - G66))</f>
        <v>2425.6080000000002</v>
      </c>
      <c r="J66" s="10"/>
    </row>
    <row r="67" spans="1:10" ht="15.75" customHeight="1" x14ac:dyDescent="0.3">
      <c r="A67" s="5" t="s">
        <v>934</v>
      </c>
      <c r="B67" s="11">
        <v>45402</v>
      </c>
      <c r="C67" s="5" t="s">
        <v>159</v>
      </c>
      <c r="D67" s="5" t="s">
        <v>74</v>
      </c>
      <c r="E67" s="5" t="s">
        <v>29</v>
      </c>
      <c r="F67" s="5">
        <v>4</v>
      </c>
      <c r="G67" s="19">
        <v>0</v>
      </c>
      <c r="H67" s="5" t="s">
        <v>776</v>
      </c>
      <c r="I67" s="10">
        <f>IF(OR(D67="", F67=""), "", F67 * VLOOKUP(D67, Products!A:E, 5, FALSE) * (1 - G67))</f>
        <v>4776.4799999999996</v>
      </c>
      <c r="J67" s="10"/>
    </row>
    <row r="68" spans="1:10" ht="15.75" customHeight="1" x14ac:dyDescent="0.3">
      <c r="A68" s="5" t="s">
        <v>935</v>
      </c>
      <c r="B68" s="11">
        <v>45704</v>
      </c>
      <c r="C68" s="5" t="s">
        <v>550</v>
      </c>
      <c r="D68" s="5" t="s">
        <v>262</v>
      </c>
      <c r="E68" s="5" t="s">
        <v>33</v>
      </c>
      <c r="F68" s="5">
        <v>1</v>
      </c>
      <c r="G68" s="19">
        <v>0</v>
      </c>
      <c r="H68" s="5" t="s">
        <v>697</v>
      </c>
      <c r="I68" s="10">
        <f>IF(OR(D68="", F68=""), "", F68 * VLOOKUP(D68, Products!A:E, 5, FALSE) * (1 - G68))</f>
        <v>453.62</v>
      </c>
      <c r="J68" s="10"/>
    </row>
    <row r="69" spans="1:10" ht="15.75" customHeight="1" x14ac:dyDescent="0.3">
      <c r="A69" s="5" t="s">
        <v>936</v>
      </c>
      <c r="B69" s="11">
        <v>45366</v>
      </c>
      <c r="C69" s="5" t="s">
        <v>304</v>
      </c>
      <c r="D69" s="5" t="s">
        <v>47</v>
      </c>
      <c r="E69" s="5" t="s">
        <v>37</v>
      </c>
      <c r="F69" s="5">
        <v>3</v>
      </c>
      <c r="G69" s="19">
        <v>0</v>
      </c>
      <c r="H69" s="5" t="s">
        <v>697</v>
      </c>
      <c r="I69" s="10">
        <f>IF(OR(D69="", F69=""), "", F69 * VLOOKUP(D69, Products!A:E, 5, FALSE) * (1 - G69))</f>
        <v>2456.2799999999997</v>
      </c>
      <c r="J69" s="10"/>
    </row>
    <row r="70" spans="1:10" ht="15.75" customHeight="1" x14ac:dyDescent="0.3">
      <c r="A70" s="5" t="s">
        <v>937</v>
      </c>
      <c r="B70" s="11">
        <v>45244</v>
      </c>
      <c r="C70" s="5" t="s">
        <v>255</v>
      </c>
      <c r="D70" s="5" t="s">
        <v>249</v>
      </c>
      <c r="E70" s="5" t="s">
        <v>37</v>
      </c>
      <c r="F70" s="5">
        <v>4</v>
      </c>
      <c r="G70" s="19">
        <v>0.05</v>
      </c>
      <c r="H70" s="5" t="s">
        <v>637</v>
      </c>
      <c r="I70" s="10">
        <f>IF(OR(D70="", F70=""), "", F70 * VLOOKUP(D70, Products!A:E, 5, FALSE) * (1 - G70))</f>
        <v>6633.3179999999993</v>
      </c>
      <c r="J70" s="10"/>
    </row>
    <row r="71" spans="1:10" ht="15.75" customHeight="1" x14ac:dyDescent="0.3">
      <c r="A71" s="5" t="s">
        <v>938</v>
      </c>
      <c r="B71" s="11">
        <v>45628</v>
      </c>
      <c r="C71" s="5" t="s">
        <v>597</v>
      </c>
      <c r="D71" s="5" t="s">
        <v>89</v>
      </c>
      <c r="E71" s="5" t="s">
        <v>33</v>
      </c>
      <c r="F71" s="5">
        <v>3</v>
      </c>
      <c r="G71" s="19">
        <v>0.15</v>
      </c>
      <c r="H71" s="5" t="s">
        <v>454</v>
      </c>
      <c r="I71" s="10">
        <f>IF(OR(D71="", F71=""), "", F71 * VLOOKUP(D71, Products!A:E, 5, FALSE) * (1 - G71))</f>
        <v>2893.74</v>
      </c>
      <c r="J71" s="10"/>
    </row>
    <row r="72" spans="1:10" ht="15.75" customHeight="1" x14ac:dyDescent="0.3">
      <c r="A72" s="5" t="s">
        <v>939</v>
      </c>
      <c r="B72" s="11">
        <v>45248</v>
      </c>
      <c r="C72" s="5" t="s">
        <v>703</v>
      </c>
      <c r="D72" s="5" t="s">
        <v>267</v>
      </c>
      <c r="E72" s="5" t="s">
        <v>37</v>
      </c>
      <c r="F72" s="5">
        <v>1</v>
      </c>
      <c r="G72" s="19">
        <v>0</v>
      </c>
      <c r="H72" s="5" t="s">
        <v>697</v>
      </c>
      <c r="I72" s="10">
        <f>IF(OR(D72="", F72=""), "", F72 * VLOOKUP(D72, Products!A:E, 5, FALSE) * (1 - G72))</f>
        <v>1286.55</v>
      </c>
      <c r="J72" s="10"/>
    </row>
    <row r="73" spans="1:10" ht="15.75" customHeight="1" x14ac:dyDescent="0.3">
      <c r="A73" s="5" t="s">
        <v>940</v>
      </c>
      <c r="B73" s="11">
        <v>45662</v>
      </c>
      <c r="C73" s="5" t="s">
        <v>750</v>
      </c>
      <c r="D73" s="5" t="s">
        <v>82</v>
      </c>
      <c r="E73" s="5" t="s">
        <v>25</v>
      </c>
      <c r="F73" s="5">
        <v>3</v>
      </c>
      <c r="G73" s="19">
        <v>0</v>
      </c>
      <c r="H73" s="5" t="s">
        <v>697</v>
      </c>
      <c r="I73" s="10">
        <f>IF(OR(D73="", F73=""), "", F73 * VLOOKUP(D73, Products!A:E, 5, FALSE) * (1 - G73))</f>
        <v>3579.2699999999995</v>
      </c>
      <c r="J73" s="10"/>
    </row>
    <row r="74" spans="1:10" ht="15.75" customHeight="1" x14ac:dyDescent="0.3">
      <c r="A74" s="5" t="s">
        <v>941</v>
      </c>
      <c r="B74" s="11">
        <v>45573</v>
      </c>
      <c r="C74" s="5" t="s">
        <v>397</v>
      </c>
      <c r="D74" s="5" t="s">
        <v>140</v>
      </c>
      <c r="E74" s="5" t="s">
        <v>25</v>
      </c>
      <c r="F74" s="5">
        <v>5</v>
      </c>
      <c r="G74" s="19">
        <v>0</v>
      </c>
      <c r="H74" s="5" t="s">
        <v>697</v>
      </c>
      <c r="I74" s="10">
        <f>IF(OR(D74="", F74=""), "", F74 * VLOOKUP(D74, Products!A:E, 5, FALSE) * (1 - G74))</f>
        <v>127.85</v>
      </c>
      <c r="J74" s="10"/>
    </row>
    <row r="75" spans="1:10" ht="15.75" customHeight="1" x14ac:dyDescent="0.3">
      <c r="A75" s="5" t="s">
        <v>942</v>
      </c>
      <c r="B75" s="11">
        <v>45474</v>
      </c>
      <c r="C75" s="5" t="s">
        <v>16</v>
      </c>
      <c r="D75" s="5" t="s">
        <v>95</v>
      </c>
      <c r="E75" s="5" t="s">
        <v>33</v>
      </c>
      <c r="F75" s="5">
        <v>4</v>
      </c>
      <c r="G75" s="19">
        <v>0.15</v>
      </c>
      <c r="H75" s="5" t="s">
        <v>454</v>
      </c>
      <c r="I75" s="10">
        <f>IF(OR(D75="", F75=""), "", F75 * VLOOKUP(D75, Products!A:E, 5, FALSE) * (1 - G75))</f>
        <v>4565.3499999999995</v>
      </c>
      <c r="J75" s="10"/>
    </row>
    <row r="76" spans="1:10" ht="15.75" customHeight="1" x14ac:dyDescent="0.3">
      <c r="A76" s="5" t="s">
        <v>943</v>
      </c>
      <c r="B76" s="11">
        <v>45406</v>
      </c>
      <c r="C76" s="5" t="s">
        <v>129</v>
      </c>
      <c r="D76" s="5" t="s">
        <v>119</v>
      </c>
      <c r="E76" s="5" t="s">
        <v>25</v>
      </c>
      <c r="F76" s="5">
        <v>3</v>
      </c>
      <c r="G76" s="19">
        <v>0.1</v>
      </c>
      <c r="H76" s="5" t="s">
        <v>637</v>
      </c>
      <c r="I76" s="10">
        <f>IF(OR(D76="", F76=""), "", F76 * VLOOKUP(D76, Products!A:E, 5, FALSE) * (1 - G76))</f>
        <v>2915.703</v>
      </c>
      <c r="J76" s="10"/>
    </row>
    <row r="77" spans="1:10" ht="15.75" customHeight="1" x14ac:dyDescent="0.3">
      <c r="A77" s="5" t="s">
        <v>944</v>
      </c>
      <c r="B77" s="11">
        <v>45797</v>
      </c>
      <c r="C77" s="5" t="s">
        <v>185</v>
      </c>
      <c r="D77" s="5" t="s">
        <v>57</v>
      </c>
      <c r="E77" s="5" t="s">
        <v>25</v>
      </c>
      <c r="F77" s="5">
        <v>3</v>
      </c>
      <c r="G77" s="19">
        <v>0.05</v>
      </c>
      <c r="H77" s="5" t="s">
        <v>637</v>
      </c>
      <c r="I77" s="10">
        <f>IF(OR(D77="", F77=""), "", F77 * VLOOKUP(D77, Products!A:E, 5, FALSE) * (1 - G77))</f>
        <v>3979.2269999999999</v>
      </c>
      <c r="J77" s="10"/>
    </row>
    <row r="78" spans="1:10" ht="15.75" customHeight="1" x14ac:dyDescent="0.3">
      <c r="A78" s="5" t="s">
        <v>945</v>
      </c>
      <c r="B78" s="11">
        <v>45827</v>
      </c>
      <c r="C78" s="5" t="s">
        <v>250</v>
      </c>
      <c r="D78" s="5" t="s">
        <v>200</v>
      </c>
      <c r="E78" s="5" t="s">
        <v>37</v>
      </c>
      <c r="F78" s="5">
        <v>2</v>
      </c>
      <c r="G78" s="19">
        <v>0.05</v>
      </c>
      <c r="H78" s="5" t="s">
        <v>454</v>
      </c>
      <c r="I78" s="10">
        <f>IF(OR(D78="", F78=""), "", F78 * VLOOKUP(D78, Products!A:E, 5, FALSE) * (1 - G78))</f>
        <v>2081.8679999999999</v>
      </c>
      <c r="J78" s="10"/>
    </row>
    <row r="79" spans="1:10" ht="15.75" customHeight="1" x14ac:dyDescent="0.3">
      <c r="A79" s="5" t="s">
        <v>946</v>
      </c>
      <c r="B79" s="11">
        <v>45497</v>
      </c>
      <c r="C79" s="5" t="s">
        <v>296</v>
      </c>
      <c r="D79" s="5" t="s">
        <v>103</v>
      </c>
      <c r="E79" s="5" t="s">
        <v>21</v>
      </c>
      <c r="F79" s="5">
        <v>1</v>
      </c>
      <c r="G79" s="19">
        <v>0.05</v>
      </c>
      <c r="H79" s="5" t="s">
        <v>454</v>
      </c>
      <c r="I79" s="10">
        <f>IF(OR(D79="", F79=""), "", F79 * VLOOKUP(D79, Products!A:E, 5, FALSE) * (1 - G79))</f>
        <v>256.92749999999995</v>
      </c>
      <c r="J79" s="10"/>
    </row>
    <row r="80" spans="1:10" ht="15.75" customHeight="1" x14ac:dyDescent="0.3">
      <c r="A80" s="5" t="s">
        <v>947</v>
      </c>
      <c r="B80" s="11">
        <v>45297</v>
      </c>
      <c r="C80" s="5" t="s">
        <v>724</v>
      </c>
      <c r="D80" s="5" t="s">
        <v>119</v>
      </c>
      <c r="E80" s="5" t="s">
        <v>37</v>
      </c>
      <c r="F80" s="5">
        <v>3</v>
      </c>
      <c r="G80" s="19">
        <v>0.15</v>
      </c>
      <c r="H80" s="5" t="s">
        <v>776</v>
      </c>
      <c r="I80" s="10">
        <f>IF(OR(D80="", F80=""), "", F80 * VLOOKUP(D80, Products!A:E, 5, FALSE) * (1 - G80))</f>
        <v>2753.7195000000002</v>
      </c>
      <c r="J80" s="10"/>
    </row>
    <row r="81" spans="1:10" ht="15.75" customHeight="1" x14ac:dyDescent="0.3">
      <c r="A81" s="5" t="s">
        <v>948</v>
      </c>
      <c r="B81" s="11">
        <v>45251</v>
      </c>
      <c r="C81" s="5" t="s">
        <v>611</v>
      </c>
      <c r="D81" s="5" t="s">
        <v>134</v>
      </c>
      <c r="E81" s="5" t="s">
        <v>29</v>
      </c>
      <c r="F81" s="5">
        <v>4</v>
      </c>
      <c r="G81" s="19">
        <v>0.1</v>
      </c>
      <c r="H81" s="5" t="s">
        <v>637</v>
      </c>
      <c r="I81" s="10">
        <f>IF(OR(D81="", F81=""), "", F81 * VLOOKUP(D81, Products!A:E, 5, FALSE) * (1 - G81))</f>
        <v>4418.0640000000003</v>
      </c>
      <c r="J81" s="10"/>
    </row>
    <row r="82" spans="1:10" ht="15.75" customHeight="1" x14ac:dyDescent="0.3">
      <c r="A82" s="5" t="s">
        <v>949</v>
      </c>
      <c r="B82" s="11">
        <v>45463</v>
      </c>
      <c r="C82" s="5" t="s">
        <v>586</v>
      </c>
      <c r="D82" s="5" t="s">
        <v>70</v>
      </c>
      <c r="E82" s="5" t="s">
        <v>21</v>
      </c>
      <c r="F82" s="5">
        <v>5</v>
      </c>
      <c r="G82" s="19">
        <v>0</v>
      </c>
      <c r="H82" s="5" t="s">
        <v>637</v>
      </c>
      <c r="I82" s="10">
        <f>IF(OR(D82="", F82=""), "", F82 * VLOOKUP(D82, Products!A:E, 5, FALSE) * (1 - G82))</f>
        <v>615.95000000000005</v>
      </c>
      <c r="J82" s="10"/>
    </row>
    <row r="83" spans="1:10" ht="15.75" customHeight="1" x14ac:dyDescent="0.3">
      <c r="A83" s="5" t="s">
        <v>950</v>
      </c>
      <c r="B83" s="11">
        <v>45222</v>
      </c>
      <c r="C83" s="5" t="s">
        <v>842</v>
      </c>
      <c r="D83" s="5" t="s">
        <v>70</v>
      </c>
      <c r="E83" s="5" t="s">
        <v>29</v>
      </c>
      <c r="F83" s="5">
        <v>5</v>
      </c>
      <c r="G83" s="19">
        <v>0.1</v>
      </c>
      <c r="H83" s="5" t="s">
        <v>776</v>
      </c>
      <c r="I83" s="10">
        <f>IF(OR(D83="", F83=""), "", F83 * VLOOKUP(D83, Products!A:E, 5, FALSE) * (1 - G83))</f>
        <v>554.35500000000002</v>
      </c>
      <c r="J83" s="10"/>
    </row>
    <row r="84" spans="1:10" ht="15.75" customHeight="1" x14ac:dyDescent="0.3">
      <c r="A84" s="5" t="s">
        <v>951</v>
      </c>
      <c r="B84" s="11">
        <v>45520</v>
      </c>
      <c r="C84" s="5" t="s">
        <v>215</v>
      </c>
      <c r="D84" s="5" t="s">
        <v>243</v>
      </c>
      <c r="E84" s="5" t="s">
        <v>25</v>
      </c>
      <c r="F84" s="5">
        <v>5</v>
      </c>
      <c r="G84" s="19">
        <v>0</v>
      </c>
      <c r="H84" s="5" t="s">
        <v>454</v>
      </c>
      <c r="I84" s="10">
        <f>IF(OR(D84="", F84=""), "", F84 * VLOOKUP(D84, Products!A:E, 5, FALSE) * (1 - G84))</f>
        <v>2704.7000000000003</v>
      </c>
      <c r="J84" s="10"/>
    </row>
    <row r="85" spans="1:10" ht="15.75" customHeight="1" x14ac:dyDescent="0.3">
      <c r="A85" s="5" t="s">
        <v>952</v>
      </c>
      <c r="B85" s="11">
        <v>45805</v>
      </c>
      <c r="C85" s="5" t="s">
        <v>708</v>
      </c>
      <c r="D85" s="5" t="s">
        <v>237</v>
      </c>
      <c r="E85" s="5" t="s">
        <v>21</v>
      </c>
      <c r="F85" s="5">
        <v>2</v>
      </c>
      <c r="G85" s="19">
        <v>0.15</v>
      </c>
      <c r="H85" s="5" t="s">
        <v>637</v>
      </c>
      <c r="I85" s="10">
        <f>IF(OR(D85="", F85=""), "", F85 * VLOOKUP(D85, Products!A:E, 5, FALSE) * (1 - G85))</f>
        <v>623.78099999999995</v>
      </c>
      <c r="J85" s="10"/>
    </row>
    <row r="86" spans="1:10" ht="15.75" customHeight="1" x14ac:dyDescent="0.3">
      <c r="A86" s="5" t="s">
        <v>953</v>
      </c>
      <c r="B86" s="11">
        <v>45212</v>
      </c>
      <c r="C86" s="5" t="s">
        <v>437</v>
      </c>
      <c r="D86" s="5" t="s">
        <v>95</v>
      </c>
      <c r="E86" s="5" t="s">
        <v>25</v>
      </c>
      <c r="F86" s="5">
        <v>5</v>
      </c>
      <c r="G86" s="19">
        <v>0.15</v>
      </c>
      <c r="H86" s="5" t="s">
        <v>637</v>
      </c>
      <c r="I86" s="10">
        <f>IF(OR(D86="", F86=""), "", F86 * VLOOKUP(D86, Products!A:E, 5, FALSE) * (1 - G86))</f>
        <v>5706.6875</v>
      </c>
      <c r="J86" s="10"/>
    </row>
    <row r="87" spans="1:10" ht="15.75" customHeight="1" x14ac:dyDescent="0.3">
      <c r="A87" s="5" t="s">
        <v>954</v>
      </c>
      <c r="B87" s="11">
        <v>45186</v>
      </c>
      <c r="C87" s="5" t="s">
        <v>215</v>
      </c>
      <c r="D87" s="5" t="s">
        <v>119</v>
      </c>
      <c r="E87" s="5" t="s">
        <v>33</v>
      </c>
      <c r="F87" s="5">
        <v>3</v>
      </c>
      <c r="G87" s="19">
        <v>0.15</v>
      </c>
      <c r="H87" s="5" t="s">
        <v>454</v>
      </c>
      <c r="I87" s="10">
        <f>IF(OR(D87="", F87=""), "", F87 * VLOOKUP(D87, Products!A:E, 5, FALSE) * (1 - G87))</f>
        <v>2753.7195000000002</v>
      </c>
      <c r="J87" s="10"/>
    </row>
    <row r="88" spans="1:10" ht="15.75" customHeight="1" x14ac:dyDescent="0.3">
      <c r="A88" s="5" t="s">
        <v>955</v>
      </c>
      <c r="B88" s="11">
        <v>45582</v>
      </c>
      <c r="C88" s="5" t="s">
        <v>477</v>
      </c>
      <c r="D88" s="5" t="s">
        <v>226</v>
      </c>
      <c r="E88" s="5" t="s">
        <v>21</v>
      </c>
      <c r="F88" s="5">
        <v>2</v>
      </c>
      <c r="G88" s="19">
        <v>0.1</v>
      </c>
      <c r="H88" s="5" t="s">
        <v>637</v>
      </c>
      <c r="I88" s="10">
        <f>IF(OR(D88="", F88=""), "", F88 * VLOOKUP(D88, Products!A:E, 5, FALSE) * (1 - G88))</f>
        <v>2702.6280000000002</v>
      </c>
      <c r="J88" s="10"/>
    </row>
    <row r="89" spans="1:10" ht="15.75" customHeight="1" x14ac:dyDescent="0.3">
      <c r="A89" s="5" t="s">
        <v>956</v>
      </c>
      <c r="B89" s="11">
        <v>45800</v>
      </c>
      <c r="C89" s="5" t="s">
        <v>805</v>
      </c>
      <c r="D89" s="5" t="s">
        <v>153</v>
      </c>
      <c r="E89" s="5" t="s">
        <v>33</v>
      </c>
      <c r="F89" s="5">
        <v>3</v>
      </c>
      <c r="G89" s="19">
        <v>0.15</v>
      </c>
      <c r="H89" s="5" t="s">
        <v>776</v>
      </c>
      <c r="I89" s="10">
        <f>IF(OR(D89="", F89=""), "", F89 * VLOOKUP(D89, Products!A:E, 5, FALSE) * (1 - G89))</f>
        <v>3792.8955000000001</v>
      </c>
      <c r="J89" s="10"/>
    </row>
    <row r="90" spans="1:10" ht="15.75" customHeight="1" x14ac:dyDescent="0.3">
      <c r="A90" s="5" t="s">
        <v>957</v>
      </c>
      <c r="B90" s="11">
        <v>45688</v>
      </c>
      <c r="C90" s="5" t="s">
        <v>600</v>
      </c>
      <c r="D90" s="5" t="s">
        <v>285</v>
      </c>
      <c r="E90" s="5" t="s">
        <v>21</v>
      </c>
      <c r="F90" s="5">
        <v>3</v>
      </c>
      <c r="G90" s="19">
        <v>0.1</v>
      </c>
      <c r="H90" s="5" t="s">
        <v>454</v>
      </c>
      <c r="I90" s="10">
        <f>IF(OR(D90="", F90=""), "", F90 * VLOOKUP(D90, Products!A:E, 5, FALSE) * (1 - G90))</f>
        <v>1048.3019999999999</v>
      </c>
      <c r="J90" s="10"/>
    </row>
    <row r="91" spans="1:10" ht="15.75" customHeight="1" x14ac:dyDescent="0.3">
      <c r="A91" s="5" t="s">
        <v>958</v>
      </c>
      <c r="B91" s="11">
        <v>45245</v>
      </c>
      <c r="C91" s="5" t="s">
        <v>250</v>
      </c>
      <c r="D91" s="5" t="s">
        <v>272</v>
      </c>
      <c r="E91" s="5" t="s">
        <v>33</v>
      </c>
      <c r="F91" s="5">
        <v>5</v>
      </c>
      <c r="G91" s="19">
        <v>0</v>
      </c>
      <c r="H91" s="5" t="s">
        <v>637</v>
      </c>
      <c r="I91" s="10">
        <f>IF(OR(D91="", F91=""), "", F91 * VLOOKUP(D91, Products!A:E, 5, FALSE) * (1 - G91))</f>
        <v>5826.8499999999995</v>
      </c>
      <c r="J91" s="10"/>
    </row>
    <row r="92" spans="1:10" ht="15.75" customHeight="1" x14ac:dyDescent="0.3">
      <c r="A92" s="5" t="s">
        <v>959</v>
      </c>
      <c r="B92" s="11">
        <v>45864</v>
      </c>
      <c r="C92" s="5" t="s">
        <v>560</v>
      </c>
      <c r="D92" s="5" t="s">
        <v>243</v>
      </c>
      <c r="E92" s="5" t="s">
        <v>21</v>
      </c>
      <c r="F92" s="5">
        <v>2</v>
      </c>
      <c r="G92" s="19">
        <v>0.1</v>
      </c>
      <c r="H92" s="5" t="s">
        <v>637</v>
      </c>
      <c r="I92" s="10">
        <f>IF(OR(D92="", F92=""), "", F92 * VLOOKUP(D92, Products!A:E, 5, FALSE) * (1 - G92))</f>
        <v>973.69200000000012</v>
      </c>
      <c r="J92" s="10"/>
    </row>
    <row r="93" spans="1:10" ht="15.75" customHeight="1" x14ac:dyDescent="0.3">
      <c r="A93" s="5" t="s">
        <v>960</v>
      </c>
      <c r="B93" s="11">
        <v>45783</v>
      </c>
      <c r="C93" s="5" t="s">
        <v>750</v>
      </c>
      <c r="D93" s="5" t="s">
        <v>285</v>
      </c>
      <c r="E93" s="5" t="s">
        <v>33</v>
      </c>
      <c r="F93" s="5">
        <v>1</v>
      </c>
      <c r="G93" s="19">
        <v>0.05</v>
      </c>
      <c r="H93" s="5" t="s">
        <v>454</v>
      </c>
      <c r="I93" s="10">
        <f>IF(OR(D93="", F93=""), "", F93 * VLOOKUP(D93, Products!A:E, 5, FALSE) * (1 - G93))</f>
        <v>368.84699999999998</v>
      </c>
      <c r="J93" s="10"/>
    </row>
    <row r="94" spans="1:10" ht="15.75" customHeight="1" x14ac:dyDescent="0.3">
      <c r="A94" s="5" t="s">
        <v>961</v>
      </c>
      <c r="B94" s="11">
        <v>45192</v>
      </c>
      <c r="C94" s="5" t="s">
        <v>683</v>
      </c>
      <c r="D94" s="5" t="s">
        <v>280</v>
      </c>
      <c r="E94" s="5" t="s">
        <v>25</v>
      </c>
      <c r="F94" s="5">
        <v>3</v>
      </c>
      <c r="G94" s="19">
        <v>0.15</v>
      </c>
      <c r="H94" s="5" t="s">
        <v>637</v>
      </c>
      <c r="I94" s="10">
        <f>IF(OR(D94="", F94=""), "", F94 * VLOOKUP(D94, Products!A:E, 5, FALSE) * (1 - G94))</f>
        <v>3101.7179999999998</v>
      </c>
      <c r="J94" s="10"/>
    </row>
    <row r="95" spans="1:10" ht="15.75" customHeight="1" x14ac:dyDescent="0.3">
      <c r="A95" s="5" t="s">
        <v>962</v>
      </c>
      <c r="B95" s="11">
        <v>45284</v>
      </c>
      <c r="C95" s="5" t="s">
        <v>261</v>
      </c>
      <c r="D95" s="5" t="s">
        <v>122</v>
      </c>
      <c r="E95" s="5" t="s">
        <v>21</v>
      </c>
      <c r="F95" s="5">
        <v>5</v>
      </c>
      <c r="G95" s="19">
        <v>0.05</v>
      </c>
      <c r="H95" s="5" t="s">
        <v>697</v>
      </c>
      <c r="I95" s="10">
        <f>IF(OR(D95="", F95=""), "", F95 * VLOOKUP(D95, Products!A:E, 5, FALSE) * (1 - G95))</f>
        <v>8373.8700000000008</v>
      </c>
      <c r="J95" s="10"/>
    </row>
    <row r="96" spans="1:10" ht="15.75" customHeight="1" x14ac:dyDescent="0.3">
      <c r="A96" s="5" t="s">
        <v>963</v>
      </c>
      <c r="B96" s="11">
        <v>45578</v>
      </c>
      <c r="C96" s="5" t="s">
        <v>466</v>
      </c>
      <c r="D96" s="5" t="s">
        <v>193</v>
      </c>
      <c r="E96" s="5" t="s">
        <v>37</v>
      </c>
      <c r="F96" s="5">
        <v>1</v>
      </c>
      <c r="G96" s="19">
        <v>0.15</v>
      </c>
      <c r="H96" s="5" t="s">
        <v>776</v>
      </c>
      <c r="I96" s="10">
        <f>IF(OR(D96="", F96=""), "", F96 * VLOOKUP(D96, Products!A:E, 5, FALSE) * (1 - G96))</f>
        <v>24.853999999999999</v>
      </c>
      <c r="J96" s="10"/>
    </row>
    <row r="97" spans="1:10" ht="15.75" customHeight="1" x14ac:dyDescent="0.3">
      <c r="A97" s="5" t="s">
        <v>964</v>
      </c>
      <c r="B97" s="11">
        <v>45451</v>
      </c>
      <c r="C97" s="5" t="s">
        <v>380</v>
      </c>
      <c r="D97" s="5" t="s">
        <v>280</v>
      </c>
      <c r="E97" s="5" t="s">
        <v>21</v>
      </c>
      <c r="F97" s="5">
        <v>4</v>
      </c>
      <c r="G97" s="19">
        <v>0</v>
      </c>
      <c r="H97" s="5" t="s">
        <v>697</v>
      </c>
      <c r="I97" s="10">
        <f>IF(OR(D97="", F97=""), "", F97 * VLOOKUP(D97, Products!A:E, 5, FALSE) * (1 - G97))</f>
        <v>4865.4399999999996</v>
      </c>
      <c r="J97" s="10"/>
    </row>
    <row r="98" spans="1:10" ht="15.75" customHeight="1" x14ac:dyDescent="0.3">
      <c r="A98" s="5" t="s">
        <v>965</v>
      </c>
      <c r="B98" s="11">
        <v>45367</v>
      </c>
      <c r="C98" s="5" t="s">
        <v>638</v>
      </c>
      <c r="D98" s="5" t="s">
        <v>237</v>
      </c>
      <c r="E98" s="5" t="s">
        <v>29</v>
      </c>
      <c r="F98" s="5">
        <v>5</v>
      </c>
      <c r="G98" s="19">
        <v>0.1</v>
      </c>
      <c r="H98" s="5" t="s">
        <v>637</v>
      </c>
      <c r="I98" s="10">
        <f>IF(OR(D98="", F98=""), "", F98 * VLOOKUP(D98, Products!A:E, 5, FALSE) * (1 - G98))</f>
        <v>1651.1850000000002</v>
      </c>
      <c r="J98" s="10"/>
    </row>
    <row r="99" spans="1:10" ht="15.75" customHeight="1" x14ac:dyDescent="0.3">
      <c r="A99" s="5" t="s">
        <v>966</v>
      </c>
      <c r="B99" s="11">
        <v>45519</v>
      </c>
      <c r="C99" s="5" t="s">
        <v>624</v>
      </c>
      <c r="D99" s="5" t="s">
        <v>70</v>
      </c>
      <c r="E99" s="5" t="s">
        <v>33</v>
      </c>
      <c r="F99" s="5">
        <v>2</v>
      </c>
      <c r="G99" s="19">
        <v>0.15</v>
      </c>
      <c r="H99" s="5" t="s">
        <v>697</v>
      </c>
      <c r="I99" s="10">
        <f>IF(OR(D99="", F99=""), "", F99 * VLOOKUP(D99, Products!A:E, 5, FALSE) * (1 - G99))</f>
        <v>209.423</v>
      </c>
      <c r="J99" s="10"/>
    </row>
    <row r="100" spans="1:10" ht="15.75" customHeight="1" x14ac:dyDescent="0.3">
      <c r="A100" s="5" t="s">
        <v>967</v>
      </c>
      <c r="B100" s="11">
        <v>45583</v>
      </c>
      <c r="C100" s="5" t="s">
        <v>536</v>
      </c>
      <c r="D100" s="5" t="s">
        <v>115</v>
      </c>
      <c r="E100" s="5" t="s">
        <v>25</v>
      </c>
      <c r="F100" s="5">
        <v>5</v>
      </c>
      <c r="G100" s="19">
        <v>0.05</v>
      </c>
      <c r="H100" s="5" t="s">
        <v>776</v>
      </c>
      <c r="I100" s="10">
        <f>IF(OR(D100="", F100=""), "", F100 * VLOOKUP(D100, Products!A:E, 5, FALSE) * (1 - G100))</f>
        <v>5919.0224999999991</v>
      </c>
      <c r="J100" s="10"/>
    </row>
    <row r="101" spans="1:10" ht="15.75" customHeight="1" x14ac:dyDescent="0.3">
      <c r="A101" s="5" t="s">
        <v>968</v>
      </c>
      <c r="B101" s="11">
        <v>45845</v>
      </c>
      <c r="C101" s="5" t="s">
        <v>433</v>
      </c>
      <c r="D101" s="5" t="s">
        <v>147</v>
      </c>
      <c r="E101" s="5" t="s">
        <v>33</v>
      </c>
      <c r="F101" s="5">
        <v>3</v>
      </c>
      <c r="G101" s="19">
        <v>0.1</v>
      </c>
      <c r="H101" s="5" t="s">
        <v>776</v>
      </c>
      <c r="I101" s="10">
        <f>IF(OR(D101="", F101=""), "", F101 * VLOOKUP(D101, Products!A:E, 5, FALSE) * (1 - G101))</f>
        <v>5071.8689999999997</v>
      </c>
      <c r="J101" s="10"/>
    </row>
    <row r="102" spans="1:10" ht="15.75" customHeight="1" x14ac:dyDescent="0.3">
      <c r="A102" s="5" t="s">
        <v>969</v>
      </c>
      <c r="B102" s="11">
        <v>45814</v>
      </c>
      <c r="C102" s="5" t="s">
        <v>440</v>
      </c>
      <c r="D102" s="5" t="s">
        <v>89</v>
      </c>
      <c r="E102" s="5" t="s">
        <v>29</v>
      </c>
      <c r="F102" s="5">
        <v>5</v>
      </c>
      <c r="G102" s="19">
        <v>0.15</v>
      </c>
      <c r="H102" s="5" t="s">
        <v>697</v>
      </c>
      <c r="I102" s="10">
        <f>IF(OR(D102="", F102=""), "", F102 * VLOOKUP(D102, Products!A:E, 5, FALSE) * (1 - G102))</f>
        <v>4822.8999999999996</v>
      </c>
      <c r="J102" s="10"/>
    </row>
    <row r="103" spans="1:10" ht="15.75" customHeight="1" x14ac:dyDescent="0.3">
      <c r="A103" s="5" t="s">
        <v>970</v>
      </c>
      <c r="B103" s="11">
        <v>45854</v>
      </c>
      <c r="C103" s="5" t="s">
        <v>593</v>
      </c>
      <c r="D103" s="5" t="s">
        <v>61</v>
      </c>
      <c r="E103" s="5" t="s">
        <v>37</v>
      </c>
      <c r="F103" s="5">
        <v>4</v>
      </c>
      <c r="G103" s="19">
        <v>0.1</v>
      </c>
      <c r="H103" s="5" t="s">
        <v>454</v>
      </c>
      <c r="I103" s="10">
        <f>IF(OR(D103="", F103=""), "", F103 * VLOOKUP(D103, Products!A:E, 5, FALSE) * (1 - G103))</f>
        <v>1144.98</v>
      </c>
      <c r="J103" s="10"/>
    </row>
    <row r="104" spans="1:10" ht="15.75" customHeight="1" x14ac:dyDescent="0.3">
      <c r="A104" s="5" t="s">
        <v>971</v>
      </c>
      <c r="B104" s="11">
        <v>45655</v>
      </c>
      <c r="C104" s="5" t="s">
        <v>635</v>
      </c>
      <c r="D104" s="5" t="s">
        <v>109</v>
      </c>
      <c r="E104" s="5" t="s">
        <v>37</v>
      </c>
      <c r="F104" s="5">
        <v>4</v>
      </c>
      <c r="G104" s="19">
        <v>0.15</v>
      </c>
      <c r="H104" s="5" t="s">
        <v>454</v>
      </c>
      <c r="I104" s="10">
        <f>IF(OR(D104="", F104=""), "", F104 * VLOOKUP(D104, Products!A:E, 5, FALSE) * (1 - G104))</f>
        <v>6319.75</v>
      </c>
      <c r="J104" s="10"/>
    </row>
    <row r="105" spans="1:10" ht="15.75" customHeight="1" x14ac:dyDescent="0.3">
      <c r="A105" s="5" t="s">
        <v>972</v>
      </c>
      <c r="B105" s="11">
        <v>45675</v>
      </c>
      <c r="C105" s="5" t="s">
        <v>346</v>
      </c>
      <c r="D105" s="5" t="s">
        <v>206</v>
      </c>
      <c r="E105" s="5" t="s">
        <v>25</v>
      </c>
      <c r="F105" s="5">
        <v>5</v>
      </c>
      <c r="G105" s="19">
        <v>0.15</v>
      </c>
      <c r="H105" s="5" t="s">
        <v>697</v>
      </c>
      <c r="I105" s="10">
        <f>IF(OR(D105="", F105=""), "", F105 * VLOOKUP(D105, Products!A:E, 5, FALSE) * (1 - G105))</f>
        <v>1295.0174999999999</v>
      </c>
      <c r="J105" s="10"/>
    </row>
    <row r="106" spans="1:10" ht="15.75" customHeight="1" x14ac:dyDescent="0.3">
      <c r="A106" s="5" t="s">
        <v>973</v>
      </c>
      <c r="B106" s="11">
        <v>45305</v>
      </c>
      <c r="C106" s="5" t="s">
        <v>876</v>
      </c>
      <c r="D106" s="5" t="s">
        <v>77</v>
      </c>
      <c r="E106" s="5" t="s">
        <v>33</v>
      </c>
      <c r="F106" s="5">
        <v>1</v>
      </c>
      <c r="G106" s="19">
        <v>0.1</v>
      </c>
      <c r="H106" s="5" t="s">
        <v>637</v>
      </c>
      <c r="I106" s="10">
        <f>IF(OR(D106="", F106=""), "", F106 * VLOOKUP(D106, Products!A:E, 5, FALSE) * (1 - G106))</f>
        <v>223.71299999999999</v>
      </c>
      <c r="J106" s="10"/>
    </row>
    <row r="107" spans="1:10" ht="15.75" customHeight="1" x14ac:dyDescent="0.3">
      <c r="A107" s="5" t="s">
        <v>974</v>
      </c>
      <c r="B107" s="11">
        <v>45686</v>
      </c>
      <c r="C107" s="5" t="s">
        <v>815</v>
      </c>
      <c r="D107" s="5" t="s">
        <v>285</v>
      </c>
      <c r="E107" s="5" t="s">
        <v>33</v>
      </c>
      <c r="F107" s="5">
        <v>4</v>
      </c>
      <c r="G107" s="19">
        <v>0.05</v>
      </c>
      <c r="H107" s="5" t="s">
        <v>637</v>
      </c>
      <c r="I107" s="10">
        <f>IF(OR(D107="", F107=""), "", F107 * VLOOKUP(D107, Products!A:E, 5, FALSE) * (1 - G107))</f>
        <v>1475.3879999999999</v>
      </c>
      <c r="J107" s="10"/>
    </row>
    <row r="108" spans="1:10" ht="15.75" customHeight="1" x14ac:dyDescent="0.3">
      <c r="A108" s="5" t="s">
        <v>975</v>
      </c>
      <c r="B108" s="11">
        <v>45723</v>
      </c>
      <c r="C108" s="5" t="s">
        <v>137</v>
      </c>
      <c r="D108" s="5" t="s">
        <v>74</v>
      </c>
      <c r="E108" s="5" t="s">
        <v>25</v>
      </c>
      <c r="F108" s="5">
        <v>5</v>
      </c>
      <c r="G108" s="19">
        <v>0.1</v>
      </c>
      <c r="H108" s="5" t="s">
        <v>776</v>
      </c>
      <c r="I108" s="10">
        <f>IF(OR(D108="", F108=""), "", F108 * VLOOKUP(D108, Products!A:E, 5, FALSE) * (1 - G108))</f>
        <v>5373.54</v>
      </c>
      <c r="J108" s="10"/>
    </row>
    <row r="109" spans="1:10" ht="15.75" customHeight="1" x14ac:dyDescent="0.3">
      <c r="A109" s="5" t="s">
        <v>976</v>
      </c>
      <c r="B109" s="11">
        <v>45871</v>
      </c>
      <c r="C109" s="5" t="s">
        <v>586</v>
      </c>
      <c r="D109" s="5" t="s">
        <v>243</v>
      </c>
      <c r="E109" s="5" t="s">
        <v>21</v>
      </c>
      <c r="F109" s="5">
        <v>5</v>
      </c>
      <c r="G109" s="19">
        <v>0.15</v>
      </c>
      <c r="H109" s="5" t="s">
        <v>776</v>
      </c>
      <c r="I109" s="10">
        <f>IF(OR(D109="", F109=""), "", F109 * VLOOKUP(D109, Products!A:E, 5, FALSE) * (1 - G109))</f>
        <v>2298.9950000000003</v>
      </c>
      <c r="J109" s="10"/>
    </row>
    <row r="110" spans="1:10" ht="15.75" customHeight="1" x14ac:dyDescent="0.3">
      <c r="A110" s="5" t="s">
        <v>977</v>
      </c>
      <c r="B110" s="11">
        <v>45239</v>
      </c>
      <c r="C110" s="5" t="s">
        <v>829</v>
      </c>
      <c r="D110" s="5" t="s">
        <v>193</v>
      </c>
      <c r="E110" s="5" t="s">
        <v>25</v>
      </c>
      <c r="F110" s="5">
        <v>4</v>
      </c>
      <c r="G110" s="19">
        <v>0.05</v>
      </c>
      <c r="H110" s="5" t="s">
        <v>776</v>
      </c>
      <c r="I110" s="10">
        <f>IF(OR(D110="", F110=""), "", F110 * VLOOKUP(D110, Products!A:E, 5, FALSE) * (1 - G110))</f>
        <v>111.11199999999999</v>
      </c>
      <c r="J110" s="10"/>
    </row>
    <row r="111" spans="1:10" ht="15.75" customHeight="1" x14ac:dyDescent="0.3">
      <c r="A111" s="5" t="s">
        <v>978</v>
      </c>
      <c r="B111" s="11">
        <v>45494</v>
      </c>
      <c r="C111" s="5" t="s">
        <v>615</v>
      </c>
      <c r="D111" s="5" t="s">
        <v>95</v>
      </c>
      <c r="E111" s="5" t="s">
        <v>29</v>
      </c>
      <c r="F111" s="5">
        <v>3</v>
      </c>
      <c r="G111" s="19">
        <v>0.15</v>
      </c>
      <c r="H111" s="5" t="s">
        <v>776</v>
      </c>
      <c r="I111" s="10">
        <f>IF(OR(D111="", F111=""), "", F111 * VLOOKUP(D111, Products!A:E, 5, FALSE) * (1 - G111))</f>
        <v>3424.0124999999998</v>
      </c>
      <c r="J111" s="10"/>
    </row>
    <row r="112" spans="1:10" ht="15.75" customHeight="1" x14ac:dyDescent="0.3">
      <c r="A112" s="5" t="s">
        <v>979</v>
      </c>
      <c r="B112" s="11">
        <v>45375</v>
      </c>
      <c r="C112" s="5" t="s">
        <v>484</v>
      </c>
      <c r="D112" s="5" t="s">
        <v>265</v>
      </c>
      <c r="E112" s="5" t="s">
        <v>37</v>
      </c>
      <c r="F112" s="5">
        <v>4</v>
      </c>
      <c r="G112" s="19">
        <v>0.1</v>
      </c>
      <c r="H112" s="5" t="s">
        <v>637</v>
      </c>
      <c r="I112" s="10">
        <f>IF(OR(D112="", F112=""), "", F112 * VLOOKUP(D112, Products!A:E, 5, FALSE) * (1 - G112))</f>
        <v>2031.9119999999998</v>
      </c>
      <c r="J112" s="10"/>
    </row>
    <row r="113" spans="1:10" ht="15.75" customHeight="1" x14ac:dyDescent="0.3">
      <c r="A113" s="5" t="s">
        <v>980</v>
      </c>
      <c r="B113" s="11">
        <v>45300</v>
      </c>
      <c r="C113" s="5" t="s">
        <v>676</v>
      </c>
      <c r="D113" s="5" t="s">
        <v>140</v>
      </c>
      <c r="E113" s="5" t="s">
        <v>21</v>
      </c>
      <c r="F113" s="5">
        <v>5</v>
      </c>
      <c r="G113" s="19">
        <v>0</v>
      </c>
      <c r="H113" s="5" t="s">
        <v>697</v>
      </c>
      <c r="I113" s="10">
        <f>IF(OR(D113="", F113=""), "", F113 * VLOOKUP(D113, Products!A:E, 5, FALSE) * (1 - G113))</f>
        <v>127.85</v>
      </c>
      <c r="J113" s="10"/>
    </row>
    <row r="114" spans="1:10" ht="15.75" customHeight="1" x14ac:dyDescent="0.3">
      <c r="A114" s="5" t="s">
        <v>981</v>
      </c>
      <c r="B114" s="11">
        <v>45572</v>
      </c>
      <c r="C114" s="5" t="s">
        <v>752</v>
      </c>
      <c r="D114" s="5" t="s">
        <v>153</v>
      </c>
      <c r="E114" s="5" t="s">
        <v>29</v>
      </c>
      <c r="F114" s="5">
        <v>2</v>
      </c>
      <c r="G114" s="19">
        <v>0</v>
      </c>
      <c r="H114" s="5" t="s">
        <v>637</v>
      </c>
      <c r="I114" s="10">
        <f>IF(OR(D114="", F114=""), "", F114 * VLOOKUP(D114, Products!A:E, 5, FALSE) * (1 - G114))</f>
        <v>2974.82</v>
      </c>
      <c r="J114" s="10"/>
    </row>
    <row r="115" spans="1:10" ht="15.75" customHeight="1" x14ac:dyDescent="0.3">
      <c r="A115" s="5" t="s">
        <v>982</v>
      </c>
      <c r="B115" s="11">
        <v>45675</v>
      </c>
      <c r="C115" s="5" t="s">
        <v>229</v>
      </c>
      <c r="D115" s="5" t="s">
        <v>175</v>
      </c>
      <c r="E115" s="5" t="s">
        <v>21</v>
      </c>
      <c r="F115" s="5">
        <v>4</v>
      </c>
      <c r="G115" s="19">
        <v>0.05</v>
      </c>
      <c r="H115" s="5" t="s">
        <v>454</v>
      </c>
      <c r="I115" s="10">
        <f>IF(OR(D115="", F115=""), "", F115 * VLOOKUP(D115, Products!A:E, 5, FALSE) * (1 - G115))</f>
        <v>4834.4740000000002</v>
      </c>
      <c r="J115" s="10"/>
    </row>
    <row r="116" spans="1:10" ht="15.75" customHeight="1" x14ac:dyDescent="0.3">
      <c r="A116" s="5" t="s">
        <v>983</v>
      </c>
      <c r="B116" s="11">
        <v>45821</v>
      </c>
      <c r="C116" s="5" t="s">
        <v>121</v>
      </c>
      <c r="D116" s="5" t="s">
        <v>237</v>
      </c>
      <c r="E116" s="5" t="s">
        <v>21</v>
      </c>
      <c r="F116" s="5">
        <v>3</v>
      </c>
      <c r="G116" s="19">
        <v>0</v>
      </c>
      <c r="H116" s="5" t="s">
        <v>454</v>
      </c>
      <c r="I116" s="10">
        <f>IF(OR(D116="", F116=""), "", F116 * VLOOKUP(D116, Products!A:E, 5, FALSE) * (1 - G116))</f>
        <v>1100.79</v>
      </c>
      <c r="J116" s="10"/>
    </row>
    <row r="117" spans="1:10" ht="15.75" customHeight="1" x14ac:dyDescent="0.3">
      <c r="A117" s="5" t="s">
        <v>984</v>
      </c>
      <c r="B117" s="11">
        <v>45336</v>
      </c>
      <c r="C117" s="5" t="s">
        <v>511</v>
      </c>
      <c r="D117" s="5" t="s">
        <v>212</v>
      </c>
      <c r="E117" s="5" t="s">
        <v>29</v>
      </c>
      <c r="F117" s="5">
        <v>4</v>
      </c>
      <c r="G117" s="19">
        <v>0.05</v>
      </c>
      <c r="H117" s="5" t="s">
        <v>697</v>
      </c>
      <c r="I117" s="10">
        <f>IF(OR(D117="", F117=""), "", F117 * VLOOKUP(D117, Products!A:E, 5, FALSE) * (1 - G117))</f>
        <v>6836.0859999999993</v>
      </c>
      <c r="J117" s="10"/>
    </row>
    <row r="118" spans="1:10" ht="15.75" customHeight="1" x14ac:dyDescent="0.3">
      <c r="A118" s="5" t="s">
        <v>985</v>
      </c>
      <c r="B118" s="11">
        <v>45451</v>
      </c>
      <c r="C118" s="5" t="s">
        <v>669</v>
      </c>
      <c r="D118" s="5" t="s">
        <v>61</v>
      </c>
      <c r="E118" s="5" t="s">
        <v>33</v>
      </c>
      <c r="F118" s="5">
        <v>5</v>
      </c>
      <c r="G118" s="19">
        <v>0.05</v>
      </c>
      <c r="H118" s="5" t="s">
        <v>697</v>
      </c>
      <c r="I118" s="10">
        <f>IF(OR(D118="", F118=""), "", F118 * VLOOKUP(D118, Products!A:E, 5, FALSE) * (1 - G118))</f>
        <v>1510.7375</v>
      </c>
      <c r="J118" s="10"/>
    </row>
    <row r="119" spans="1:10" ht="15.75" customHeight="1" x14ac:dyDescent="0.3">
      <c r="A119" s="5" t="s">
        <v>986</v>
      </c>
      <c r="B119" s="11">
        <v>45474</v>
      </c>
      <c r="C119" s="5" t="s">
        <v>330</v>
      </c>
      <c r="D119" s="5" t="s">
        <v>232</v>
      </c>
      <c r="E119" s="5" t="s">
        <v>21</v>
      </c>
      <c r="F119" s="5">
        <v>5</v>
      </c>
      <c r="G119" s="19">
        <v>0.15</v>
      </c>
      <c r="H119" s="5" t="s">
        <v>697</v>
      </c>
      <c r="I119" s="10">
        <f>IF(OR(D119="", F119=""), "", F119 * VLOOKUP(D119, Products!A:E, 5, FALSE) * (1 - G119))</f>
        <v>8298.7624999999989</v>
      </c>
      <c r="J119" s="10"/>
    </row>
    <row r="120" spans="1:10" ht="15.75" customHeight="1" x14ac:dyDescent="0.3">
      <c r="A120" s="5" t="s">
        <v>987</v>
      </c>
      <c r="B120" s="11">
        <v>45551</v>
      </c>
      <c r="C120" s="5" t="s">
        <v>638</v>
      </c>
      <c r="D120" s="5" t="s">
        <v>212</v>
      </c>
      <c r="E120" s="5" t="s">
        <v>37</v>
      </c>
      <c r="F120" s="5">
        <v>2</v>
      </c>
      <c r="G120" s="19">
        <v>0.05</v>
      </c>
      <c r="H120" s="5" t="s">
        <v>637</v>
      </c>
      <c r="I120" s="10">
        <f>IF(OR(D120="", F120=""), "", F120 * VLOOKUP(D120, Products!A:E, 5, FALSE) * (1 - G120))</f>
        <v>3418.0429999999997</v>
      </c>
      <c r="J120" s="10"/>
    </row>
    <row r="121" spans="1:10" ht="15.75" customHeight="1" x14ac:dyDescent="0.3">
      <c r="A121" s="5" t="s">
        <v>988</v>
      </c>
      <c r="B121" s="11">
        <v>45591</v>
      </c>
      <c r="C121" s="5" t="s">
        <v>758</v>
      </c>
      <c r="D121" s="5" t="s">
        <v>153</v>
      </c>
      <c r="E121" s="5" t="s">
        <v>29</v>
      </c>
      <c r="F121" s="5">
        <v>4</v>
      </c>
      <c r="G121" s="19">
        <v>0.1</v>
      </c>
      <c r="H121" s="5" t="s">
        <v>776</v>
      </c>
      <c r="I121" s="10">
        <f>IF(OR(D121="", F121=""), "", F121 * VLOOKUP(D121, Products!A:E, 5, FALSE) * (1 - G121))</f>
        <v>5354.6760000000004</v>
      </c>
      <c r="J121" s="10"/>
    </row>
    <row r="122" spans="1:10" ht="15.75" customHeight="1" x14ac:dyDescent="0.3">
      <c r="A122" s="5" t="s">
        <v>989</v>
      </c>
      <c r="B122" s="11">
        <v>45735</v>
      </c>
      <c r="C122" s="5" t="s">
        <v>611</v>
      </c>
      <c r="D122" s="5" t="s">
        <v>119</v>
      </c>
      <c r="E122" s="5" t="s">
        <v>29</v>
      </c>
      <c r="F122" s="5">
        <v>5</v>
      </c>
      <c r="G122" s="19">
        <v>0.05</v>
      </c>
      <c r="H122" s="5" t="s">
        <v>776</v>
      </c>
      <c r="I122" s="10">
        <f>IF(OR(D122="", F122=""), "", F122 * VLOOKUP(D122, Products!A:E, 5, FALSE) * (1 - G122))</f>
        <v>5129.4775000000009</v>
      </c>
      <c r="J122" s="10"/>
    </row>
    <row r="123" spans="1:10" ht="15.75" customHeight="1" x14ac:dyDescent="0.3">
      <c r="A123" s="5" t="s">
        <v>990</v>
      </c>
      <c r="B123" s="11">
        <v>45679</v>
      </c>
      <c r="C123" s="5" t="s">
        <v>590</v>
      </c>
      <c r="D123" s="5" t="s">
        <v>193</v>
      </c>
      <c r="E123" s="5" t="s">
        <v>29</v>
      </c>
      <c r="F123" s="5">
        <v>5</v>
      </c>
      <c r="G123" s="19">
        <v>0.1</v>
      </c>
      <c r="H123" s="5" t="s">
        <v>637</v>
      </c>
      <c r="I123" s="10">
        <f>IF(OR(D123="", F123=""), "", F123 * VLOOKUP(D123, Products!A:E, 5, FALSE) * (1 - G123))</f>
        <v>131.57999999999998</v>
      </c>
      <c r="J123" s="10"/>
    </row>
    <row r="124" spans="1:10" ht="15.75" customHeight="1" x14ac:dyDescent="0.3">
      <c r="A124" s="5" t="s">
        <v>991</v>
      </c>
      <c r="B124" s="11">
        <v>45746</v>
      </c>
      <c r="C124" s="5" t="s">
        <v>802</v>
      </c>
      <c r="D124" s="5" t="s">
        <v>262</v>
      </c>
      <c r="E124" s="5" t="s">
        <v>29</v>
      </c>
      <c r="F124" s="5">
        <v>4</v>
      </c>
      <c r="G124" s="19">
        <v>0.1</v>
      </c>
      <c r="H124" s="5" t="s">
        <v>697</v>
      </c>
      <c r="I124" s="10">
        <f>IF(OR(D124="", F124=""), "", F124 * VLOOKUP(D124, Products!A:E, 5, FALSE) * (1 - G124))</f>
        <v>1633.0320000000002</v>
      </c>
      <c r="J124" s="10"/>
    </row>
    <row r="125" spans="1:10" ht="15.75" customHeight="1" x14ac:dyDescent="0.3">
      <c r="A125" s="5" t="s">
        <v>992</v>
      </c>
      <c r="B125" s="11">
        <v>45295</v>
      </c>
      <c r="C125" s="5" t="s">
        <v>536</v>
      </c>
      <c r="D125" s="5" t="s">
        <v>109</v>
      </c>
      <c r="E125" s="5" t="s">
        <v>33</v>
      </c>
      <c r="F125" s="5">
        <v>1</v>
      </c>
      <c r="G125" s="19">
        <v>0.05</v>
      </c>
      <c r="H125" s="5" t="s">
        <v>637</v>
      </c>
      <c r="I125" s="10">
        <f>IF(OR(D125="", F125=""), "", F125 * VLOOKUP(D125, Products!A:E, 5, FALSE) * (1 - G125))</f>
        <v>1765.8125</v>
      </c>
      <c r="J125" s="10"/>
    </row>
    <row r="126" spans="1:10" ht="15.75" customHeight="1" x14ac:dyDescent="0.3">
      <c r="A126" s="5" t="s">
        <v>993</v>
      </c>
      <c r="B126" s="11">
        <v>45457</v>
      </c>
      <c r="C126" s="5" t="s">
        <v>705</v>
      </c>
      <c r="D126" s="5" t="s">
        <v>50</v>
      </c>
      <c r="E126" s="5" t="s">
        <v>29</v>
      </c>
      <c r="F126" s="5">
        <v>5</v>
      </c>
      <c r="G126" s="19">
        <v>0.1</v>
      </c>
      <c r="H126" s="5" t="s">
        <v>454</v>
      </c>
      <c r="I126" s="10">
        <f>IF(OR(D126="", F126=""), "", F126 * VLOOKUP(D126, Products!A:E, 5, FALSE) * (1 - G126))</f>
        <v>1519.335</v>
      </c>
      <c r="J126" s="10"/>
    </row>
    <row r="127" spans="1:10" ht="15.75" customHeight="1" x14ac:dyDescent="0.3">
      <c r="A127" s="5" t="s">
        <v>994</v>
      </c>
      <c r="B127" s="11">
        <v>45220</v>
      </c>
      <c r="C127" s="5" t="s">
        <v>106</v>
      </c>
      <c r="D127" s="5" t="s">
        <v>43</v>
      </c>
      <c r="E127" s="5" t="s">
        <v>33</v>
      </c>
      <c r="F127" s="5">
        <v>3</v>
      </c>
      <c r="G127" s="19">
        <v>0</v>
      </c>
      <c r="H127" s="5" t="s">
        <v>776</v>
      </c>
      <c r="I127" s="10">
        <f>IF(OR(D127="", F127=""), "", F127 * VLOOKUP(D127, Products!A:E, 5, FALSE) * (1 - G127))</f>
        <v>5021.07</v>
      </c>
      <c r="J127" s="10"/>
    </row>
    <row r="128" spans="1:10" ht="15.75" customHeight="1" x14ac:dyDescent="0.3">
      <c r="A128" s="5" t="s">
        <v>995</v>
      </c>
      <c r="B128" s="11">
        <v>45686</v>
      </c>
      <c r="C128" s="5" t="s">
        <v>733</v>
      </c>
      <c r="D128" s="5" t="s">
        <v>140</v>
      </c>
      <c r="E128" s="5" t="s">
        <v>33</v>
      </c>
      <c r="F128" s="5">
        <v>3</v>
      </c>
      <c r="G128" s="19">
        <v>0.05</v>
      </c>
      <c r="H128" s="5" t="s">
        <v>454</v>
      </c>
      <c r="I128" s="10">
        <f>IF(OR(D128="", F128=""), "", F128 * VLOOKUP(D128, Products!A:E, 5, FALSE) * (1 - G128))</f>
        <v>72.874499999999998</v>
      </c>
      <c r="J128" s="10"/>
    </row>
    <row r="129" spans="1:10" ht="15.75" customHeight="1" x14ac:dyDescent="0.3">
      <c r="A129" s="5" t="s">
        <v>996</v>
      </c>
      <c r="B129" s="11">
        <v>45552</v>
      </c>
      <c r="C129" s="5" t="s">
        <v>376</v>
      </c>
      <c r="D129" s="5" t="s">
        <v>188</v>
      </c>
      <c r="E129" s="5" t="s">
        <v>25</v>
      </c>
      <c r="F129" s="5">
        <v>5</v>
      </c>
      <c r="G129" s="19">
        <v>0.1</v>
      </c>
      <c r="H129" s="5" t="s">
        <v>697</v>
      </c>
      <c r="I129" s="10">
        <f>IF(OR(D129="", F129=""), "", F129 * VLOOKUP(D129, Products!A:E, 5, FALSE) * (1 - G129))</f>
        <v>6682.7250000000004</v>
      </c>
      <c r="J129" s="10"/>
    </row>
    <row r="130" spans="1:10" ht="15.75" customHeight="1" x14ac:dyDescent="0.3">
      <c r="A130" s="5" t="s">
        <v>997</v>
      </c>
      <c r="B130" s="11">
        <v>45608</v>
      </c>
      <c r="C130" s="5" t="s">
        <v>750</v>
      </c>
      <c r="D130" s="5" t="s">
        <v>74</v>
      </c>
      <c r="E130" s="5" t="s">
        <v>21</v>
      </c>
      <c r="F130" s="5">
        <v>1</v>
      </c>
      <c r="G130" s="19">
        <v>0.1</v>
      </c>
      <c r="H130" s="5" t="s">
        <v>637</v>
      </c>
      <c r="I130" s="10">
        <f>IF(OR(D130="", F130=""), "", F130 * VLOOKUP(D130, Products!A:E, 5, FALSE) * (1 - G130))</f>
        <v>1074.7079999999999</v>
      </c>
      <c r="J130" s="10"/>
    </row>
    <row r="131" spans="1:10" ht="15.75" customHeight="1" x14ac:dyDescent="0.3">
      <c r="A131" s="5" t="s">
        <v>998</v>
      </c>
      <c r="B131" s="11">
        <v>45837</v>
      </c>
      <c r="C131" s="5" t="s">
        <v>129</v>
      </c>
      <c r="D131" s="5" t="s">
        <v>50</v>
      </c>
      <c r="E131" s="5" t="s">
        <v>37</v>
      </c>
      <c r="F131" s="5">
        <v>3</v>
      </c>
      <c r="G131" s="19">
        <v>0.05</v>
      </c>
      <c r="H131" s="5" t="s">
        <v>776</v>
      </c>
      <c r="I131" s="10">
        <f>IF(OR(D131="", F131=""), "", F131 * VLOOKUP(D131, Products!A:E, 5, FALSE) * (1 - G131))</f>
        <v>962.24549999999999</v>
      </c>
      <c r="J131" s="10"/>
    </row>
    <row r="132" spans="1:10" ht="15.75" customHeight="1" x14ac:dyDescent="0.3">
      <c r="A132" s="5" t="s">
        <v>999</v>
      </c>
      <c r="B132" s="11">
        <v>45301</v>
      </c>
      <c r="C132" s="5" t="s">
        <v>450</v>
      </c>
      <c r="D132" s="5" t="s">
        <v>103</v>
      </c>
      <c r="E132" s="5" t="s">
        <v>29</v>
      </c>
      <c r="F132" s="5">
        <v>4</v>
      </c>
      <c r="G132" s="19">
        <v>0.05</v>
      </c>
      <c r="H132" s="5" t="s">
        <v>697</v>
      </c>
      <c r="I132" s="10">
        <f>IF(OR(D132="", F132=""), "", F132 * VLOOKUP(D132, Products!A:E, 5, FALSE) * (1 - G132))</f>
        <v>1027.7099999999998</v>
      </c>
      <c r="J132" s="10"/>
    </row>
    <row r="133" spans="1:10" ht="15.75" customHeight="1" x14ac:dyDescent="0.3">
      <c r="A133" s="5" t="s">
        <v>1000</v>
      </c>
      <c r="B133" s="11">
        <v>45797</v>
      </c>
      <c r="C133" s="5" t="s">
        <v>281</v>
      </c>
      <c r="D133" s="5" t="s">
        <v>65</v>
      </c>
      <c r="E133" s="5" t="s">
        <v>37</v>
      </c>
      <c r="F133" s="5">
        <v>3</v>
      </c>
      <c r="G133" s="19">
        <v>0.1</v>
      </c>
      <c r="H133" s="5" t="s">
        <v>697</v>
      </c>
      <c r="I133" s="10">
        <f>IF(OR(D133="", F133=""), "", F133 * VLOOKUP(D133, Products!A:E, 5, FALSE) * (1 - G133))</f>
        <v>3980.1239999999998</v>
      </c>
      <c r="J133" s="10"/>
    </row>
    <row r="134" spans="1:10" ht="15.75" customHeight="1" x14ac:dyDescent="0.3">
      <c r="A134" s="5" t="s">
        <v>1001</v>
      </c>
      <c r="B134" s="11">
        <v>45396</v>
      </c>
      <c r="C134" s="5" t="s">
        <v>412</v>
      </c>
      <c r="D134" s="5" t="s">
        <v>109</v>
      </c>
      <c r="E134" s="5" t="s">
        <v>33</v>
      </c>
      <c r="F134" s="5">
        <v>3</v>
      </c>
      <c r="G134" s="19">
        <v>0.1</v>
      </c>
      <c r="H134" s="5" t="s">
        <v>776</v>
      </c>
      <c r="I134" s="10">
        <f>IF(OR(D134="", F134=""), "", F134 * VLOOKUP(D134, Products!A:E, 5, FALSE) * (1 - G134))</f>
        <v>5018.625</v>
      </c>
      <c r="J134" s="10"/>
    </row>
    <row r="135" spans="1:10" ht="15.75" customHeight="1" x14ac:dyDescent="0.3">
      <c r="A135" s="5" t="s">
        <v>1002</v>
      </c>
      <c r="B135" s="11">
        <v>45438</v>
      </c>
      <c r="C135" s="5" t="s">
        <v>611</v>
      </c>
      <c r="D135" s="5" t="s">
        <v>269</v>
      </c>
      <c r="E135" s="5" t="s">
        <v>21</v>
      </c>
      <c r="F135" s="5">
        <v>2</v>
      </c>
      <c r="G135" s="19">
        <v>0.05</v>
      </c>
      <c r="H135" s="5" t="s">
        <v>637</v>
      </c>
      <c r="I135" s="10">
        <f>IF(OR(D135="", F135=""), "", F135 * VLOOKUP(D135, Products!A:E, 5, FALSE) * (1 - G135))</f>
        <v>3570.2519999999995</v>
      </c>
      <c r="J135" s="10"/>
    </row>
    <row r="136" spans="1:10" ht="15.75" customHeight="1" x14ac:dyDescent="0.3">
      <c r="A136" s="5" t="s">
        <v>1003</v>
      </c>
      <c r="B136" s="11">
        <v>45534</v>
      </c>
      <c r="C136" s="5" t="s">
        <v>691</v>
      </c>
      <c r="D136" s="5" t="s">
        <v>162</v>
      </c>
      <c r="E136" s="5" t="s">
        <v>29</v>
      </c>
      <c r="F136" s="5">
        <v>1</v>
      </c>
      <c r="G136" s="19">
        <v>0.15</v>
      </c>
      <c r="H136" s="5" t="s">
        <v>776</v>
      </c>
      <c r="I136" s="10">
        <f>IF(OR(D136="", F136=""), "", F136 * VLOOKUP(D136, Products!A:E, 5, FALSE) * (1 - G136))</f>
        <v>364.77749999999997</v>
      </c>
      <c r="J136" s="10"/>
    </row>
    <row r="137" spans="1:10" ht="15.75" customHeight="1" x14ac:dyDescent="0.3">
      <c r="A137" s="5" t="s">
        <v>1004</v>
      </c>
      <c r="B137" s="11">
        <v>45485</v>
      </c>
      <c r="C137" s="5" t="s">
        <v>420</v>
      </c>
      <c r="D137" s="5" t="s">
        <v>232</v>
      </c>
      <c r="E137" s="5" t="s">
        <v>37</v>
      </c>
      <c r="F137" s="5">
        <v>1</v>
      </c>
      <c r="G137" s="19">
        <v>0.15</v>
      </c>
      <c r="H137" s="5" t="s">
        <v>454</v>
      </c>
      <c r="I137" s="10">
        <f>IF(OR(D137="", F137=""), "", F137 * VLOOKUP(D137, Products!A:E, 5, FALSE) * (1 - G137))</f>
        <v>1659.7525000000001</v>
      </c>
      <c r="J137" s="10"/>
    </row>
    <row r="138" spans="1:10" ht="15.75" customHeight="1" x14ac:dyDescent="0.3">
      <c r="A138" s="5" t="s">
        <v>1005</v>
      </c>
      <c r="B138" s="11">
        <v>45438</v>
      </c>
      <c r="C138" s="5" t="s">
        <v>789</v>
      </c>
      <c r="D138" s="5" t="s">
        <v>153</v>
      </c>
      <c r="E138" s="5" t="s">
        <v>29</v>
      </c>
      <c r="F138" s="5">
        <v>5</v>
      </c>
      <c r="G138" s="19">
        <v>0.15</v>
      </c>
      <c r="H138" s="5" t="s">
        <v>454</v>
      </c>
      <c r="I138" s="10">
        <f>IF(OR(D138="", F138=""), "", F138 * VLOOKUP(D138, Products!A:E, 5, FALSE) * (1 - G138))</f>
        <v>6321.4925000000003</v>
      </c>
      <c r="J138" s="10"/>
    </row>
    <row r="139" spans="1:10" ht="15.75" customHeight="1" x14ac:dyDescent="0.3">
      <c r="A139" s="5" t="s">
        <v>1006</v>
      </c>
      <c r="B139" s="11">
        <v>45312</v>
      </c>
      <c r="C139" s="5" t="s">
        <v>240</v>
      </c>
      <c r="D139" s="5" t="s">
        <v>180</v>
      </c>
      <c r="E139" s="5" t="s">
        <v>25</v>
      </c>
      <c r="F139" s="5">
        <v>4</v>
      </c>
      <c r="G139" s="19">
        <v>0</v>
      </c>
      <c r="H139" s="5" t="s">
        <v>454</v>
      </c>
      <c r="I139" s="10">
        <f>IF(OR(D139="", F139=""), "", F139 * VLOOKUP(D139, Products!A:E, 5, FALSE) * (1 - G139))</f>
        <v>2695.12</v>
      </c>
      <c r="J139" s="10"/>
    </row>
    <row r="140" spans="1:10" ht="15.75" customHeight="1" x14ac:dyDescent="0.3">
      <c r="A140" s="5" t="s">
        <v>1007</v>
      </c>
      <c r="B140" s="11">
        <v>45291</v>
      </c>
      <c r="C140" s="5" t="s">
        <v>736</v>
      </c>
      <c r="D140" s="5" t="s">
        <v>175</v>
      </c>
      <c r="E140" s="5" t="s">
        <v>25</v>
      </c>
      <c r="F140" s="5">
        <v>1</v>
      </c>
      <c r="G140" s="19">
        <v>0.15</v>
      </c>
      <c r="H140" s="5" t="s">
        <v>454</v>
      </c>
      <c r="I140" s="10">
        <f>IF(OR(D140="", F140=""), "", F140 * VLOOKUP(D140, Products!A:E, 5, FALSE) * (1 - G140))</f>
        <v>1081.3955000000001</v>
      </c>
      <c r="J140" s="10"/>
    </row>
    <row r="141" spans="1:10" ht="15.75" customHeight="1" x14ac:dyDescent="0.3">
      <c r="A141" s="5" t="s">
        <v>1008</v>
      </c>
      <c r="B141" s="11">
        <v>45691</v>
      </c>
      <c r="C141" s="5" t="s">
        <v>770</v>
      </c>
      <c r="D141" s="5" t="s">
        <v>193</v>
      </c>
      <c r="E141" s="5" t="s">
        <v>33</v>
      </c>
      <c r="F141" s="5">
        <v>1</v>
      </c>
      <c r="G141" s="19">
        <v>0.05</v>
      </c>
      <c r="H141" s="5" t="s">
        <v>776</v>
      </c>
      <c r="I141" s="10">
        <f>IF(OR(D141="", F141=""), "", F141 * VLOOKUP(D141, Products!A:E, 5, FALSE) * (1 - G141))</f>
        <v>27.777999999999999</v>
      </c>
      <c r="J141" s="10"/>
    </row>
    <row r="142" spans="1:10" ht="15.75" customHeight="1" x14ac:dyDescent="0.3">
      <c r="A142" s="5" t="s">
        <v>1009</v>
      </c>
      <c r="B142" s="11">
        <v>45253</v>
      </c>
      <c r="C142" s="5" t="s">
        <v>137</v>
      </c>
      <c r="D142" s="5" t="s">
        <v>153</v>
      </c>
      <c r="E142" s="5" t="s">
        <v>29</v>
      </c>
      <c r="F142" s="5">
        <v>4</v>
      </c>
      <c r="G142" s="19">
        <v>0</v>
      </c>
      <c r="H142" s="5" t="s">
        <v>776</v>
      </c>
      <c r="I142" s="10">
        <f>IF(OR(D142="", F142=""), "", F142 * VLOOKUP(D142, Products!A:E, 5, FALSE) * (1 - G142))</f>
        <v>5949.64</v>
      </c>
      <c r="J142" s="10"/>
    </row>
    <row r="143" spans="1:10" ht="15.75" customHeight="1" x14ac:dyDescent="0.3">
      <c r="A143" s="5" t="s">
        <v>1010</v>
      </c>
      <c r="B143" s="11">
        <v>45562</v>
      </c>
      <c r="C143" s="5" t="s">
        <v>393</v>
      </c>
      <c r="D143" s="5" t="s">
        <v>285</v>
      </c>
      <c r="E143" s="5" t="s">
        <v>37</v>
      </c>
      <c r="F143" s="5">
        <v>2</v>
      </c>
      <c r="G143" s="19">
        <v>0.15</v>
      </c>
      <c r="H143" s="5" t="s">
        <v>637</v>
      </c>
      <c r="I143" s="10">
        <f>IF(OR(D143="", F143=""), "", F143 * VLOOKUP(D143, Products!A:E, 5, FALSE) * (1 - G143))</f>
        <v>660.04199999999992</v>
      </c>
      <c r="J143" s="10"/>
    </row>
    <row r="144" spans="1:10" ht="15.75" customHeight="1" x14ac:dyDescent="0.3">
      <c r="A144" s="5" t="s">
        <v>1011</v>
      </c>
      <c r="B144" s="11">
        <v>45878</v>
      </c>
      <c r="C144" s="5" t="s">
        <v>522</v>
      </c>
      <c r="D144" s="5" t="s">
        <v>212</v>
      </c>
      <c r="E144" s="5" t="s">
        <v>37</v>
      </c>
      <c r="F144" s="5">
        <v>4</v>
      </c>
      <c r="G144" s="19">
        <v>0.05</v>
      </c>
      <c r="H144" s="5" t="s">
        <v>637</v>
      </c>
      <c r="I144" s="10">
        <f>IF(OR(D144="", F144=""), "", F144 * VLOOKUP(D144, Products!A:E, 5, FALSE) * (1 - G144))</f>
        <v>6836.0859999999993</v>
      </c>
      <c r="J144" s="10"/>
    </row>
    <row r="145" spans="1:10" ht="15.75" customHeight="1" x14ac:dyDescent="0.3">
      <c r="A145" s="5" t="s">
        <v>1012</v>
      </c>
      <c r="B145" s="11">
        <v>45278</v>
      </c>
      <c r="C145" s="5" t="s">
        <v>774</v>
      </c>
      <c r="D145" s="5" t="s">
        <v>267</v>
      </c>
      <c r="E145" s="5" t="s">
        <v>21</v>
      </c>
      <c r="F145" s="5">
        <v>4</v>
      </c>
      <c r="G145" s="19">
        <v>0.15</v>
      </c>
      <c r="H145" s="5" t="s">
        <v>454</v>
      </c>
      <c r="I145" s="10">
        <f>IF(OR(D145="", F145=""), "", F145 * VLOOKUP(D145, Products!A:E, 5, FALSE) * (1 - G145))</f>
        <v>4374.2699999999995</v>
      </c>
      <c r="J145" s="10"/>
    </row>
    <row r="146" spans="1:10" ht="15.75" customHeight="1" x14ac:dyDescent="0.3">
      <c r="A146" s="5" t="s">
        <v>1013</v>
      </c>
      <c r="B146" s="11">
        <v>45726</v>
      </c>
      <c r="C146" s="5" t="s">
        <v>129</v>
      </c>
      <c r="D146" s="5" t="s">
        <v>70</v>
      </c>
      <c r="E146" s="5" t="s">
        <v>29</v>
      </c>
      <c r="F146" s="5">
        <v>2</v>
      </c>
      <c r="G146" s="19">
        <v>0.15</v>
      </c>
      <c r="H146" s="5" t="s">
        <v>637</v>
      </c>
      <c r="I146" s="10">
        <f>IF(OR(D146="", F146=""), "", F146 * VLOOKUP(D146, Products!A:E, 5, FALSE) * (1 - G146))</f>
        <v>209.423</v>
      </c>
      <c r="J146" s="10"/>
    </row>
    <row r="147" spans="1:10" ht="15.75" customHeight="1" x14ac:dyDescent="0.3">
      <c r="A147" s="5" t="s">
        <v>1014</v>
      </c>
      <c r="B147" s="11">
        <v>45424</v>
      </c>
      <c r="C147" s="5" t="s">
        <v>393</v>
      </c>
      <c r="D147" s="5" t="s">
        <v>243</v>
      </c>
      <c r="E147" s="5" t="s">
        <v>29</v>
      </c>
      <c r="F147" s="5">
        <v>1</v>
      </c>
      <c r="G147" s="19">
        <v>0.1</v>
      </c>
      <c r="H147" s="5" t="s">
        <v>454</v>
      </c>
      <c r="I147" s="10">
        <f>IF(OR(D147="", F147=""), "", F147 * VLOOKUP(D147, Products!A:E, 5, FALSE) * (1 - G147))</f>
        <v>486.84600000000006</v>
      </c>
      <c r="J147" s="10"/>
    </row>
    <row r="148" spans="1:10" ht="15.75" customHeight="1" x14ac:dyDescent="0.3">
      <c r="A148" s="5" t="s">
        <v>1015</v>
      </c>
      <c r="B148" s="11">
        <v>45552</v>
      </c>
      <c r="C148" s="5" t="s">
        <v>171</v>
      </c>
      <c r="D148" s="5" t="s">
        <v>221</v>
      </c>
      <c r="E148" s="5" t="s">
        <v>33</v>
      </c>
      <c r="F148" s="5">
        <v>3</v>
      </c>
      <c r="G148" s="19">
        <v>0.05</v>
      </c>
      <c r="H148" s="5" t="s">
        <v>776</v>
      </c>
      <c r="I148" s="10">
        <f>IF(OR(D148="", F148=""), "", F148 * VLOOKUP(D148, Products!A:E, 5, FALSE) * (1 - G148))</f>
        <v>4452.9254999999994</v>
      </c>
      <c r="J148" s="10"/>
    </row>
    <row r="149" spans="1:10" ht="15.75" customHeight="1" x14ac:dyDescent="0.3">
      <c r="A149" s="5" t="s">
        <v>1016</v>
      </c>
      <c r="B149" s="11">
        <v>45391</v>
      </c>
      <c r="C149" s="5" t="s">
        <v>600</v>
      </c>
      <c r="D149" s="5" t="s">
        <v>109</v>
      </c>
      <c r="E149" s="5" t="s">
        <v>21</v>
      </c>
      <c r="F149" s="5">
        <v>2</v>
      </c>
      <c r="G149" s="19">
        <v>0</v>
      </c>
      <c r="H149" s="5" t="s">
        <v>776</v>
      </c>
      <c r="I149" s="10">
        <f>IF(OR(D149="", F149=""), "", F149 * VLOOKUP(D149, Products!A:E, 5, FALSE) * (1 - G149))</f>
        <v>3717.5</v>
      </c>
      <c r="J149" s="10"/>
    </row>
    <row r="150" spans="1:10" ht="15.75" customHeight="1" x14ac:dyDescent="0.3">
      <c r="A150" s="5" t="s">
        <v>1017</v>
      </c>
      <c r="B150" s="11">
        <v>45215</v>
      </c>
      <c r="C150" s="5" t="s">
        <v>488</v>
      </c>
      <c r="D150" s="5" t="s">
        <v>95</v>
      </c>
      <c r="E150" s="5" t="s">
        <v>25</v>
      </c>
      <c r="F150" s="5">
        <v>2</v>
      </c>
      <c r="G150" s="19">
        <v>0.05</v>
      </c>
      <c r="H150" s="5" t="s">
        <v>776</v>
      </c>
      <c r="I150" s="10">
        <f>IF(OR(D150="", F150=""), "", F150 * VLOOKUP(D150, Products!A:E, 5, FALSE) * (1 - G150))</f>
        <v>2551.2249999999999</v>
      </c>
      <c r="J150" s="10"/>
    </row>
    <row r="151" spans="1:10" ht="15.75" customHeight="1" x14ac:dyDescent="0.3">
      <c r="A151" s="5" t="s">
        <v>1018</v>
      </c>
      <c r="B151" s="11">
        <v>45534</v>
      </c>
      <c r="C151" s="5" t="s">
        <v>865</v>
      </c>
      <c r="D151" s="5" t="s">
        <v>188</v>
      </c>
      <c r="E151" s="5" t="s">
        <v>37</v>
      </c>
      <c r="F151" s="5">
        <v>2</v>
      </c>
      <c r="G151" s="19">
        <v>0.05</v>
      </c>
      <c r="H151" s="5" t="s">
        <v>697</v>
      </c>
      <c r="I151" s="10">
        <f>IF(OR(D151="", F151=""), "", F151 * VLOOKUP(D151, Products!A:E, 5, FALSE) * (1 - G151))</f>
        <v>2821.5949999999998</v>
      </c>
      <c r="J151" s="10"/>
    </row>
    <row r="152" spans="1:10" ht="15.75" customHeight="1" x14ac:dyDescent="0.3">
      <c r="A152" s="5" t="s">
        <v>1019</v>
      </c>
      <c r="B152" s="11">
        <v>45539</v>
      </c>
      <c r="C152" s="5" t="s">
        <v>484</v>
      </c>
      <c r="D152" s="5" t="s">
        <v>134</v>
      </c>
      <c r="E152" s="5" t="s">
        <v>25</v>
      </c>
      <c r="F152" s="5">
        <v>5</v>
      </c>
      <c r="G152" s="19">
        <v>0</v>
      </c>
      <c r="H152" s="5" t="s">
        <v>454</v>
      </c>
      <c r="I152" s="10">
        <f>IF(OR(D152="", F152=""), "", F152 * VLOOKUP(D152, Products!A:E, 5, FALSE) * (1 - G152))</f>
        <v>6136.2</v>
      </c>
      <c r="J152" s="10"/>
    </row>
    <row r="153" spans="1:10" ht="15.75" customHeight="1" x14ac:dyDescent="0.3">
      <c r="A153" s="5" t="s">
        <v>1020</v>
      </c>
      <c r="B153" s="11">
        <v>45586</v>
      </c>
      <c r="C153" s="5" t="s">
        <v>300</v>
      </c>
      <c r="D153" s="5" t="s">
        <v>267</v>
      </c>
      <c r="E153" s="5" t="s">
        <v>25</v>
      </c>
      <c r="F153" s="5">
        <v>5</v>
      </c>
      <c r="G153" s="19">
        <v>0.1</v>
      </c>
      <c r="H153" s="5" t="s">
        <v>697</v>
      </c>
      <c r="I153" s="10">
        <f>IF(OR(D153="", F153=""), "", F153 * VLOOKUP(D153, Products!A:E, 5, FALSE) * (1 - G153))</f>
        <v>5789.4750000000004</v>
      </c>
      <c r="J153" s="10"/>
    </row>
    <row r="154" spans="1:10" ht="15.75" customHeight="1" x14ac:dyDescent="0.3">
      <c r="A154" s="5" t="s">
        <v>1021</v>
      </c>
      <c r="B154" s="11">
        <v>45402</v>
      </c>
      <c r="C154" s="5" t="s">
        <v>245</v>
      </c>
      <c r="D154" s="5" t="s">
        <v>61</v>
      </c>
      <c r="E154" s="5" t="s">
        <v>21</v>
      </c>
      <c r="F154" s="5">
        <v>2</v>
      </c>
      <c r="G154" s="19">
        <v>0</v>
      </c>
      <c r="H154" s="5" t="s">
        <v>454</v>
      </c>
      <c r="I154" s="10">
        <f>IF(OR(D154="", F154=""), "", F154 * VLOOKUP(D154, Products!A:E, 5, FALSE) * (1 - G154))</f>
        <v>636.1</v>
      </c>
      <c r="J154" s="10"/>
    </row>
    <row r="155" spans="1:10" ht="15.75" customHeight="1" x14ac:dyDescent="0.3">
      <c r="A155" s="5" t="s">
        <v>1022</v>
      </c>
      <c r="B155" s="11">
        <v>45840</v>
      </c>
      <c r="C155" s="5" t="s">
        <v>393</v>
      </c>
      <c r="D155" s="5" t="s">
        <v>168</v>
      </c>
      <c r="E155" s="5" t="s">
        <v>37</v>
      </c>
      <c r="F155" s="5">
        <v>3</v>
      </c>
      <c r="G155" s="19">
        <v>0</v>
      </c>
      <c r="H155" s="5" t="s">
        <v>697</v>
      </c>
      <c r="I155" s="10">
        <f>IF(OR(D155="", F155=""), "", F155 * VLOOKUP(D155, Products!A:E, 5, FALSE) * (1 - G155))</f>
        <v>3047.2799999999997</v>
      </c>
      <c r="J155" s="10"/>
    </row>
    <row r="156" spans="1:10" ht="15.75" customHeight="1" x14ac:dyDescent="0.3">
      <c r="A156" s="5" t="s">
        <v>1023</v>
      </c>
      <c r="B156" s="11">
        <v>45498</v>
      </c>
      <c r="C156" s="5" t="s">
        <v>420</v>
      </c>
      <c r="D156" s="5" t="s">
        <v>95</v>
      </c>
      <c r="E156" s="5" t="s">
        <v>21</v>
      </c>
      <c r="F156" s="5">
        <v>2</v>
      </c>
      <c r="G156" s="19">
        <v>0.15</v>
      </c>
      <c r="H156" s="5" t="s">
        <v>776</v>
      </c>
      <c r="I156" s="10">
        <f>IF(OR(D156="", F156=""), "", F156 * VLOOKUP(D156, Products!A:E, 5, FALSE) * (1 - G156))</f>
        <v>2282.6749999999997</v>
      </c>
      <c r="J156" s="10"/>
    </row>
    <row r="157" spans="1:10" ht="15.75" customHeight="1" x14ac:dyDescent="0.3">
      <c r="A157" s="5" t="s">
        <v>1024</v>
      </c>
      <c r="B157" s="11">
        <v>45615</v>
      </c>
      <c r="C157" s="5" t="s">
        <v>850</v>
      </c>
      <c r="D157" s="5" t="s">
        <v>67</v>
      </c>
      <c r="E157" s="5" t="s">
        <v>21</v>
      </c>
      <c r="F157" s="5">
        <v>4</v>
      </c>
      <c r="G157" s="19">
        <v>0.15</v>
      </c>
      <c r="H157" s="5" t="s">
        <v>454</v>
      </c>
      <c r="I157" s="10">
        <f>IF(OR(D157="", F157=""), "", F157 * VLOOKUP(D157, Products!A:E, 5, FALSE) * (1 - G157))</f>
        <v>373.25200000000001</v>
      </c>
      <c r="J157" s="10"/>
    </row>
    <row r="158" spans="1:10" ht="15.75" customHeight="1" x14ac:dyDescent="0.3">
      <c r="A158" s="5" t="s">
        <v>1025</v>
      </c>
      <c r="B158" s="11">
        <v>45564</v>
      </c>
      <c r="C158" s="5" t="s">
        <v>652</v>
      </c>
      <c r="D158" s="5" t="s">
        <v>50</v>
      </c>
      <c r="E158" s="5" t="s">
        <v>37</v>
      </c>
      <c r="F158" s="5">
        <v>1</v>
      </c>
      <c r="G158" s="19">
        <v>0.15</v>
      </c>
      <c r="H158" s="5" t="s">
        <v>697</v>
      </c>
      <c r="I158" s="10">
        <f>IF(OR(D158="", F158=""), "", F158 * VLOOKUP(D158, Products!A:E, 5, FALSE) * (1 - G158))</f>
        <v>286.9855</v>
      </c>
      <c r="J158" s="10"/>
    </row>
    <row r="159" spans="1:10" ht="15.75" customHeight="1" x14ac:dyDescent="0.3">
      <c r="A159" s="5" t="s">
        <v>1026</v>
      </c>
      <c r="B159" s="11">
        <v>45526</v>
      </c>
      <c r="C159" s="5" t="s">
        <v>740</v>
      </c>
      <c r="D159" s="5" t="s">
        <v>147</v>
      </c>
      <c r="E159" s="5" t="s">
        <v>21</v>
      </c>
      <c r="F159" s="5">
        <v>5</v>
      </c>
      <c r="G159" s="19">
        <v>0.1</v>
      </c>
      <c r="H159" s="5" t="s">
        <v>637</v>
      </c>
      <c r="I159" s="10">
        <f>IF(OR(D159="", F159=""), "", F159 * VLOOKUP(D159, Products!A:E, 5, FALSE) * (1 - G159))</f>
        <v>8453.1149999999998</v>
      </c>
      <c r="J159" s="10"/>
    </row>
    <row r="160" spans="1:10" ht="15.75" customHeight="1" x14ac:dyDescent="0.3">
      <c r="A160" s="5" t="s">
        <v>1027</v>
      </c>
      <c r="B160" s="11">
        <v>45872</v>
      </c>
      <c r="C160" s="5" t="s">
        <v>762</v>
      </c>
      <c r="D160" s="5" t="s">
        <v>262</v>
      </c>
      <c r="E160" s="5" t="s">
        <v>21</v>
      </c>
      <c r="F160" s="5">
        <v>1</v>
      </c>
      <c r="G160" s="19">
        <v>0.15</v>
      </c>
      <c r="H160" s="5" t="s">
        <v>637</v>
      </c>
      <c r="I160" s="10">
        <f>IF(OR(D160="", F160=""), "", F160 * VLOOKUP(D160, Products!A:E, 5, FALSE) * (1 - G160))</f>
        <v>385.577</v>
      </c>
      <c r="J160" s="10"/>
    </row>
    <row r="161" spans="1:10" ht="15.75" customHeight="1" x14ac:dyDescent="0.3">
      <c r="A161" s="5" t="s">
        <v>1028</v>
      </c>
      <c r="B161" s="11">
        <v>45205</v>
      </c>
      <c r="C161" s="5" t="s">
        <v>575</v>
      </c>
      <c r="D161" s="5" t="s">
        <v>134</v>
      </c>
      <c r="E161" s="5" t="s">
        <v>21</v>
      </c>
      <c r="F161" s="5">
        <v>4</v>
      </c>
      <c r="G161" s="19">
        <v>0.15</v>
      </c>
      <c r="H161" s="5" t="s">
        <v>776</v>
      </c>
      <c r="I161" s="10">
        <f>IF(OR(D161="", F161=""), "", F161 * VLOOKUP(D161, Products!A:E, 5, FALSE) * (1 - G161))</f>
        <v>4172.616</v>
      </c>
      <c r="J161" s="10"/>
    </row>
    <row r="162" spans="1:10" ht="15.75" customHeight="1" x14ac:dyDescent="0.3">
      <c r="A162" s="5" t="s">
        <v>1029</v>
      </c>
      <c r="B162" s="11">
        <v>45794</v>
      </c>
      <c r="C162" s="5" t="s">
        <v>197</v>
      </c>
      <c r="D162" s="5" t="s">
        <v>272</v>
      </c>
      <c r="E162" s="5" t="s">
        <v>29</v>
      </c>
      <c r="F162" s="5">
        <v>5</v>
      </c>
      <c r="G162" s="19">
        <v>0.05</v>
      </c>
      <c r="H162" s="5" t="s">
        <v>776</v>
      </c>
      <c r="I162" s="10">
        <f>IF(OR(D162="", F162=""), "", F162 * VLOOKUP(D162, Products!A:E, 5, FALSE) * (1 - G162))</f>
        <v>5535.5074999999988</v>
      </c>
      <c r="J162" s="10"/>
    </row>
    <row r="163" spans="1:10" ht="15.75" customHeight="1" x14ac:dyDescent="0.3">
      <c r="A163" s="5" t="s">
        <v>1030</v>
      </c>
      <c r="B163" s="11">
        <v>45415</v>
      </c>
      <c r="C163" s="5" t="s">
        <v>274</v>
      </c>
      <c r="D163" s="5" t="s">
        <v>188</v>
      </c>
      <c r="E163" s="5" t="s">
        <v>29</v>
      </c>
      <c r="F163" s="5">
        <v>5</v>
      </c>
      <c r="G163" s="19">
        <v>0.1</v>
      </c>
      <c r="H163" s="5" t="s">
        <v>637</v>
      </c>
      <c r="I163" s="10">
        <f>IF(OR(D163="", F163=""), "", F163 * VLOOKUP(D163, Products!A:E, 5, FALSE) * (1 - G163))</f>
        <v>6682.7250000000004</v>
      </c>
      <c r="J163" s="10"/>
    </row>
    <row r="164" spans="1:10" ht="15.75" customHeight="1" x14ac:dyDescent="0.3">
      <c r="A164" s="5" t="s">
        <v>1031</v>
      </c>
      <c r="B164" s="11">
        <v>45732</v>
      </c>
      <c r="C164" s="5" t="s">
        <v>724</v>
      </c>
      <c r="D164" s="5" t="s">
        <v>212</v>
      </c>
      <c r="E164" s="5" t="s">
        <v>37</v>
      </c>
      <c r="F164" s="5">
        <v>3</v>
      </c>
      <c r="G164" s="19">
        <v>0.15</v>
      </c>
      <c r="H164" s="5" t="s">
        <v>637</v>
      </c>
      <c r="I164" s="10">
        <f>IF(OR(D164="", F164=""), "", F164 * VLOOKUP(D164, Products!A:E, 5, FALSE) * (1 - G164))</f>
        <v>4587.3734999999997</v>
      </c>
      <c r="J164" s="10"/>
    </row>
    <row r="165" spans="1:10" ht="15.75" customHeight="1" x14ac:dyDescent="0.3">
      <c r="A165" s="5" t="s">
        <v>1032</v>
      </c>
      <c r="B165" s="11">
        <v>45501</v>
      </c>
      <c r="C165" s="5" t="s">
        <v>229</v>
      </c>
      <c r="D165" s="5" t="s">
        <v>50</v>
      </c>
      <c r="E165" s="5" t="s">
        <v>21</v>
      </c>
      <c r="F165" s="5">
        <v>5</v>
      </c>
      <c r="G165" s="19">
        <v>0.05</v>
      </c>
      <c r="H165" s="5" t="s">
        <v>637</v>
      </c>
      <c r="I165" s="10">
        <f>IF(OR(D165="", F165=""), "", F165 * VLOOKUP(D165, Products!A:E, 5, FALSE) * (1 - G165))</f>
        <v>1603.7425000000001</v>
      </c>
      <c r="J165" s="10"/>
    </row>
    <row r="166" spans="1:10" ht="15.75" customHeight="1" x14ac:dyDescent="0.3">
      <c r="A166" s="5" t="s">
        <v>1033</v>
      </c>
      <c r="B166" s="11">
        <v>45888</v>
      </c>
      <c r="C166" s="5" t="s">
        <v>597</v>
      </c>
      <c r="D166" s="5" t="s">
        <v>57</v>
      </c>
      <c r="E166" s="5" t="s">
        <v>25</v>
      </c>
      <c r="F166" s="5">
        <v>4</v>
      </c>
      <c r="G166" s="19">
        <v>0.1</v>
      </c>
      <c r="H166" s="5" t="s">
        <v>637</v>
      </c>
      <c r="I166" s="10">
        <f>IF(OR(D166="", F166=""), "", F166 * VLOOKUP(D166, Products!A:E, 5, FALSE) * (1 - G166))</f>
        <v>5026.3919999999998</v>
      </c>
      <c r="J166" s="10"/>
    </row>
    <row r="167" spans="1:10" ht="15.75" customHeight="1" x14ac:dyDescent="0.3">
      <c r="A167" s="5" t="s">
        <v>1034</v>
      </c>
      <c r="B167" s="11">
        <v>45685</v>
      </c>
      <c r="C167" s="5" t="s">
        <v>550</v>
      </c>
      <c r="D167" s="5" t="s">
        <v>193</v>
      </c>
      <c r="E167" s="5" t="s">
        <v>33</v>
      </c>
      <c r="F167" s="5">
        <v>1</v>
      </c>
      <c r="G167" s="19">
        <v>0.1</v>
      </c>
      <c r="H167" s="5" t="s">
        <v>637</v>
      </c>
      <c r="I167" s="10">
        <f>IF(OR(D167="", F167=""), "", F167 * VLOOKUP(D167, Products!A:E, 5, FALSE) * (1 - G167))</f>
        <v>26.315999999999999</v>
      </c>
      <c r="J167" s="10"/>
    </row>
    <row r="168" spans="1:10" ht="15.75" customHeight="1" x14ac:dyDescent="0.3">
      <c r="A168" s="5" t="s">
        <v>1035</v>
      </c>
      <c r="B168" s="11">
        <v>45221</v>
      </c>
      <c r="C168" s="5" t="s">
        <v>470</v>
      </c>
      <c r="D168" s="5" t="s">
        <v>237</v>
      </c>
      <c r="E168" s="5" t="s">
        <v>29</v>
      </c>
      <c r="F168" s="5">
        <v>3</v>
      </c>
      <c r="G168" s="19">
        <v>0.05</v>
      </c>
      <c r="H168" s="5" t="s">
        <v>637</v>
      </c>
      <c r="I168" s="10">
        <f>IF(OR(D168="", F168=""), "", F168 * VLOOKUP(D168, Products!A:E, 5, FALSE) * (1 - G168))</f>
        <v>1045.7504999999999</v>
      </c>
      <c r="J168" s="10"/>
    </row>
    <row r="169" spans="1:10" ht="15.75" customHeight="1" x14ac:dyDescent="0.3">
      <c r="A169" s="5" t="s">
        <v>1036</v>
      </c>
      <c r="B169" s="11">
        <v>45362</v>
      </c>
      <c r="C169" s="5" t="s">
        <v>181</v>
      </c>
      <c r="D169" s="5" t="s">
        <v>140</v>
      </c>
      <c r="E169" s="5" t="s">
        <v>21</v>
      </c>
      <c r="F169" s="5">
        <v>1</v>
      </c>
      <c r="G169" s="19">
        <v>0</v>
      </c>
      <c r="H169" s="5" t="s">
        <v>637</v>
      </c>
      <c r="I169" s="10">
        <f>IF(OR(D169="", F169=""), "", F169 * VLOOKUP(D169, Products!A:E, 5, FALSE) * (1 - G169))</f>
        <v>25.57</v>
      </c>
      <c r="J169" s="10"/>
    </row>
    <row r="170" spans="1:10" ht="15.75" customHeight="1" x14ac:dyDescent="0.3">
      <c r="A170" s="5" t="s">
        <v>1037</v>
      </c>
      <c r="B170" s="11">
        <v>45505</v>
      </c>
      <c r="C170" s="5" t="s">
        <v>223</v>
      </c>
      <c r="D170" s="5" t="s">
        <v>119</v>
      </c>
      <c r="E170" s="5" t="s">
        <v>29</v>
      </c>
      <c r="F170" s="5">
        <v>2</v>
      </c>
      <c r="G170" s="19">
        <v>0</v>
      </c>
      <c r="H170" s="5" t="s">
        <v>454</v>
      </c>
      <c r="I170" s="10">
        <f>IF(OR(D170="", F170=""), "", F170 * VLOOKUP(D170, Products!A:E, 5, FALSE) * (1 - G170))</f>
        <v>2159.7800000000002</v>
      </c>
      <c r="J170" s="10"/>
    </row>
    <row r="171" spans="1:10" ht="15.75" customHeight="1" x14ac:dyDescent="0.3">
      <c r="A171" s="5" t="s">
        <v>1038</v>
      </c>
      <c r="B171" s="11">
        <v>45347</v>
      </c>
      <c r="C171" s="5" t="s">
        <v>786</v>
      </c>
      <c r="D171" s="5" t="s">
        <v>267</v>
      </c>
      <c r="E171" s="5" t="s">
        <v>21</v>
      </c>
      <c r="F171" s="5">
        <v>4</v>
      </c>
      <c r="G171" s="19">
        <v>0.1</v>
      </c>
      <c r="H171" s="5" t="s">
        <v>637</v>
      </c>
      <c r="I171" s="10">
        <f>IF(OR(D171="", F171=""), "", F171 * VLOOKUP(D171, Products!A:E, 5, FALSE) * (1 - G171))</f>
        <v>4631.58</v>
      </c>
      <c r="J171" s="10"/>
    </row>
    <row r="172" spans="1:10" ht="15.75" customHeight="1" x14ac:dyDescent="0.3">
      <c r="A172" s="5" t="s">
        <v>1039</v>
      </c>
      <c r="B172" s="11">
        <v>45283</v>
      </c>
      <c r="C172" s="5" t="s">
        <v>829</v>
      </c>
      <c r="D172" s="5" t="s">
        <v>221</v>
      </c>
      <c r="E172" s="5" t="s">
        <v>21</v>
      </c>
      <c r="F172" s="5">
        <v>3</v>
      </c>
      <c r="G172" s="19">
        <v>0.1</v>
      </c>
      <c r="H172" s="5" t="s">
        <v>454</v>
      </c>
      <c r="I172" s="10">
        <f>IF(OR(D172="", F172=""), "", F172 * VLOOKUP(D172, Products!A:E, 5, FALSE) * (1 - G172))</f>
        <v>4218.5609999999997</v>
      </c>
      <c r="J172" s="10"/>
    </row>
    <row r="173" spans="1:10" ht="15.75" customHeight="1" x14ac:dyDescent="0.3">
      <c r="A173" s="5" t="s">
        <v>1040</v>
      </c>
      <c r="B173" s="11">
        <v>45675</v>
      </c>
      <c r="C173" s="5" t="s">
        <v>235</v>
      </c>
      <c r="D173" s="5" t="s">
        <v>269</v>
      </c>
      <c r="E173" s="5" t="s">
        <v>37</v>
      </c>
      <c r="F173" s="5">
        <v>5</v>
      </c>
      <c r="G173" s="19">
        <v>0.05</v>
      </c>
      <c r="H173" s="5" t="s">
        <v>697</v>
      </c>
      <c r="I173" s="10">
        <f>IF(OR(D173="", F173=""), "", F173 * VLOOKUP(D173, Products!A:E, 5, FALSE) * (1 - G173))</f>
        <v>8925.6299999999992</v>
      </c>
      <c r="J173" s="10"/>
    </row>
    <row r="174" spans="1:10" ht="15.75" customHeight="1" x14ac:dyDescent="0.3">
      <c r="A174" s="5" t="s">
        <v>1041</v>
      </c>
      <c r="B174" s="11">
        <v>45537</v>
      </c>
      <c r="C174" s="5" t="s">
        <v>773</v>
      </c>
      <c r="D174" s="5" t="s">
        <v>175</v>
      </c>
      <c r="E174" s="5" t="s">
        <v>33</v>
      </c>
      <c r="F174" s="5">
        <v>2</v>
      </c>
      <c r="G174" s="19">
        <v>0</v>
      </c>
      <c r="H174" s="5" t="s">
        <v>454</v>
      </c>
      <c r="I174" s="10">
        <f>IF(OR(D174="", F174=""), "", F174 * VLOOKUP(D174, Products!A:E, 5, FALSE) * (1 - G174))</f>
        <v>2544.46</v>
      </c>
      <c r="J174" s="10"/>
    </row>
    <row r="175" spans="1:10" ht="15.75" customHeight="1" x14ac:dyDescent="0.3">
      <c r="A175" s="5" t="s">
        <v>1042</v>
      </c>
      <c r="B175" s="11">
        <v>45799</v>
      </c>
      <c r="C175" s="5" t="s">
        <v>691</v>
      </c>
      <c r="D175" s="5" t="s">
        <v>74</v>
      </c>
      <c r="E175" s="5" t="s">
        <v>29</v>
      </c>
      <c r="F175" s="5">
        <v>1</v>
      </c>
      <c r="G175" s="19">
        <v>0.1</v>
      </c>
      <c r="H175" s="5" t="s">
        <v>697</v>
      </c>
      <c r="I175" s="10">
        <f>IF(OR(D175="", F175=""), "", F175 * VLOOKUP(D175, Products!A:E, 5, FALSE) * (1 - G175))</f>
        <v>1074.7079999999999</v>
      </c>
      <c r="J175" s="10"/>
    </row>
    <row r="176" spans="1:10" ht="15.75" customHeight="1" x14ac:dyDescent="0.3">
      <c r="A176" s="5" t="s">
        <v>1043</v>
      </c>
      <c r="B176" s="11">
        <v>45623</v>
      </c>
      <c r="C176" s="5" t="s">
        <v>575</v>
      </c>
      <c r="D176" s="5" t="s">
        <v>61</v>
      </c>
      <c r="E176" s="5" t="s">
        <v>37</v>
      </c>
      <c r="F176" s="5">
        <v>5</v>
      </c>
      <c r="G176" s="19">
        <v>0</v>
      </c>
      <c r="H176" s="5" t="s">
        <v>454</v>
      </c>
      <c r="I176" s="10">
        <f>IF(OR(D176="", F176=""), "", F176 * VLOOKUP(D176, Products!A:E, 5, FALSE) * (1 - G176))</f>
        <v>1590.25</v>
      </c>
      <c r="J176" s="10"/>
    </row>
    <row r="177" spans="1:10" ht="15.75" customHeight="1" x14ac:dyDescent="0.3">
      <c r="A177" s="5" t="s">
        <v>1044</v>
      </c>
      <c r="B177" s="11">
        <v>45882</v>
      </c>
      <c r="C177" s="5" t="s">
        <v>121</v>
      </c>
      <c r="D177" s="5" t="s">
        <v>82</v>
      </c>
      <c r="E177" s="5" t="s">
        <v>25</v>
      </c>
      <c r="F177" s="5">
        <v>3</v>
      </c>
      <c r="G177" s="19">
        <v>0.1</v>
      </c>
      <c r="H177" s="5" t="s">
        <v>454</v>
      </c>
      <c r="I177" s="10">
        <f>IF(OR(D177="", F177=""), "", F177 * VLOOKUP(D177, Products!A:E, 5, FALSE) * (1 - G177))</f>
        <v>3221.3429999999998</v>
      </c>
      <c r="J177" s="10"/>
    </row>
    <row r="178" spans="1:10" ht="15.75" customHeight="1" x14ac:dyDescent="0.3">
      <c r="A178" s="5" t="s">
        <v>1045</v>
      </c>
      <c r="B178" s="11">
        <v>45886</v>
      </c>
      <c r="C178" s="5" t="s">
        <v>503</v>
      </c>
      <c r="D178" s="5" t="s">
        <v>147</v>
      </c>
      <c r="E178" s="5" t="s">
        <v>21</v>
      </c>
      <c r="F178" s="5">
        <v>2</v>
      </c>
      <c r="G178" s="19">
        <v>0.05</v>
      </c>
      <c r="H178" s="5" t="s">
        <v>637</v>
      </c>
      <c r="I178" s="10">
        <f>IF(OR(D178="", F178=""), "", F178 * VLOOKUP(D178, Products!A:E, 5, FALSE) * (1 - G178))</f>
        <v>3569.0929999999998</v>
      </c>
      <c r="J178" s="10"/>
    </row>
    <row r="179" spans="1:10" ht="15.75" customHeight="1" x14ac:dyDescent="0.3">
      <c r="A179" s="5" t="s">
        <v>1046</v>
      </c>
      <c r="B179" s="11">
        <v>45390</v>
      </c>
      <c r="C179" s="5" t="s">
        <v>181</v>
      </c>
      <c r="D179" s="5" t="s">
        <v>109</v>
      </c>
      <c r="E179" s="5" t="s">
        <v>25</v>
      </c>
      <c r="F179" s="5">
        <v>1</v>
      </c>
      <c r="G179" s="19">
        <v>0</v>
      </c>
      <c r="H179" s="5" t="s">
        <v>697</v>
      </c>
      <c r="I179" s="10">
        <f>IF(OR(D179="", F179=""), "", F179 * VLOOKUP(D179, Products!A:E, 5, FALSE) * (1 - G179))</f>
        <v>1858.75</v>
      </c>
      <c r="J179" s="10"/>
    </row>
    <row r="180" spans="1:10" ht="15.75" customHeight="1" x14ac:dyDescent="0.3">
      <c r="A180" s="5" t="s">
        <v>1047</v>
      </c>
      <c r="B180" s="11">
        <v>45387</v>
      </c>
      <c r="C180" s="5" t="s">
        <v>528</v>
      </c>
      <c r="D180" s="5" t="s">
        <v>128</v>
      </c>
      <c r="E180" s="5" t="s">
        <v>33</v>
      </c>
      <c r="F180" s="5">
        <v>4</v>
      </c>
      <c r="G180" s="19">
        <v>0.1</v>
      </c>
      <c r="H180" s="5" t="s">
        <v>697</v>
      </c>
      <c r="I180" s="10">
        <f>IF(OR(D180="", F180=""), "", F180 * VLOOKUP(D180, Products!A:E, 5, FALSE) * (1 - G180))</f>
        <v>1166.1120000000001</v>
      </c>
      <c r="J180" s="10"/>
    </row>
    <row r="181" spans="1:10" ht="15.75" customHeight="1" x14ac:dyDescent="0.3">
      <c r="A181" s="5" t="s">
        <v>1048</v>
      </c>
      <c r="B181" s="11">
        <v>45447</v>
      </c>
      <c r="C181" s="5" t="s">
        <v>522</v>
      </c>
      <c r="D181" s="5" t="s">
        <v>70</v>
      </c>
      <c r="E181" s="5" t="s">
        <v>29</v>
      </c>
      <c r="F181" s="5">
        <v>3</v>
      </c>
      <c r="G181" s="19">
        <v>0</v>
      </c>
      <c r="H181" s="5" t="s">
        <v>776</v>
      </c>
      <c r="I181" s="10">
        <f>IF(OR(D181="", F181=""), "", F181 * VLOOKUP(D181, Products!A:E, 5, FALSE) * (1 - G181))</f>
        <v>369.57</v>
      </c>
      <c r="J181" s="10"/>
    </row>
    <row r="182" spans="1:10" ht="15.75" customHeight="1" x14ac:dyDescent="0.3">
      <c r="A182" s="5" t="s">
        <v>1049</v>
      </c>
      <c r="B182" s="11">
        <v>45471</v>
      </c>
      <c r="C182" s="5" t="s">
        <v>308</v>
      </c>
      <c r="D182" s="5" t="s">
        <v>193</v>
      </c>
      <c r="E182" s="5" t="s">
        <v>25</v>
      </c>
      <c r="F182" s="5">
        <v>5</v>
      </c>
      <c r="G182" s="19">
        <v>0</v>
      </c>
      <c r="H182" s="5" t="s">
        <v>776</v>
      </c>
      <c r="I182" s="10">
        <f>IF(OR(D182="", F182=""), "", F182 * VLOOKUP(D182, Products!A:E, 5, FALSE) * (1 - G182))</f>
        <v>146.19999999999999</v>
      </c>
      <c r="J182" s="10"/>
    </row>
    <row r="183" spans="1:10" ht="15.75" customHeight="1" x14ac:dyDescent="0.3">
      <c r="A183" s="5" t="s">
        <v>1050</v>
      </c>
      <c r="B183" s="11">
        <v>45291</v>
      </c>
      <c r="C183" s="5" t="s">
        <v>429</v>
      </c>
      <c r="D183" s="5" t="s">
        <v>188</v>
      </c>
      <c r="E183" s="5" t="s">
        <v>33</v>
      </c>
      <c r="F183" s="5">
        <v>4</v>
      </c>
      <c r="G183" s="19">
        <v>0.15</v>
      </c>
      <c r="H183" s="5" t="s">
        <v>637</v>
      </c>
      <c r="I183" s="10">
        <f>IF(OR(D183="", F183=""), "", F183 * VLOOKUP(D183, Products!A:E, 5, FALSE) * (1 - G183))</f>
        <v>5049.17</v>
      </c>
      <c r="J183" s="10"/>
    </row>
    <row r="184" spans="1:10" ht="15.75" customHeight="1" x14ac:dyDescent="0.3">
      <c r="A184" s="5" t="s">
        <v>1051</v>
      </c>
      <c r="B184" s="11">
        <v>45798</v>
      </c>
      <c r="C184" s="5" t="s">
        <v>563</v>
      </c>
      <c r="D184" s="5" t="s">
        <v>82</v>
      </c>
      <c r="E184" s="5" t="s">
        <v>29</v>
      </c>
      <c r="F184" s="5">
        <v>2</v>
      </c>
      <c r="G184" s="19">
        <v>0</v>
      </c>
      <c r="H184" s="5" t="s">
        <v>454</v>
      </c>
      <c r="I184" s="10">
        <f>IF(OR(D184="", F184=""), "", F184 * VLOOKUP(D184, Products!A:E, 5, FALSE) * (1 - G184))</f>
        <v>2386.1799999999998</v>
      </c>
      <c r="J184" s="10"/>
    </row>
    <row r="185" spans="1:10" ht="15.75" customHeight="1" x14ac:dyDescent="0.3">
      <c r="A185" s="5" t="s">
        <v>1052</v>
      </c>
      <c r="B185" s="11">
        <v>45527</v>
      </c>
      <c r="C185" s="5" t="s">
        <v>579</v>
      </c>
      <c r="D185" s="5" t="s">
        <v>47</v>
      </c>
      <c r="E185" s="5" t="s">
        <v>21</v>
      </c>
      <c r="F185" s="5">
        <v>3</v>
      </c>
      <c r="G185" s="19">
        <v>0.15</v>
      </c>
      <c r="H185" s="5" t="s">
        <v>454</v>
      </c>
      <c r="I185" s="10">
        <f>IF(OR(D185="", F185=""), "", F185 * VLOOKUP(D185, Products!A:E, 5, FALSE) * (1 - G185))</f>
        <v>2087.8379999999997</v>
      </c>
      <c r="J185" s="10"/>
    </row>
    <row r="186" spans="1:10" ht="15.75" customHeight="1" x14ac:dyDescent="0.3">
      <c r="A186" s="5" t="s">
        <v>1053</v>
      </c>
      <c r="B186" s="11">
        <v>45840</v>
      </c>
      <c r="C186" s="5" t="s">
        <v>149</v>
      </c>
      <c r="D186" s="5" t="s">
        <v>193</v>
      </c>
      <c r="E186" s="5" t="s">
        <v>25</v>
      </c>
      <c r="F186" s="5">
        <v>4</v>
      </c>
      <c r="G186" s="19">
        <v>0</v>
      </c>
      <c r="H186" s="5" t="s">
        <v>776</v>
      </c>
      <c r="I186" s="10">
        <f>IF(OR(D186="", F186=""), "", F186 * VLOOKUP(D186, Products!A:E, 5, FALSE) * (1 - G186))</f>
        <v>116.96</v>
      </c>
      <c r="J186" s="10"/>
    </row>
    <row r="187" spans="1:10" ht="15.75" customHeight="1" x14ac:dyDescent="0.3">
      <c r="A187" s="5" t="s">
        <v>1054</v>
      </c>
      <c r="B187" s="11">
        <v>45464</v>
      </c>
      <c r="C187" s="5" t="s">
        <v>361</v>
      </c>
      <c r="D187" s="5" t="s">
        <v>188</v>
      </c>
      <c r="E187" s="5" t="s">
        <v>29</v>
      </c>
      <c r="F187" s="5">
        <v>2</v>
      </c>
      <c r="G187" s="19">
        <v>0.05</v>
      </c>
      <c r="H187" s="5" t="s">
        <v>454</v>
      </c>
      <c r="I187" s="10">
        <f>IF(OR(D187="", F187=""), "", F187 * VLOOKUP(D187, Products!A:E, 5, FALSE) * (1 - G187))</f>
        <v>2821.5949999999998</v>
      </c>
      <c r="J187" s="10"/>
    </row>
    <row r="188" spans="1:10" ht="15.75" customHeight="1" x14ac:dyDescent="0.3">
      <c r="A188" s="5" t="s">
        <v>1055</v>
      </c>
      <c r="B188" s="11">
        <v>45561</v>
      </c>
      <c r="C188" s="5" t="s">
        <v>447</v>
      </c>
      <c r="D188" s="5" t="s">
        <v>89</v>
      </c>
      <c r="E188" s="5" t="s">
        <v>29</v>
      </c>
      <c r="F188" s="5">
        <v>1</v>
      </c>
      <c r="G188" s="19">
        <v>0</v>
      </c>
      <c r="H188" s="5" t="s">
        <v>637</v>
      </c>
      <c r="I188" s="10">
        <f>IF(OR(D188="", F188=""), "", F188 * VLOOKUP(D188, Products!A:E, 5, FALSE) * (1 - G188))</f>
        <v>1134.8</v>
      </c>
      <c r="J188" s="10"/>
    </row>
    <row r="189" spans="1:10" ht="15.75" customHeight="1" x14ac:dyDescent="0.3">
      <c r="A189" s="5" t="s">
        <v>1056</v>
      </c>
      <c r="B189" s="11">
        <v>45404</v>
      </c>
      <c r="C189" s="5" t="s">
        <v>854</v>
      </c>
      <c r="D189" s="5" t="s">
        <v>109</v>
      </c>
      <c r="E189" s="5" t="s">
        <v>33</v>
      </c>
      <c r="F189" s="5">
        <v>2</v>
      </c>
      <c r="G189" s="19">
        <v>0.05</v>
      </c>
      <c r="H189" s="5" t="s">
        <v>637</v>
      </c>
      <c r="I189" s="10">
        <f>IF(OR(D189="", F189=""), "", F189 * VLOOKUP(D189, Products!A:E, 5, FALSE) * (1 - G189))</f>
        <v>3531.625</v>
      </c>
      <c r="J189" s="10"/>
    </row>
    <row r="190" spans="1:10" ht="15.75" customHeight="1" x14ac:dyDescent="0.3">
      <c r="A190" s="5" t="s">
        <v>1057</v>
      </c>
      <c r="B190" s="11">
        <v>45742</v>
      </c>
      <c r="C190" s="5" t="s">
        <v>671</v>
      </c>
      <c r="D190" s="5" t="s">
        <v>267</v>
      </c>
      <c r="E190" s="5" t="s">
        <v>25</v>
      </c>
      <c r="F190" s="5">
        <v>5</v>
      </c>
      <c r="G190" s="19">
        <v>0.1</v>
      </c>
      <c r="H190" s="5" t="s">
        <v>776</v>
      </c>
      <c r="I190" s="10">
        <f>IF(OR(D190="", F190=""), "", F190 * VLOOKUP(D190, Products!A:E, 5, FALSE) * (1 - G190))</f>
        <v>5789.4750000000004</v>
      </c>
      <c r="J190" s="10"/>
    </row>
    <row r="191" spans="1:10" ht="15.75" customHeight="1" x14ac:dyDescent="0.3">
      <c r="A191" s="5" t="s">
        <v>1058</v>
      </c>
      <c r="B191" s="11">
        <v>45807</v>
      </c>
      <c r="C191" s="5" t="s">
        <v>546</v>
      </c>
      <c r="D191" s="5" t="s">
        <v>128</v>
      </c>
      <c r="E191" s="5" t="s">
        <v>21</v>
      </c>
      <c r="F191" s="5">
        <v>4</v>
      </c>
      <c r="G191" s="19">
        <v>0</v>
      </c>
      <c r="H191" s="5" t="s">
        <v>637</v>
      </c>
      <c r="I191" s="10">
        <f>IF(OR(D191="", F191=""), "", F191 * VLOOKUP(D191, Products!A:E, 5, FALSE) * (1 - G191))</f>
        <v>1295.68</v>
      </c>
      <c r="J191" s="10"/>
    </row>
    <row r="192" spans="1:10" ht="15.75" customHeight="1" x14ac:dyDescent="0.3">
      <c r="A192" s="5" t="s">
        <v>1059</v>
      </c>
      <c r="B192" s="11">
        <v>45193</v>
      </c>
      <c r="C192" s="5" t="s">
        <v>191</v>
      </c>
      <c r="D192" s="5" t="s">
        <v>65</v>
      </c>
      <c r="E192" s="5" t="s">
        <v>29</v>
      </c>
      <c r="F192" s="5">
        <v>5</v>
      </c>
      <c r="G192" s="19">
        <v>0.15</v>
      </c>
      <c r="H192" s="5" t="s">
        <v>637</v>
      </c>
      <c r="I192" s="10">
        <f>IF(OR(D192="", F192=""), "", F192 * VLOOKUP(D192, Products!A:E, 5, FALSE) * (1 - G192))</f>
        <v>6265.0099999999993</v>
      </c>
      <c r="J192" s="10"/>
    </row>
    <row r="193" spans="1:10" ht="15.75" customHeight="1" x14ac:dyDescent="0.3">
      <c r="A193" s="5" t="s">
        <v>1060</v>
      </c>
      <c r="B193" s="11">
        <v>45226</v>
      </c>
      <c r="C193" s="5" t="s">
        <v>819</v>
      </c>
      <c r="D193" s="5" t="s">
        <v>122</v>
      </c>
      <c r="E193" s="5" t="s">
        <v>33</v>
      </c>
      <c r="F193" s="5">
        <v>3</v>
      </c>
      <c r="G193" s="19">
        <v>0</v>
      </c>
      <c r="H193" s="5" t="s">
        <v>637</v>
      </c>
      <c r="I193" s="10">
        <f>IF(OR(D193="", F193=""), "", F193 * VLOOKUP(D193, Products!A:E, 5, FALSE) * (1 - G193))</f>
        <v>5288.76</v>
      </c>
      <c r="J193" s="10"/>
    </row>
    <row r="194" spans="1:10" ht="15.75" customHeight="1" x14ac:dyDescent="0.3">
      <c r="A194" s="5" t="s">
        <v>1061</v>
      </c>
      <c r="B194" s="11">
        <v>45670</v>
      </c>
      <c r="C194" s="5" t="s">
        <v>106</v>
      </c>
      <c r="D194" s="5" t="s">
        <v>175</v>
      </c>
      <c r="E194" s="5" t="s">
        <v>29</v>
      </c>
      <c r="F194" s="5">
        <v>2</v>
      </c>
      <c r="G194" s="19">
        <v>0.15</v>
      </c>
      <c r="H194" s="5" t="s">
        <v>454</v>
      </c>
      <c r="I194" s="10">
        <f>IF(OR(D194="", F194=""), "", F194 * VLOOKUP(D194, Products!A:E, 5, FALSE) * (1 - G194))</f>
        <v>2162.7910000000002</v>
      </c>
      <c r="J194" s="10"/>
    </row>
    <row r="195" spans="1:10" ht="15.75" customHeight="1" x14ac:dyDescent="0.3">
      <c r="A195" s="5" t="s">
        <v>1062</v>
      </c>
      <c r="B195" s="11">
        <v>45268</v>
      </c>
      <c r="C195" s="5" t="s">
        <v>209</v>
      </c>
      <c r="D195" s="5" t="s">
        <v>74</v>
      </c>
      <c r="E195" s="5" t="s">
        <v>33</v>
      </c>
      <c r="F195" s="5">
        <v>1</v>
      </c>
      <c r="G195" s="19">
        <v>0.05</v>
      </c>
      <c r="H195" s="5" t="s">
        <v>637</v>
      </c>
      <c r="I195" s="10">
        <f>IF(OR(D195="", F195=""), "", F195 * VLOOKUP(D195, Products!A:E, 5, FALSE) * (1 - G195))</f>
        <v>1134.4139999999998</v>
      </c>
      <c r="J195" s="10"/>
    </row>
    <row r="196" spans="1:10" ht="15.75" customHeight="1" x14ac:dyDescent="0.3">
      <c r="A196" s="5" t="s">
        <v>1063</v>
      </c>
      <c r="B196" s="11">
        <v>45815</v>
      </c>
      <c r="C196" s="5" t="s">
        <v>718</v>
      </c>
      <c r="D196" s="5" t="s">
        <v>109</v>
      </c>
      <c r="E196" s="5" t="s">
        <v>33</v>
      </c>
      <c r="F196" s="5">
        <v>5</v>
      </c>
      <c r="G196" s="19">
        <v>0</v>
      </c>
      <c r="H196" s="5" t="s">
        <v>637</v>
      </c>
      <c r="I196" s="10">
        <f>IF(OR(D196="", F196=""), "", F196 * VLOOKUP(D196, Products!A:E, 5, FALSE) * (1 - G196))</f>
        <v>9293.75</v>
      </c>
      <c r="J196" s="10"/>
    </row>
    <row r="197" spans="1:10" ht="15.75" customHeight="1" x14ac:dyDescent="0.3">
      <c r="A197" s="5" t="s">
        <v>1064</v>
      </c>
      <c r="B197" s="11">
        <v>45542</v>
      </c>
      <c r="C197" s="5" t="s">
        <v>466</v>
      </c>
      <c r="D197" s="5" t="s">
        <v>77</v>
      </c>
      <c r="E197" s="5" t="s">
        <v>29</v>
      </c>
      <c r="F197" s="5">
        <v>2</v>
      </c>
      <c r="G197" s="19">
        <v>0.1</v>
      </c>
      <c r="H197" s="5" t="s">
        <v>697</v>
      </c>
      <c r="I197" s="10">
        <f>IF(OR(D197="", F197=""), "", F197 * VLOOKUP(D197, Products!A:E, 5, FALSE) * (1 - G197))</f>
        <v>447.42599999999999</v>
      </c>
      <c r="J197" s="10"/>
    </row>
    <row r="198" spans="1:10" ht="15.75" customHeight="1" x14ac:dyDescent="0.3">
      <c r="A198" s="5" t="s">
        <v>1065</v>
      </c>
      <c r="B198" s="11">
        <v>45435</v>
      </c>
      <c r="C198" s="5" t="s">
        <v>191</v>
      </c>
      <c r="D198" s="5" t="s">
        <v>162</v>
      </c>
      <c r="E198" s="5" t="s">
        <v>37</v>
      </c>
      <c r="F198" s="5">
        <v>1</v>
      </c>
      <c r="G198" s="19">
        <v>0.05</v>
      </c>
      <c r="H198" s="5" t="s">
        <v>454</v>
      </c>
      <c r="I198" s="10">
        <f>IF(OR(D198="", F198=""), "", F198 * VLOOKUP(D198, Products!A:E, 5, FALSE) * (1 - G198))</f>
        <v>407.69249999999994</v>
      </c>
      <c r="J198" s="10"/>
    </row>
    <row r="199" spans="1:10" ht="15.75" customHeight="1" x14ac:dyDescent="0.3">
      <c r="A199" s="5" t="s">
        <v>1066</v>
      </c>
      <c r="B199" s="11">
        <v>45730</v>
      </c>
      <c r="C199" s="5" t="s">
        <v>503</v>
      </c>
      <c r="D199" s="5" t="s">
        <v>162</v>
      </c>
      <c r="E199" s="5" t="s">
        <v>25</v>
      </c>
      <c r="F199" s="5">
        <v>2</v>
      </c>
      <c r="G199" s="19">
        <v>0</v>
      </c>
      <c r="H199" s="5" t="s">
        <v>697</v>
      </c>
      <c r="I199" s="10">
        <f>IF(OR(D199="", F199=""), "", F199 * VLOOKUP(D199, Products!A:E, 5, FALSE) * (1 - G199))</f>
        <v>858.3</v>
      </c>
      <c r="J199" s="10"/>
    </row>
    <row r="200" spans="1:10" ht="15.75" customHeight="1" x14ac:dyDescent="0.3">
      <c r="A200" s="5" t="s">
        <v>1067</v>
      </c>
      <c r="B200" s="11">
        <v>45874</v>
      </c>
      <c r="C200" s="5" t="s">
        <v>412</v>
      </c>
      <c r="D200" s="5" t="s">
        <v>162</v>
      </c>
      <c r="E200" s="5" t="s">
        <v>25</v>
      </c>
      <c r="F200" s="5">
        <v>2</v>
      </c>
      <c r="G200" s="19">
        <v>0.05</v>
      </c>
      <c r="H200" s="5" t="s">
        <v>776</v>
      </c>
      <c r="I200" s="10">
        <f>IF(OR(D200="", F200=""), "", F200 * VLOOKUP(D200, Products!A:E, 5, FALSE) * (1 - G200))</f>
        <v>815.38499999999988</v>
      </c>
      <c r="J200" s="10"/>
    </row>
    <row r="201" spans="1:10" ht="15.75" customHeight="1" x14ac:dyDescent="0.3">
      <c r="A201" s="5" t="s">
        <v>1068</v>
      </c>
      <c r="B201" s="11">
        <v>45260</v>
      </c>
      <c r="C201" s="5" t="s">
        <v>334</v>
      </c>
      <c r="D201" s="5" t="s">
        <v>267</v>
      </c>
      <c r="E201" s="5" t="s">
        <v>33</v>
      </c>
      <c r="F201" s="5">
        <v>4</v>
      </c>
      <c r="G201" s="19">
        <v>0.15</v>
      </c>
      <c r="H201" s="5" t="s">
        <v>454</v>
      </c>
      <c r="I201" s="10">
        <f>IF(OR(D201="", F201=""), "", F201 * VLOOKUP(D201, Products!A:E, 5, FALSE) * (1 - G201))</f>
        <v>4374.2699999999995</v>
      </c>
      <c r="J201" s="10"/>
    </row>
    <row r="202" spans="1:10" ht="15.75" customHeight="1" x14ac:dyDescent="0.3">
      <c r="A202" s="5" t="s">
        <v>1069</v>
      </c>
      <c r="B202" s="11">
        <v>45196</v>
      </c>
      <c r="C202" s="5" t="s">
        <v>750</v>
      </c>
      <c r="D202" s="5" t="s">
        <v>262</v>
      </c>
      <c r="E202" s="5" t="s">
        <v>29</v>
      </c>
      <c r="F202" s="5">
        <v>2</v>
      </c>
      <c r="G202" s="19">
        <v>0.15</v>
      </c>
      <c r="H202" s="5" t="s">
        <v>776</v>
      </c>
      <c r="I202" s="10">
        <f>IF(OR(D202="", F202=""), "", F202 * VLOOKUP(D202, Products!A:E, 5, FALSE) * (1 - G202))</f>
        <v>771.154</v>
      </c>
      <c r="J202" s="10"/>
    </row>
    <row r="203" spans="1:10" ht="15.75" customHeight="1" x14ac:dyDescent="0.3">
      <c r="A203" s="5" t="s">
        <v>1070</v>
      </c>
      <c r="B203" s="11">
        <v>45295</v>
      </c>
      <c r="C203" s="5" t="s">
        <v>615</v>
      </c>
      <c r="D203" s="5" t="s">
        <v>175</v>
      </c>
      <c r="E203" s="5" t="s">
        <v>33</v>
      </c>
      <c r="F203" s="5">
        <v>3</v>
      </c>
      <c r="G203" s="19">
        <v>0.1</v>
      </c>
      <c r="H203" s="5" t="s">
        <v>776</v>
      </c>
      <c r="I203" s="10">
        <f>IF(OR(D203="", F203=""), "", F203 * VLOOKUP(D203, Products!A:E, 5, FALSE) * (1 - G203))</f>
        <v>3435.0210000000002</v>
      </c>
      <c r="J203" s="10"/>
    </row>
    <row r="204" spans="1:10" ht="15.75" customHeight="1" x14ac:dyDescent="0.3">
      <c r="A204" s="5" t="s">
        <v>1071</v>
      </c>
      <c r="B204" s="11">
        <v>45299</v>
      </c>
      <c r="C204" s="5" t="s">
        <v>507</v>
      </c>
      <c r="D204" s="5" t="s">
        <v>115</v>
      </c>
      <c r="E204" s="5" t="s">
        <v>37</v>
      </c>
      <c r="F204" s="5">
        <v>1</v>
      </c>
      <c r="G204" s="19">
        <v>0.1</v>
      </c>
      <c r="H204" s="5" t="s">
        <v>637</v>
      </c>
      <c r="I204" s="10">
        <f>IF(OR(D204="", F204=""), "", F204 * VLOOKUP(D204, Products!A:E, 5, FALSE) * (1 - G204))</f>
        <v>1121.499</v>
      </c>
      <c r="J204" s="10"/>
    </row>
    <row r="205" spans="1:10" ht="15.75" customHeight="1" x14ac:dyDescent="0.3">
      <c r="A205" s="5" t="s">
        <v>1072</v>
      </c>
      <c r="B205" s="11">
        <v>45862</v>
      </c>
      <c r="C205" s="5" t="s">
        <v>597</v>
      </c>
      <c r="D205" s="5" t="s">
        <v>291</v>
      </c>
      <c r="E205" s="5" t="s">
        <v>21</v>
      </c>
      <c r="F205" s="5">
        <v>1</v>
      </c>
      <c r="G205" s="19">
        <v>0.1</v>
      </c>
      <c r="H205" s="5" t="s">
        <v>454</v>
      </c>
      <c r="I205" s="10">
        <f>IF(OR(D205="", F205=""), "", F205 * VLOOKUP(D205, Products!A:E, 5, FALSE) * (1 - G205))</f>
        <v>940.17600000000016</v>
      </c>
      <c r="J205" s="10"/>
    </row>
    <row r="206" spans="1:10" ht="15.75" customHeight="1" x14ac:dyDescent="0.3">
      <c r="A206" s="5" t="s">
        <v>1073</v>
      </c>
      <c r="B206" s="11">
        <v>45766</v>
      </c>
      <c r="C206" s="5" t="s">
        <v>191</v>
      </c>
      <c r="D206" s="5" t="s">
        <v>54</v>
      </c>
      <c r="E206" s="5" t="s">
        <v>21</v>
      </c>
      <c r="F206" s="5">
        <v>5</v>
      </c>
      <c r="G206" s="19">
        <v>0.15</v>
      </c>
      <c r="H206" s="5" t="s">
        <v>637</v>
      </c>
      <c r="I206" s="10">
        <f>IF(OR(D206="", F206=""), "", F206 * VLOOKUP(D206, Products!A:E, 5, FALSE) * (1 - G206))</f>
        <v>7878.5225</v>
      </c>
      <c r="J206" s="10"/>
    </row>
    <row r="207" spans="1:10" ht="15.75" customHeight="1" x14ac:dyDescent="0.3">
      <c r="A207" s="5" t="s">
        <v>1074</v>
      </c>
      <c r="B207" s="11">
        <v>45213</v>
      </c>
      <c r="C207" s="5" t="s">
        <v>711</v>
      </c>
      <c r="D207" s="5" t="s">
        <v>265</v>
      </c>
      <c r="E207" s="5" t="s">
        <v>37</v>
      </c>
      <c r="F207" s="5">
        <v>1</v>
      </c>
      <c r="G207" s="19">
        <v>0.15</v>
      </c>
      <c r="H207" s="5" t="s">
        <v>697</v>
      </c>
      <c r="I207" s="10">
        <f>IF(OR(D207="", F207=""), "", F207 * VLOOKUP(D207, Products!A:E, 5, FALSE) * (1 - G207))</f>
        <v>479.75699999999995</v>
      </c>
      <c r="J207" s="10"/>
    </row>
    <row r="208" spans="1:10" ht="15.75" customHeight="1" x14ac:dyDescent="0.3">
      <c r="A208" s="5" t="s">
        <v>1075</v>
      </c>
      <c r="B208" s="11">
        <v>45229</v>
      </c>
      <c r="C208" s="5" t="s">
        <v>477</v>
      </c>
      <c r="D208" s="5" t="s">
        <v>221</v>
      </c>
      <c r="E208" s="5" t="s">
        <v>37</v>
      </c>
      <c r="F208" s="5">
        <v>4</v>
      </c>
      <c r="G208" s="19">
        <v>0.05</v>
      </c>
      <c r="H208" s="5" t="s">
        <v>776</v>
      </c>
      <c r="I208" s="10">
        <f>IF(OR(D208="", F208=""), "", F208 * VLOOKUP(D208, Products!A:E, 5, FALSE) * (1 - G208))</f>
        <v>5937.2340000000004</v>
      </c>
      <c r="J208" s="10"/>
    </row>
    <row r="209" spans="1:10" ht="15.75" customHeight="1" x14ac:dyDescent="0.3">
      <c r="A209" s="5" t="s">
        <v>1076</v>
      </c>
      <c r="B209" s="11">
        <v>45737</v>
      </c>
      <c r="C209" s="5" t="s">
        <v>597</v>
      </c>
      <c r="D209" s="5" t="s">
        <v>54</v>
      </c>
      <c r="E209" s="5" t="s">
        <v>21</v>
      </c>
      <c r="F209" s="5">
        <v>3</v>
      </c>
      <c r="G209" s="19">
        <v>0</v>
      </c>
      <c r="H209" s="5" t="s">
        <v>697</v>
      </c>
      <c r="I209" s="10">
        <f>IF(OR(D209="", F209=""), "", F209 * VLOOKUP(D209, Products!A:E, 5, FALSE) * (1 - G209))</f>
        <v>5561.3099999999995</v>
      </c>
      <c r="J209" s="10"/>
    </row>
    <row r="210" spans="1:10" ht="15.75" customHeight="1" x14ac:dyDescent="0.3">
      <c r="A210" s="5" t="s">
        <v>1077</v>
      </c>
      <c r="B210" s="11">
        <v>45717</v>
      </c>
      <c r="C210" s="5" t="s">
        <v>144</v>
      </c>
      <c r="D210" s="5" t="s">
        <v>180</v>
      </c>
      <c r="E210" s="5" t="s">
        <v>25</v>
      </c>
      <c r="F210" s="5">
        <v>4</v>
      </c>
      <c r="G210" s="19">
        <v>0.15</v>
      </c>
      <c r="H210" s="5" t="s">
        <v>697</v>
      </c>
      <c r="I210" s="10">
        <f>IF(OR(D210="", F210=""), "", F210 * VLOOKUP(D210, Products!A:E, 5, FALSE) * (1 - G210))</f>
        <v>2290.8519999999999</v>
      </c>
      <c r="J210" s="10"/>
    </row>
    <row r="211" spans="1:10" ht="15.75" customHeight="1" x14ac:dyDescent="0.3">
      <c r="A211" s="5" t="s">
        <v>1078</v>
      </c>
      <c r="B211" s="11">
        <v>45506</v>
      </c>
      <c r="C211" s="5" t="s">
        <v>519</v>
      </c>
      <c r="D211" s="5" t="s">
        <v>134</v>
      </c>
      <c r="E211" s="5" t="s">
        <v>29</v>
      </c>
      <c r="F211" s="5">
        <v>3</v>
      </c>
      <c r="G211" s="19">
        <v>0.15</v>
      </c>
      <c r="H211" s="5" t="s">
        <v>637</v>
      </c>
      <c r="I211" s="10">
        <f>IF(OR(D211="", F211=""), "", F211 * VLOOKUP(D211, Products!A:E, 5, FALSE) * (1 - G211))</f>
        <v>3129.462</v>
      </c>
      <c r="J211" s="10"/>
    </row>
    <row r="212" spans="1:10" ht="15.75" customHeight="1" x14ac:dyDescent="0.3">
      <c r="A212" s="5" t="s">
        <v>1079</v>
      </c>
      <c r="B212" s="11">
        <v>45755</v>
      </c>
      <c r="C212" s="5" t="s">
        <v>876</v>
      </c>
      <c r="D212" s="5" t="s">
        <v>147</v>
      </c>
      <c r="E212" s="5" t="s">
        <v>29</v>
      </c>
      <c r="F212" s="5">
        <v>5</v>
      </c>
      <c r="G212" s="19">
        <v>0</v>
      </c>
      <c r="H212" s="5" t="s">
        <v>454</v>
      </c>
      <c r="I212" s="10">
        <f>IF(OR(D212="", F212=""), "", F212 * VLOOKUP(D212, Products!A:E, 5, FALSE) * (1 - G212))</f>
        <v>9392.35</v>
      </c>
      <c r="J212" s="10"/>
    </row>
    <row r="213" spans="1:10" ht="15.75" customHeight="1" x14ac:dyDescent="0.3">
      <c r="A213" s="5" t="s">
        <v>1080</v>
      </c>
      <c r="B213" s="11">
        <v>45824</v>
      </c>
      <c r="C213" s="5" t="s">
        <v>177</v>
      </c>
      <c r="D213" s="5" t="s">
        <v>269</v>
      </c>
      <c r="E213" s="5" t="s">
        <v>29</v>
      </c>
      <c r="F213" s="5">
        <v>1</v>
      </c>
      <c r="G213" s="19">
        <v>0.15</v>
      </c>
      <c r="H213" s="5" t="s">
        <v>454</v>
      </c>
      <c r="I213" s="10">
        <f>IF(OR(D213="", F213=""), "", F213 * VLOOKUP(D213, Products!A:E, 5, FALSE) * (1 - G213))</f>
        <v>1597.2179999999998</v>
      </c>
      <c r="J213" s="10"/>
    </row>
    <row r="214" spans="1:10" ht="15.75" customHeight="1" x14ac:dyDescent="0.3">
      <c r="A214" s="5" t="s">
        <v>1081</v>
      </c>
      <c r="B214" s="11">
        <v>45624</v>
      </c>
      <c r="C214" s="5" t="s">
        <v>409</v>
      </c>
      <c r="D214" s="5" t="s">
        <v>67</v>
      </c>
      <c r="E214" s="5" t="s">
        <v>37</v>
      </c>
      <c r="F214" s="5">
        <v>2</v>
      </c>
      <c r="G214" s="19">
        <v>0.1</v>
      </c>
      <c r="H214" s="5" t="s">
        <v>776</v>
      </c>
      <c r="I214" s="10">
        <f>IF(OR(D214="", F214=""), "", F214 * VLOOKUP(D214, Products!A:E, 5, FALSE) * (1 - G214))</f>
        <v>197.60400000000001</v>
      </c>
      <c r="J214" s="10"/>
    </row>
    <row r="215" spans="1:10" ht="15.75" customHeight="1" x14ac:dyDescent="0.3">
      <c r="A215" s="5" t="s">
        <v>1082</v>
      </c>
      <c r="B215" s="11">
        <v>45575</v>
      </c>
      <c r="C215" s="5" t="s">
        <v>715</v>
      </c>
      <c r="D215" s="5" t="s">
        <v>162</v>
      </c>
      <c r="E215" s="5" t="s">
        <v>25</v>
      </c>
      <c r="F215" s="5">
        <v>3</v>
      </c>
      <c r="G215" s="19">
        <v>0.1</v>
      </c>
      <c r="H215" s="5" t="s">
        <v>637</v>
      </c>
      <c r="I215" s="10">
        <f>IF(OR(D215="", F215=""), "", F215 * VLOOKUP(D215, Products!A:E, 5, FALSE) * (1 - G215))</f>
        <v>1158.7049999999999</v>
      </c>
      <c r="J215" s="10"/>
    </row>
    <row r="216" spans="1:10" ht="15.75" customHeight="1" x14ac:dyDescent="0.3">
      <c r="A216" s="5" t="s">
        <v>1083</v>
      </c>
      <c r="B216" s="11">
        <v>45818</v>
      </c>
      <c r="C216" s="5" t="s">
        <v>281</v>
      </c>
      <c r="D216" s="5" t="s">
        <v>217</v>
      </c>
      <c r="E216" s="5" t="s">
        <v>37</v>
      </c>
      <c r="F216" s="5">
        <v>1</v>
      </c>
      <c r="G216" s="19">
        <v>0.1</v>
      </c>
      <c r="H216" s="5" t="s">
        <v>637</v>
      </c>
      <c r="I216" s="10">
        <f>IF(OR(D216="", F216=""), "", F216 * VLOOKUP(D216, Products!A:E, 5, FALSE) * (1 - G216))</f>
        <v>385.245</v>
      </c>
      <c r="J216" s="10"/>
    </row>
    <row r="217" spans="1:10" ht="15.75" customHeight="1" x14ac:dyDescent="0.3">
      <c r="A217" s="5" t="s">
        <v>1084</v>
      </c>
      <c r="B217" s="11">
        <v>45526</v>
      </c>
      <c r="C217" s="5" t="s">
        <v>762</v>
      </c>
      <c r="D217" s="5" t="s">
        <v>200</v>
      </c>
      <c r="E217" s="5" t="s">
        <v>29</v>
      </c>
      <c r="F217" s="5">
        <v>2</v>
      </c>
      <c r="G217" s="19">
        <v>0</v>
      </c>
      <c r="H217" s="5" t="s">
        <v>637</v>
      </c>
      <c r="I217" s="10">
        <f>IF(OR(D217="", F217=""), "", F217 * VLOOKUP(D217, Products!A:E, 5, FALSE) * (1 - G217))</f>
        <v>2191.44</v>
      </c>
      <c r="J217" s="10"/>
    </row>
    <row r="218" spans="1:10" ht="15.75" customHeight="1" x14ac:dyDescent="0.3">
      <c r="A218" s="5" t="s">
        <v>1085</v>
      </c>
      <c r="B218" s="11">
        <v>45653</v>
      </c>
      <c r="C218" s="5" t="s">
        <v>649</v>
      </c>
      <c r="D218" s="5" t="s">
        <v>280</v>
      </c>
      <c r="E218" s="5" t="s">
        <v>29</v>
      </c>
      <c r="F218" s="5">
        <v>1</v>
      </c>
      <c r="G218" s="19">
        <v>0.1</v>
      </c>
      <c r="H218" s="5" t="s">
        <v>454</v>
      </c>
      <c r="I218" s="10">
        <f>IF(OR(D218="", F218=""), "", F218 * VLOOKUP(D218, Products!A:E, 5, FALSE) * (1 - G218))</f>
        <v>1094.7239999999999</v>
      </c>
      <c r="J218" s="10"/>
    </row>
    <row r="219" spans="1:10" ht="15.75" customHeight="1" x14ac:dyDescent="0.3">
      <c r="A219" s="5" t="s">
        <v>1086</v>
      </c>
      <c r="B219" s="11">
        <v>45361</v>
      </c>
      <c r="C219" s="5" t="s">
        <v>338</v>
      </c>
      <c r="D219" s="5" t="s">
        <v>280</v>
      </c>
      <c r="E219" s="5" t="s">
        <v>25</v>
      </c>
      <c r="F219" s="5">
        <v>3</v>
      </c>
      <c r="G219" s="19">
        <v>0.15</v>
      </c>
      <c r="H219" s="5" t="s">
        <v>697</v>
      </c>
      <c r="I219" s="10">
        <f>IF(OR(D219="", F219=""), "", F219 * VLOOKUP(D219, Products!A:E, 5, FALSE) * (1 - G219))</f>
        <v>3101.7179999999998</v>
      </c>
      <c r="J219" s="10"/>
    </row>
    <row r="220" spans="1:10" ht="15.75" customHeight="1" x14ac:dyDescent="0.3">
      <c r="A220" s="5" t="s">
        <v>1087</v>
      </c>
      <c r="B220" s="11">
        <v>45751</v>
      </c>
      <c r="C220" s="5" t="s">
        <v>380</v>
      </c>
      <c r="D220" s="5" t="s">
        <v>221</v>
      </c>
      <c r="E220" s="5" t="s">
        <v>25</v>
      </c>
      <c r="F220" s="5">
        <v>2</v>
      </c>
      <c r="G220" s="19">
        <v>0</v>
      </c>
      <c r="H220" s="5" t="s">
        <v>454</v>
      </c>
      <c r="I220" s="10">
        <f>IF(OR(D220="", F220=""), "", F220 * VLOOKUP(D220, Products!A:E, 5, FALSE) * (1 - G220))</f>
        <v>3124.86</v>
      </c>
      <c r="J220" s="10"/>
    </row>
    <row r="221" spans="1:10" ht="15.75" customHeight="1" x14ac:dyDescent="0.3">
      <c r="A221" s="5" t="s">
        <v>1088</v>
      </c>
      <c r="B221" s="11">
        <v>45400</v>
      </c>
      <c r="C221" s="5" t="s">
        <v>229</v>
      </c>
      <c r="D221" s="5" t="s">
        <v>134</v>
      </c>
      <c r="E221" s="5" t="s">
        <v>37</v>
      </c>
      <c r="F221" s="5">
        <v>5</v>
      </c>
      <c r="G221" s="19">
        <v>0</v>
      </c>
      <c r="H221" s="5" t="s">
        <v>454</v>
      </c>
      <c r="I221" s="10">
        <f>IF(OR(D221="", F221=""), "", F221 * VLOOKUP(D221, Products!A:E, 5, FALSE) * (1 - G221))</f>
        <v>6136.2</v>
      </c>
      <c r="J221" s="10"/>
    </row>
    <row r="222" spans="1:10" ht="15.75" customHeight="1" x14ac:dyDescent="0.3">
      <c r="A222" s="5" t="s">
        <v>1089</v>
      </c>
      <c r="B222" s="11">
        <v>45867</v>
      </c>
      <c r="C222" s="5" t="s">
        <v>869</v>
      </c>
      <c r="D222" s="5" t="s">
        <v>47</v>
      </c>
      <c r="E222" s="5" t="s">
        <v>37</v>
      </c>
      <c r="F222" s="5">
        <v>2</v>
      </c>
      <c r="G222" s="19">
        <v>0.15</v>
      </c>
      <c r="H222" s="5" t="s">
        <v>697</v>
      </c>
      <c r="I222" s="10">
        <f>IF(OR(D222="", F222=""), "", F222 * VLOOKUP(D222, Products!A:E, 5, FALSE) * (1 - G222))</f>
        <v>1391.8920000000001</v>
      </c>
      <c r="J222" s="10"/>
    </row>
    <row r="223" spans="1:10" ht="15.75" customHeight="1" x14ac:dyDescent="0.3">
      <c r="A223" s="5" t="s">
        <v>1090</v>
      </c>
      <c r="B223" s="11">
        <v>45754</v>
      </c>
      <c r="C223" s="5" t="s">
        <v>317</v>
      </c>
      <c r="D223" s="5" t="s">
        <v>269</v>
      </c>
      <c r="E223" s="5" t="s">
        <v>25</v>
      </c>
      <c r="F223" s="5">
        <v>5</v>
      </c>
      <c r="G223" s="19">
        <v>0.05</v>
      </c>
      <c r="H223" s="5" t="s">
        <v>637</v>
      </c>
      <c r="I223" s="10">
        <f>IF(OR(D223="", F223=""), "", F223 * VLOOKUP(D223, Products!A:E, 5, FALSE) * (1 - G223))</f>
        <v>8925.6299999999992</v>
      </c>
      <c r="J223" s="10"/>
    </row>
    <row r="224" spans="1:10" ht="15.75" customHeight="1" x14ac:dyDescent="0.3">
      <c r="A224" s="5" t="s">
        <v>1091</v>
      </c>
      <c r="B224" s="11">
        <v>45882</v>
      </c>
      <c r="C224" s="5" t="s">
        <v>149</v>
      </c>
      <c r="D224" s="5" t="s">
        <v>272</v>
      </c>
      <c r="E224" s="5" t="s">
        <v>33</v>
      </c>
      <c r="F224" s="5">
        <v>3</v>
      </c>
      <c r="G224" s="19">
        <v>0.05</v>
      </c>
      <c r="H224" s="5" t="s">
        <v>637</v>
      </c>
      <c r="I224" s="10">
        <f>IF(OR(D224="", F224=""), "", F224 * VLOOKUP(D224, Products!A:E, 5, FALSE) * (1 - G224))</f>
        <v>3321.3044999999997</v>
      </c>
      <c r="J224" s="10"/>
    </row>
    <row r="225" spans="1:10" ht="15.75" customHeight="1" x14ac:dyDescent="0.3">
      <c r="A225" s="5" t="s">
        <v>1092</v>
      </c>
      <c r="B225" s="11">
        <v>45832</v>
      </c>
      <c r="C225" s="5" t="s">
        <v>736</v>
      </c>
      <c r="D225" s="5" t="s">
        <v>115</v>
      </c>
      <c r="E225" s="5" t="s">
        <v>29</v>
      </c>
      <c r="F225" s="5">
        <v>4</v>
      </c>
      <c r="G225" s="19">
        <v>0.05</v>
      </c>
      <c r="H225" s="5" t="s">
        <v>697</v>
      </c>
      <c r="I225" s="10">
        <f>IF(OR(D225="", F225=""), "", F225 * VLOOKUP(D225, Products!A:E, 5, FALSE) * (1 - G225))</f>
        <v>4735.2179999999998</v>
      </c>
      <c r="J225" s="10"/>
    </row>
    <row r="226" spans="1:10" ht="15.75" customHeight="1" x14ac:dyDescent="0.3">
      <c r="A226" s="5" t="s">
        <v>1093</v>
      </c>
      <c r="B226" s="11">
        <v>45260</v>
      </c>
      <c r="C226" s="5" t="s">
        <v>466</v>
      </c>
      <c r="D226" s="5" t="s">
        <v>128</v>
      </c>
      <c r="E226" s="5" t="s">
        <v>33</v>
      </c>
      <c r="F226" s="5">
        <v>2</v>
      </c>
      <c r="G226" s="19">
        <v>0.1</v>
      </c>
      <c r="H226" s="5" t="s">
        <v>637</v>
      </c>
      <c r="I226" s="10">
        <f>IF(OR(D226="", F226=""), "", F226 * VLOOKUP(D226, Products!A:E, 5, FALSE) * (1 - G226))</f>
        <v>583.05600000000004</v>
      </c>
      <c r="J226" s="10"/>
    </row>
    <row r="227" spans="1:10" ht="15.75" customHeight="1" x14ac:dyDescent="0.3">
      <c r="A227" s="5" t="s">
        <v>1094</v>
      </c>
      <c r="B227" s="11">
        <v>45430</v>
      </c>
      <c r="C227" s="5" t="s">
        <v>608</v>
      </c>
      <c r="D227" s="5" t="s">
        <v>128</v>
      </c>
      <c r="E227" s="5" t="s">
        <v>29</v>
      </c>
      <c r="F227" s="5">
        <v>4</v>
      </c>
      <c r="G227" s="19">
        <v>0.15</v>
      </c>
      <c r="H227" s="5" t="s">
        <v>697</v>
      </c>
      <c r="I227" s="10">
        <f>IF(OR(D227="", F227=""), "", F227 * VLOOKUP(D227, Products!A:E, 5, FALSE) * (1 - G227))</f>
        <v>1101.328</v>
      </c>
      <c r="J227" s="10"/>
    </row>
    <row r="228" spans="1:10" ht="15.75" customHeight="1" x14ac:dyDescent="0.3">
      <c r="A228" s="5" t="s">
        <v>1095</v>
      </c>
      <c r="B228" s="11">
        <v>45529</v>
      </c>
      <c r="C228" s="5" t="s">
        <v>357</v>
      </c>
      <c r="D228" s="5" t="s">
        <v>206</v>
      </c>
      <c r="E228" s="5" t="s">
        <v>37</v>
      </c>
      <c r="F228" s="5">
        <v>2</v>
      </c>
      <c r="G228" s="19">
        <v>0.1</v>
      </c>
      <c r="H228" s="5" t="s">
        <v>776</v>
      </c>
      <c r="I228" s="10">
        <f>IF(OR(D228="", F228=""), "", F228 * VLOOKUP(D228, Products!A:E, 5, FALSE) * (1 - G228))</f>
        <v>548.47799999999995</v>
      </c>
      <c r="J228" s="10"/>
    </row>
    <row r="229" spans="1:10" ht="15.75" customHeight="1" x14ac:dyDescent="0.3">
      <c r="A229" s="5" t="s">
        <v>1096</v>
      </c>
      <c r="B229" s="11">
        <v>45456</v>
      </c>
      <c r="C229" s="5" t="s">
        <v>762</v>
      </c>
      <c r="D229" s="5" t="s">
        <v>168</v>
      </c>
      <c r="E229" s="5" t="s">
        <v>33</v>
      </c>
      <c r="F229" s="5">
        <v>3</v>
      </c>
      <c r="G229" s="19">
        <v>0</v>
      </c>
      <c r="H229" s="5" t="s">
        <v>776</v>
      </c>
      <c r="I229" s="10">
        <f>IF(OR(D229="", F229=""), "", F229 * VLOOKUP(D229, Products!A:E, 5, FALSE) * (1 - G229))</f>
        <v>3047.2799999999997</v>
      </c>
      <c r="J229" s="10"/>
    </row>
    <row r="230" spans="1:10" ht="15.75" customHeight="1" x14ac:dyDescent="0.3">
      <c r="A230" s="5" t="s">
        <v>1097</v>
      </c>
      <c r="B230" s="11">
        <v>45850</v>
      </c>
      <c r="C230" s="5" t="s">
        <v>440</v>
      </c>
      <c r="D230" s="5" t="s">
        <v>262</v>
      </c>
      <c r="E230" s="5" t="s">
        <v>21</v>
      </c>
      <c r="F230" s="5">
        <v>2</v>
      </c>
      <c r="G230" s="19">
        <v>0.1</v>
      </c>
      <c r="H230" s="5" t="s">
        <v>637</v>
      </c>
      <c r="I230" s="10">
        <f>IF(OR(D230="", F230=""), "", F230 * VLOOKUP(D230, Products!A:E, 5, FALSE) * (1 - G230))</f>
        <v>816.51600000000008</v>
      </c>
      <c r="J230" s="10"/>
    </row>
    <row r="231" spans="1:10" ht="15.75" customHeight="1" x14ac:dyDescent="0.3">
      <c r="A231" s="5" t="s">
        <v>1098</v>
      </c>
      <c r="B231" s="11">
        <v>45631</v>
      </c>
      <c r="C231" s="5" t="s">
        <v>652</v>
      </c>
      <c r="D231" s="5" t="s">
        <v>140</v>
      </c>
      <c r="E231" s="5" t="s">
        <v>25</v>
      </c>
      <c r="F231" s="5">
        <v>4</v>
      </c>
      <c r="G231" s="19">
        <v>0</v>
      </c>
      <c r="H231" s="5" t="s">
        <v>697</v>
      </c>
      <c r="I231" s="10">
        <f>IF(OR(D231="", F231=""), "", F231 * VLOOKUP(D231, Products!A:E, 5, FALSE) * (1 - G231))</f>
        <v>102.28</v>
      </c>
      <c r="J231" s="10"/>
    </row>
    <row r="232" spans="1:10" ht="15.75" customHeight="1" x14ac:dyDescent="0.3">
      <c r="A232" s="5" t="s">
        <v>1099</v>
      </c>
      <c r="B232" s="11">
        <v>45828</v>
      </c>
      <c r="C232" s="5" t="s">
        <v>597</v>
      </c>
      <c r="D232" s="5" t="s">
        <v>272</v>
      </c>
      <c r="E232" s="5" t="s">
        <v>29</v>
      </c>
      <c r="F232" s="5">
        <v>1</v>
      </c>
      <c r="G232" s="19">
        <v>0.15</v>
      </c>
      <c r="H232" s="5" t="s">
        <v>776</v>
      </c>
      <c r="I232" s="10">
        <f>IF(OR(D232="", F232=""), "", F232 * VLOOKUP(D232, Products!A:E, 5, FALSE) * (1 - G232))</f>
        <v>990.56449999999984</v>
      </c>
      <c r="J232" s="10"/>
    </row>
    <row r="233" spans="1:10" ht="15.75" customHeight="1" x14ac:dyDescent="0.3">
      <c r="A233" s="5" t="s">
        <v>1100</v>
      </c>
      <c r="B233" s="11">
        <v>45683</v>
      </c>
      <c r="C233" s="5" t="s">
        <v>546</v>
      </c>
      <c r="D233" s="5" t="s">
        <v>237</v>
      </c>
      <c r="E233" s="5" t="s">
        <v>37</v>
      </c>
      <c r="F233" s="5">
        <v>3</v>
      </c>
      <c r="G233" s="19">
        <v>0.05</v>
      </c>
      <c r="H233" s="5" t="s">
        <v>637</v>
      </c>
      <c r="I233" s="10">
        <f>IF(OR(D233="", F233=""), "", F233 * VLOOKUP(D233, Products!A:E, 5, FALSE) * (1 - G233))</f>
        <v>1045.7504999999999</v>
      </c>
      <c r="J233" s="10"/>
    </row>
    <row r="234" spans="1:10" ht="15.75" customHeight="1" x14ac:dyDescent="0.3">
      <c r="A234" s="5" t="s">
        <v>1101</v>
      </c>
      <c r="B234" s="11">
        <v>45515</v>
      </c>
      <c r="C234" s="5" t="s">
        <v>197</v>
      </c>
      <c r="D234" s="5" t="s">
        <v>291</v>
      </c>
      <c r="E234" s="5" t="s">
        <v>29</v>
      </c>
      <c r="F234" s="5">
        <v>2</v>
      </c>
      <c r="G234" s="19">
        <v>0</v>
      </c>
      <c r="H234" s="5" t="s">
        <v>454</v>
      </c>
      <c r="I234" s="10">
        <f>IF(OR(D234="", F234=""), "", F234 * VLOOKUP(D234, Products!A:E, 5, FALSE) * (1 - G234))</f>
        <v>2089.2800000000002</v>
      </c>
      <c r="J234" s="10"/>
    </row>
    <row r="235" spans="1:10" ht="15.75" customHeight="1" x14ac:dyDescent="0.3">
      <c r="A235" s="5" t="s">
        <v>1102</v>
      </c>
      <c r="B235" s="11">
        <v>45765</v>
      </c>
      <c r="C235" s="5" t="s">
        <v>229</v>
      </c>
      <c r="D235" s="5" t="s">
        <v>134</v>
      </c>
      <c r="E235" s="5" t="s">
        <v>29</v>
      </c>
      <c r="F235" s="5">
        <v>2</v>
      </c>
      <c r="G235" s="19">
        <v>0.05</v>
      </c>
      <c r="H235" s="5" t="s">
        <v>776</v>
      </c>
      <c r="I235" s="10">
        <f>IF(OR(D235="", F235=""), "", F235 * VLOOKUP(D235, Products!A:E, 5, FALSE) * (1 - G235))</f>
        <v>2331.7559999999999</v>
      </c>
      <c r="J235" s="10"/>
    </row>
    <row r="236" spans="1:10" ht="15.75" customHeight="1" x14ac:dyDescent="0.3">
      <c r="A236" s="5" t="s">
        <v>1103</v>
      </c>
      <c r="B236" s="11">
        <v>45879</v>
      </c>
      <c r="C236" s="5" t="s">
        <v>443</v>
      </c>
      <c r="D236" s="5" t="s">
        <v>65</v>
      </c>
      <c r="E236" s="5" t="s">
        <v>33</v>
      </c>
      <c r="F236" s="5">
        <v>2</v>
      </c>
      <c r="G236" s="19">
        <v>0.15</v>
      </c>
      <c r="H236" s="5" t="s">
        <v>637</v>
      </c>
      <c r="I236" s="10">
        <f>IF(OR(D236="", F236=""), "", F236 * VLOOKUP(D236, Products!A:E, 5, FALSE) * (1 - G236))</f>
        <v>2506.0039999999999</v>
      </c>
      <c r="J236" s="10"/>
    </row>
    <row r="237" spans="1:10" ht="15.75" customHeight="1" x14ac:dyDescent="0.3">
      <c r="A237" s="5" t="s">
        <v>1104</v>
      </c>
      <c r="B237" s="11">
        <v>45318</v>
      </c>
      <c r="C237" s="5" t="s">
        <v>740</v>
      </c>
      <c r="D237" s="5" t="s">
        <v>291</v>
      </c>
      <c r="E237" s="5" t="s">
        <v>21</v>
      </c>
      <c r="F237" s="5">
        <v>1</v>
      </c>
      <c r="G237" s="19">
        <v>0</v>
      </c>
      <c r="H237" s="5" t="s">
        <v>454</v>
      </c>
      <c r="I237" s="10">
        <f>IF(OR(D237="", F237=""), "", F237 * VLOOKUP(D237, Products!A:E, 5, FALSE) * (1 - G237))</f>
        <v>1044.6400000000001</v>
      </c>
      <c r="J237" s="10"/>
    </row>
    <row r="238" spans="1:10" ht="15.75" customHeight="1" x14ac:dyDescent="0.3">
      <c r="A238" s="5" t="s">
        <v>1105</v>
      </c>
      <c r="B238" s="11">
        <v>45420</v>
      </c>
      <c r="C238" s="5" t="s">
        <v>372</v>
      </c>
      <c r="D238" s="5" t="s">
        <v>243</v>
      </c>
      <c r="E238" s="5" t="s">
        <v>25</v>
      </c>
      <c r="F238" s="5">
        <v>5</v>
      </c>
      <c r="G238" s="19">
        <v>0.15</v>
      </c>
      <c r="H238" s="5" t="s">
        <v>776</v>
      </c>
      <c r="I238" s="10">
        <f>IF(OR(D238="", F238=""), "", F238 * VLOOKUP(D238, Products!A:E, 5, FALSE) * (1 - G238))</f>
        <v>2298.9950000000003</v>
      </c>
      <c r="J238" s="10"/>
    </row>
    <row r="239" spans="1:10" ht="15.75" customHeight="1" x14ac:dyDescent="0.3">
      <c r="A239" s="5" t="s">
        <v>1106</v>
      </c>
      <c r="B239" s="11">
        <v>45196</v>
      </c>
      <c r="C239" s="5" t="s">
        <v>876</v>
      </c>
      <c r="D239" s="5" t="s">
        <v>147</v>
      </c>
      <c r="E239" s="5" t="s">
        <v>29</v>
      </c>
      <c r="F239" s="5">
        <v>2</v>
      </c>
      <c r="G239" s="19">
        <v>0.1</v>
      </c>
      <c r="H239" s="5" t="s">
        <v>776</v>
      </c>
      <c r="I239" s="10">
        <f>IF(OR(D239="", F239=""), "", F239 * VLOOKUP(D239, Products!A:E, 5, FALSE) * (1 - G239))</f>
        <v>3381.2460000000001</v>
      </c>
      <c r="J239" s="10"/>
    </row>
    <row r="240" spans="1:10" ht="15.75" customHeight="1" x14ac:dyDescent="0.3">
      <c r="A240" s="5" t="s">
        <v>1107</v>
      </c>
      <c r="B240" s="11">
        <v>45409</v>
      </c>
      <c r="C240" s="5" t="s">
        <v>155</v>
      </c>
      <c r="D240" s="5" t="s">
        <v>95</v>
      </c>
      <c r="E240" s="5" t="s">
        <v>25</v>
      </c>
      <c r="F240" s="5">
        <v>4</v>
      </c>
      <c r="G240" s="19">
        <v>0.15</v>
      </c>
      <c r="H240" s="5" t="s">
        <v>776</v>
      </c>
      <c r="I240" s="10">
        <f>IF(OR(D240="", F240=""), "", F240 * VLOOKUP(D240, Products!A:E, 5, FALSE) * (1 - G240))</f>
        <v>4565.3499999999995</v>
      </c>
      <c r="J240" s="10"/>
    </row>
    <row r="241" spans="1:10" ht="15.75" customHeight="1" x14ac:dyDescent="0.3">
      <c r="A241" s="5" t="s">
        <v>1108</v>
      </c>
      <c r="B241" s="11">
        <v>45538</v>
      </c>
      <c r="C241" s="5" t="s">
        <v>245</v>
      </c>
      <c r="D241" s="5" t="s">
        <v>119</v>
      </c>
      <c r="E241" s="5" t="s">
        <v>33</v>
      </c>
      <c r="F241" s="5">
        <v>5</v>
      </c>
      <c r="G241" s="19">
        <v>0</v>
      </c>
      <c r="H241" s="5" t="s">
        <v>697</v>
      </c>
      <c r="I241" s="10">
        <f>IF(OR(D241="", F241=""), "", F241 * VLOOKUP(D241, Products!A:E, 5, FALSE) * (1 - G241))</f>
        <v>5399.4500000000007</v>
      </c>
      <c r="J241" s="10"/>
    </row>
    <row r="242" spans="1:10" ht="15.75" customHeight="1" x14ac:dyDescent="0.3">
      <c r="A242" s="5" t="s">
        <v>1109</v>
      </c>
      <c r="B242" s="11">
        <v>45593</v>
      </c>
      <c r="C242" s="5" t="s">
        <v>826</v>
      </c>
      <c r="D242" s="5" t="s">
        <v>217</v>
      </c>
      <c r="E242" s="5" t="s">
        <v>25</v>
      </c>
      <c r="F242" s="5">
        <v>3</v>
      </c>
      <c r="G242" s="19">
        <v>0.15</v>
      </c>
      <c r="H242" s="5" t="s">
        <v>776</v>
      </c>
      <c r="I242" s="10">
        <f>IF(OR(D242="", F242=""), "", F242 * VLOOKUP(D242, Products!A:E, 5, FALSE) * (1 - G242))</f>
        <v>1091.5275000000001</v>
      </c>
      <c r="J242" s="10"/>
    </row>
    <row r="243" spans="1:10" ht="15.75" customHeight="1" x14ac:dyDescent="0.3">
      <c r="A243" s="5" t="s">
        <v>1110</v>
      </c>
      <c r="B243" s="11">
        <v>45746</v>
      </c>
      <c r="C243" s="5" t="s">
        <v>740</v>
      </c>
      <c r="D243" s="5" t="s">
        <v>103</v>
      </c>
      <c r="E243" s="5" t="s">
        <v>29</v>
      </c>
      <c r="F243" s="5">
        <v>2</v>
      </c>
      <c r="G243" s="19">
        <v>0.15</v>
      </c>
      <c r="H243" s="5" t="s">
        <v>697</v>
      </c>
      <c r="I243" s="10">
        <f>IF(OR(D243="", F243=""), "", F243 * VLOOKUP(D243, Products!A:E, 5, FALSE) * (1 - G243))</f>
        <v>459.76499999999999</v>
      </c>
      <c r="J243" s="10"/>
    </row>
    <row r="244" spans="1:10" ht="15.75" customHeight="1" x14ac:dyDescent="0.3">
      <c r="A244" s="5" t="s">
        <v>1111</v>
      </c>
      <c r="B244" s="11">
        <v>45903</v>
      </c>
      <c r="C244" s="5" t="s">
        <v>602</v>
      </c>
      <c r="D244" s="5" t="s">
        <v>267</v>
      </c>
      <c r="E244" s="5" t="s">
        <v>21</v>
      </c>
      <c r="F244" s="5">
        <v>5</v>
      </c>
      <c r="G244" s="19">
        <v>0.1</v>
      </c>
      <c r="H244" s="5" t="s">
        <v>776</v>
      </c>
      <c r="I244" s="10">
        <f>IF(OR(D244="", F244=""), "", F244 * VLOOKUP(D244, Products!A:E, 5, FALSE) * (1 - G244))</f>
        <v>5789.4750000000004</v>
      </c>
      <c r="J244" s="10"/>
    </row>
    <row r="245" spans="1:10" ht="15.75" customHeight="1" x14ac:dyDescent="0.3">
      <c r="A245" s="5" t="s">
        <v>1112</v>
      </c>
      <c r="B245" s="11">
        <v>45391</v>
      </c>
      <c r="C245" s="5" t="s">
        <v>665</v>
      </c>
      <c r="D245" s="5" t="s">
        <v>47</v>
      </c>
      <c r="E245" s="5" t="s">
        <v>37</v>
      </c>
      <c r="F245" s="5">
        <v>5</v>
      </c>
      <c r="G245" s="19">
        <v>0</v>
      </c>
      <c r="H245" s="5" t="s">
        <v>637</v>
      </c>
      <c r="I245" s="10">
        <f>IF(OR(D245="", F245=""), "", F245 * VLOOKUP(D245, Products!A:E, 5, FALSE) * (1 - G245))</f>
        <v>4093.8</v>
      </c>
      <c r="J245" s="10"/>
    </row>
    <row r="246" spans="1:10" ht="15.75" customHeight="1" x14ac:dyDescent="0.3">
      <c r="A246" s="5" t="s">
        <v>1113</v>
      </c>
      <c r="B246" s="11">
        <v>45549</v>
      </c>
      <c r="C246" s="5" t="s">
        <v>615</v>
      </c>
      <c r="D246" s="5" t="s">
        <v>77</v>
      </c>
      <c r="E246" s="5" t="s">
        <v>21</v>
      </c>
      <c r="F246" s="5">
        <v>4</v>
      </c>
      <c r="G246" s="19">
        <v>0.1</v>
      </c>
      <c r="H246" s="5" t="s">
        <v>454</v>
      </c>
      <c r="I246" s="10">
        <f>IF(OR(D246="", F246=""), "", F246 * VLOOKUP(D246, Products!A:E, 5, FALSE) * (1 - G246))</f>
        <v>894.85199999999998</v>
      </c>
      <c r="J246" s="10"/>
    </row>
    <row r="247" spans="1:10" ht="15.75" customHeight="1" x14ac:dyDescent="0.3">
      <c r="A247" s="5" t="s">
        <v>1114</v>
      </c>
      <c r="B247" s="11">
        <v>45446</v>
      </c>
      <c r="C247" s="5" t="s">
        <v>854</v>
      </c>
      <c r="D247" s="5" t="s">
        <v>193</v>
      </c>
      <c r="E247" s="5" t="s">
        <v>21</v>
      </c>
      <c r="F247" s="5">
        <v>3</v>
      </c>
      <c r="G247" s="19">
        <v>0</v>
      </c>
      <c r="H247" s="5" t="s">
        <v>454</v>
      </c>
      <c r="I247" s="10">
        <f>IF(OR(D247="", F247=""), "", F247 * VLOOKUP(D247, Products!A:E, 5, FALSE) * (1 - G247))</f>
        <v>87.72</v>
      </c>
      <c r="J247" s="10"/>
    </row>
    <row r="248" spans="1:10" ht="15.75" customHeight="1" x14ac:dyDescent="0.3">
      <c r="A248" s="5" t="s">
        <v>1115</v>
      </c>
      <c r="B248" s="11">
        <v>45633</v>
      </c>
      <c r="C248" s="5" t="s">
        <v>397</v>
      </c>
      <c r="D248" s="5" t="s">
        <v>140</v>
      </c>
      <c r="E248" s="5" t="s">
        <v>21</v>
      </c>
      <c r="F248" s="5">
        <v>5</v>
      </c>
      <c r="G248" s="19">
        <v>0.1</v>
      </c>
      <c r="H248" s="5" t="s">
        <v>697</v>
      </c>
      <c r="I248" s="10">
        <f>IF(OR(D248="", F248=""), "", F248 * VLOOKUP(D248, Products!A:E, 5, FALSE) * (1 - G248))</f>
        <v>115.065</v>
      </c>
      <c r="J248" s="10"/>
    </row>
    <row r="249" spans="1:10" ht="15.75" customHeight="1" x14ac:dyDescent="0.3">
      <c r="A249" s="5" t="s">
        <v>1116</v>
      </c>
      <c r="B249" s="11">
        <v>45247</v>
      </c>
      <c r="C249" s="5" t="s">
        <v>149</v>
      </c>
      <c r="D249" s="5" t="s">
        <v>221</v>
      </c>
      <c r="E249" s="5" t="s">
        <v>29</v>
      </c>
      <c r="F249" s="5">
        <v>5</v>
      </c>
      <c r="G249" s="19">
        <v>0.1</v>
      </c>
      <c r="H249" s="5" t="s">
        <v>697</v>
      </c>
      <c r="I249" s="10">
        <f>IF(OR(D249="", F249=""), "", F249 * VLOOKUP(D249, Products!A:E, 5, FALSE) * (1 - G249))</f>
        <v>7030.9350000000004</v>
      </c>
      <c r="J249" s="10"/>
    </row>
    <row r="250" spans="1:10" ht="15.75" customHeight="1" x14ac:dyDescent="0.3">
      <c r="A250" s="5" t="s">
        <v>1117</v>
      </c>
      <c r="B250" s="11">
        <v>45690</v>
      </c>
      <c r="C250" s="5" t="s">
        <v>878</v>
      </c>
      <c r="D250" s="5" t="s">
        <v>243</v>
      </c>
      <c r="E250" s="5" t="s">
        <v>33</v>
      </c>
      <c r="F250" s="5">
        <v>4</v>
      </c>
      <c r="G250" s="19">
        <v>0.05</v>
      </c>
      <c r="H250" s="5" t="s">
        <v>697</v>
      </c>
      <c r="I250" s="10">
        <f>IF(OR(D250="", F250=""), "", F250 * VLOOKUP(D250, Products!A:E, 5, FALSE) * (1 - G250))</f>
        <v>2055.5720000000001</v>
      </c>
      <c r="J250" s="10"/>
    </row>
    <row r="251" spans="1:10" ht="15.75" customHeight="1" x14ac:dyDescent="0.3">
      <c r="A251" s="5" t="s">
        <v>1118</v>
      </c>
      <c r="B251" s="11">
        <v>45846</v>
      </c>
      <c r="C251" s="5" t="s">
        <v>177</v>
      </c>
      <c r="D251" s="5" t="s">
        <v>232</v>
      </c>
      <c r="E251" s="5" t="s">
        <v>33</v>
      </c>
      <c r="F251" s="5">
        <v>1</v>
      </c>
      <c r="G251" s="19">
        <v>0.1</v>
      </c>
      <c r="H251" s="5" t="s">
        <v>697</v>
      </c>
      <c r="I251" s="10">
        <f>IF(OR(D251="", F251=""), "", F251 * VLOOKUP(D251, Products!A:E, 5, FALSE) * (1 - G251))</f>
        <v>1757.3850000000002</v>
      </c>
      <c r="J251" s="10"/>
    </row>
    <row r="252" spans="1:10" ht="15.75" customHeight="1" x14ac:dyDescent="0.3">
      <c r="A252" s="5" t="s">
        <v>1119</v>
      </c>
      <c r="B252" s="11">
        <v>45507</v>
      </c>
      <c r="C252" s="5" t="s">
        <v>149</v>
      </c>
      <c r="D252" s="5" t="s">
        <v>140</v>
      </c>
      <c r="E252" s="5" t="s">
        <v>25</v>
      </c>
      <c r="F252" s="5">
        <v>1</v>
      </c>
      <c r="G252" s="19">
        <v>0.1</v>
      </c>
      <c r="H252" s="5" t="s">
        <v>454</v>
      </c>
      <c r="I252" s="10">
        <f>IF(OR(D252="", F252=""), "", F252 * VLOOKUP(D252, Products!A:E, 5, FALSE) * (1 - G252))</f>
        <v>23.013000000000002</v>
      </c>
      <c r="J252" s="10"/>
    </row>
    <row r="253" spans="1:10" ht="15.75" customHeight="1" x14ac:dyDescent="0.3">
      <c r="A253" s="5" t="s">
        <v>1120</v>
      </c>
      <c r="B253" s="11">
        <v>45371</v>
      </c>
      <c r="C253" s="5" t="s">
        <v>652</v>
      </c>
      <c r="D253" s="5" t="s">
        <v>272</v>
      </c>
      <c r="E253" s="5" t="s">
        <v>33</v>
      </c>
      <c r="F253" s="5">
        <v>5</v>
      </c>
      <c r="G253" s="19">
        <v>0.15</v>
      </c>
      <c r="H253" s="5" t="s">
        <v>454</v>
      </c>
      <c r="I253" s="10">
        <f>IF(OR(D253="", F253=""), "", F253 * VLOOKUP(D253, Products!A:E, 5, FALSE) * (1 - G253))</f>
        <v>4952.8224999999993</v>
      </c>
      <c r="J253" s="10"/>
    </row>
    <row r="254" spans="1:10" ht="15.75" customHeight="1" x14ac:dyDescent="0.3">
      <c r="A254" s="5" t="s">
        <v>1121</v>
      </c>
      <c r="B254" s="11">
        <v>45342</v>
      </c>
      <c r="C254" s="5" t="s">
        <v>137</v>
      </c>
      <c r="D254" s="5" t="s">
        <v>54</v>
      </c>
      <c r="E254" s="5" t="s">
        <v>25</v>
      </c>
      <c r="F254" s="5">
        <v>3</v>
      </c>
      <c r="G254" s="19">
        <v>0.1</v>
      </c>
      <c r="H254" s="5" t="s">
        <v>776</v>
      </c>
      <c r="I254" s="10">
        <f>IF(OR(D254="", F254=""), "", F254 * VLOOKUP(D254, Products!A:E, 5, FALSE) * (1 - G254))</f>
        <v>5005.1790000000001</v>
      </c>
      <c r="J254" s="10"/>
    </row>
    <row r="255" spans="1:10" ht="15.75" customHeight="1" x14ac:dyDescent="0.3">
      <c r="A255" s="5" t="s">
        <v>1122</v>
      </c>
      <c r="B255" s="11">
        <v>45732</v>
      </c>
      <c r="C255" s="5" t="s">
        <v>774</v>
      </c>
      <c r="D255" s="5" t="s">
        <v>272</v>
      </c>
      <c r="E255" s="5" t="s">
        <v>29</v>
      </c>
      <c r="F255" s="5">
        <v>3</v>
      </c>
      <c r="G255" s="19">
        <v>0</v>
      </c>
      <c r="H255" s="5" t="s">
        <v>454</v>
      </c>
      <c r="I255" s="10">
        <f>IF(OR(D255="", F255=""), "", F255 * VLOOKUP(D255, Products!A:E, 5, FALSE) * (1 - G255))</f>
        <v>3496.1099999999997</v>
      </c>
      <c r="J255" s="10"/>
    </row>
    <row r="256" spans="1:10" ht="15.75" customHeight="1" x14ac:dyDescent="0.3">
      <c r="A256" s="5" t="s">
        <v>1123</v>
      </c>
      <c r="B256" s="11">
        <v>45607</v>
      </c>
      <c r="C256" s="5" t="s">
        <v>583</v>
      </c>
      <c r="D256" s="5" t="s">
        <v>243</v>
      </c>
      <c r="E256" s="5" t="s">
        <v>33</v>
      </c>
      <c r="F256" s="5">
        <v>4</v>
      </c>
      <c r="G256" s="19">
        <v>0.15</v>
      </c>
      <c r="H256" s="5" t="s">
        <v>454</v>
      </c>
      <c r="I256" s="10">
        <f>IF(OR(D256="", F256=""), "", F256 * VLOOKUP(D256, Products!A:E, 5, FALSE) * (1 - G256))</f>
        <v>1839.1960000000001</v>
      </c>
      <c r="J256" s="10"/>
    </row>
    <row r="257" spans="1:10" ht="15.75" customHeight="1" x14ac:dyDescent="0.3">
      <c r="A257" s="5" t="s">
        <v>1124</v>
      </c>
      <c r="B257" s="11">
        <v>45564</v>
      </c>
      <c r="C257" s="5" t="s">
        <v>342</v>
      </c>
      <c r="D257" s="5" t="s">
        <v>103</v>
      </c>
      <c r="E257" s="5" t="s">
        <v>33</v>
      </c>
      <c r="F257" s="5">
        <v>4</v>
      </c>
      <c r="G257" s="19">
        <v>0.1</v>
      </c>
      <c r="H257" s="5" t="s">
        <v>454</v>
      </c>
      <c r="I257" s="10">
        <f>IF(OR(D257="", F257=""), "", F257 * VLOOKUP(D257, Products!A:E, 5, FALSE) * (1 - G257))</f>
        <v>973.62</v>
      </c>
      <c r="J257" s="10"/>
    </row>
    <row r="258" spans="1:10" ht="15.75" customHeight="1" x14ac:dyDescent="0.3">
      <c r="A258" s="5" t="s">
        <v>1125</v>
      </c>
      <c r="B258" s="11">
        <v>45583</v>
      </c>
      <c r="C258" s="5" t="s">
        <v>203</v>
      </c>
      <c r="D258" s="5" t="s">
        <v>249</v>
      </c>
      <c r="E258" s="5" t="s">
        <v>33</v>
      </c>
      <c r="F258" s="5">
        <v>1</v>
      </c>
      <c r="G258" s="19">
        <v>0.15</v>
      </c>
      <c r="H258" s="5" t="s">
        <v>697</v>
      </c>
      <c r="I258" s="10">
        <f>IF(OR(D258="", F258=""), "", F258 * VLOOKUP(D258, Products!A:E, 5, FALSE) * (1 - G258))</f>
        <v>1483.7684999999999</v>
      </c>
      <c r="J258" s="10"/>
    </row>
    <row r="259" spans="1:10" ht="15.75" customHeight="1" x14ac:dyDescent="0.3">
      <c r="A259" s="5" t="s">
        <v>1126</v>
      </c>
      <c r="B259" s="11">
        <v>45743</v>
      </c>
      <c r="C259" s="5" t="s">
        <v>680</v>
      </c>
      <c r="D259" s="5" t="s">
        <v>272</v>
      </c>
      <c r="E259" s="5" t="s">
        <v>29</v>
      </c>
      <c r="F259" s="5">
        <v>3</v>
      </c>
      <c r="G259" s="19">
        <v>0</v>
      </c>
      <c r="H259" s="5" t="s">
        <v>776</v>
      </c>
      <c r="I259" s="10">
        <f>IF(OR(D259="", F259=""), "", F259 * VLOOKUP(D259, Products!A:E, 5, FALSE) * (1 - G259))</f>
        <v>3496.1099999999997</v>
      </c>
      <c r="J259" s="10"/>
    </row>
    <row r="260" spans="1:10" ht="15.75" customHeight="1" x14ac:dyDescent="0.3">
      <c r="A260" s="5" t="s">
        <v>1127</v>
      </c>
      <c r="B260" s="11">
        <v>45787</v>
      </c>
      <c r="C260" s="5" t="s">
        <v>481</v>
      </c>
      <c r="D260" s="5" t="s">
        <v>77</v>
      </c>
      <c r="E260" s="5" t="s">
        <v>29</v>
      </c>
      <c r="F260" s="5">
        <v>3</v>
      </c>
      <c r="G260" s="19">
        <v>0.15</v>
      </c>
      <c r="H260" s="5" t="s">
        <v>637</v>
      </c>
      <c r="I260" s="10">
        <f>IF(OR(D260="", F260=""), "", F260 * VLOOKUP(D260, Products!A:E, 5, FALSE) * (1 - G260))</f>
        <v>633.85350000000005</v>
      </c>
      <c r="J260" s="10"/>
    </row>
    <row r="261" spans="1:10" ht="15.75" customHeight="1" x14ac:dyDescent="0.3">
      <c r="A261" s="5" t="s">
        <v>1128</v>
      </c>
      <c r="B261" s="11">
        <v>45714</v>
      </c>
      <c r="C261" s="5" t="s">
        <v>322</v>
      </c>
      <c r="D261" s="5" t="s">
        <v>153</v>
      </c>
      <c r="E261" s="5" t="s">
        <v>33</v>
      </c>
      <c r="F261" s="5">
        <v>3</v>
      </c>
      <c r="G261" s="19">
        <v>0.15</v>
      </c>
      <c r="H261" s="5" t="s">
        <v>776</v>
      </c>
      <c r="I261" s="10">
        <f>IF(OR(D261="", F261=""), "", F261 * VLOOKUP(D261, Products!A:E, 5, FALSE) * (1 - G261))</f>
        <v>3792.8955000000001</v>
      </c>
      <c r="J261" s="10"/>
    </row>
    <row r="262" spans="1:10" ht="15.75" customHeight="1" x14ac:dyDescent="0.3">
      <c r="A262" s="5" t="s">
        <v>1129</v>
      </c>
      <c r="B262" s="11">
        <v>45246</v>
      </c>
      <c r="C262" s="5" t="s">
        <v>837</v>
      </c>
      <c r="D262" s="5" t="s">
        <v>193</v>
      </c>
      <c r="E262" s="5" t="s">
        <v>29</v>
      </c>
      <c r="F262" s="5">
        <v>5</v>
      </c>
      <c r="G262" s="19">
        <v>0.15</v>
      </c>
      <c r="H262" s="5" t="s">
        <v>454</v>
      </c>
      <c r="I262" s="10">
        <f>IF(OR(D262="", F262=""), "", F262 * VLOOKUP(D262, Products!A:E, 5, FALSE) * (1 - G262))</f>
        <v>124.26999999999998</v>
      </c>
      <c r="J262" s="10"/>
    </row>
    <row r="263" spans="1:10" ht="15.75" customHeight="1" x14ac:dyDescent="0.3">
      <c r="A263" s="5" t="s">
        <v>1130</v>
      </c>
      <c r="B263" s="11">
        <v>45508</v>
      </c>
      <c r="C263" s="5" t="s">
        <v>758</v>
      </c>
      <c r="D263" s="5" t="s">
        <v>243</v>
      </c>
      <c r="E263" s="5" t="s">
        <v>21</v>
      </c>
      <c r="F263" s="5">
        <v>1</v>
      </c>
      <c r="G263" s="19">
        <v>0.15</v>
      </c>
      <c r="H263" s="5" t="s">
        <v>454</v>
      </c>
      <c r="I263" s="10">
        <f>IF(OR(D263="", F263=""), "", F263 * VLOOKUP(D263, Products!A:E, 5, FALSE) * (1 - G263))</f>
        <v>459.79900000000004</v>
      </c>
      <c r="J263" s="10"/>
    </row>
    <row r="264" spans="1:10" ht="15.75" customHeight="1" x14ac:dyDescent="0.3">
      <c r="A264" s="5" t="s">
        <v>1131</v>
      </c>
      <c r="B264" s="11">
        <v>45568</v>
      </c>
      <c r="C264" s="5" t="s">
        <v>652</v>
      </c>
      <c r="D264" s="5" t="s">
        <v>221</v>
      </c>
      <c r="E264" s="5" t="s">
        <v>25</v>
      </c>
      <c r="F264" s="5">
        <v>1</v>
      </c>
      <c r="G264" s="19">
        <v>0.05</v>
      </c>
      <c r="H264" s="5" t="s">
        <v>637</v>
      </c>
      <c r="I264" s="10">
        <f>IF(OR(D264="", F264=""), "", F264 * VLOOKUP(D264, Products!A:E, 5, FALSE) * (1 - G264))</f>
        <v>1484.3085000000001</v>
      </c>
      <c r="J264" s="10"/>
    </row>
    <row r="265" spans="1:10" ht="15.75" customHeight="1" x14ac:dyDescent="0.3">
      <c r="A265" s="5" t="s">
        <v>1132</v>
      </c>
      <c r="B265" s="11">
        <v>45707</v>
      </c>
      <c r="C265" s="5" t="s">
        <v>129</v>
      </c>
      <c r="D265" s="5" t="s">
        <v>232</v>
      </c>
      <c r="E265" s="5" t="s">
        <v>25</v>
      </c>
      <c r="F265" s="5">
        <v>1</v>
      </c>
      <c r="G265" s="19">
        <v>0.05</v>
      </c>
      <c r="H265" s="5" t="s">
        <v>454</v>
      </c>
      <c r="I265" s="10">
        <f>IF(OR(D265="", F265=""), "", F265 * VLOOKUP(D265, Products!A:E, 5, FALSE) * (1 - G265))</f>
        <v>1855.0174999999999</v>
      </c>
      <c r="J265" s="10"/>
    </row>
    <row r="266" spans="1:10" ht="15.75" customHeight="1" x14ac:dyDescent="0.3">
      <c r="A266" s="5" t="s">
        <v>1133</v>
      </c>
      <c r="B266" s="11">
        <v>45778</v>
      </c>
      <c r="C266" s="5" t="s">
        <v>515</v>
      </c>
      <c r="D266" s="5" t="s">
        <v>267</v>
      </c>
      <c r="E266" s="5" t="s">
        <v>33</v>
      </c>
      <c r="F266" s="5">
        <v>5</v>
      </c>
      <c r="G266" s="19">
        <v>0</v>
      </c>
      <c r="H266" s="5" t="s">
        <v>697</v>
      </c>
      <c r="I266" s="10">
        <f>IF(OR(D266="", F266=""), "", F266 * VLOOKUP(D266, Products!A:E, 5, FALSE) * (1 - G266))</f>
        <v>6432.75</v>
      </c>
      <c r="J266" s="10"/>
    </row>
    <row r="267" spans="1:10" ht="15.75" customHeight="1" x14ac:dyDescent="0.3">
      <c r="A267" s="5" t="s">
        <v>1134</v>
      </c>
      <c r="B267" s="11">
        <v>45435</v>
      </c>
      <c r="C267" s="5" t="s">
        <v>662</v>
      </c>
      <c r="D267" s="5" t="s">
        <v>95</v>
      </c>
      <c r="E267" s="5" t="s">
        <v>33</v>
      </c>
      <c r="F267" s="5">
        <v>3</v>
      </c>
      <c r="G267" s="19">
        <v>0.1</v>
      </c>
      <c r="H267" s="5" t="s">
        <v>637</v>
      </c>
      <c r="I267" s="10">
        <f>IF(OR(D267="", F267=""), "", F267 * VLOOKUP(D267, Products!A:E, 5, FALSE) * (1 - G267))</f>
        <v>3625.4250000000002</v>
      </c>
      <c r="J267" s="10"/>
    </row>
    <row r="268" spans="1:10" ht="15.75" customHeight="1" x14ac:dyDescent="0.3">
      <c r="A268" s="5" t="s">
        <v>1135</v>
      </c>
      <c r="B268" s="11">
        <v>45210</v>
      </c>
      <c r="C268" s="5" t="s">
        <v>865</v>
      </c>
      <c r="D268" s="5" t="s">
        <v>70</v>
      </c>
      <c r="E268" s="5" t="s">
        <v>21</v>
      </c>
      <c r="F268" s="5">
        <v>5</v>
      </c>
      <c r="G268" s="19">
        <v>0.05</v>
      </c>
      <c r="H268" s="5" t="s">
        <v>454</v>
      </c>
      <c r="I268" s="10">
        <f>IF(OR(D268="", F268=""), "", F268 * VLOOKUP(D268, Products!A:E, 5, FALSE) * (1 - G268))</f>
        <v>585.15250000000003</v>
      </c>
      <c r="J268" s="10"/>
    </row>
    <row r="269" spans="1:10" ht="15.75" customHeight="1" x14ac:dyDescent="0.3">
      <c r="A269" s="5" t="s">
        <v>1136</v>
      </c>
      <c r="B269" s="11">
        <v>45680</v>
      </c>
      <c r="C269" s="5" t="s">
        <v>546</v>
      </c>
      <c r="D269" s="5" t="s">
        <v>109</v>
      </c>
      <c r="E269" s="5" t="s">
        <v>29</v>
      </c>
      <c r="F269" s="5">
        <v>3</v>
      </c>
      <c r="G269" s="19">
        <v>0.05</v>
      </c>
      <c r="H269" s="5" t="s">
        <v>776</v>
      </c>
      <c r="I269" s="10">
        <f>IF(OR(D269="", F269=""), "", F269 * VLOOKUP(D269, Products!A:E, 5, FALSE) * (1 - G269))</f>
        <v>5297.4375</v>
      </c>
      <c r="J269" s="10"/>
    </row>
    <row r="270" spans="1:10" ht="15.75" customHeight="1" x14ac:dyDescent="0.3">
      <c r="A270" s="5" t="s">
        <v>1137</v>
      </c>
      <c r="B270" s="11">
        <v>45435</v>
      </c>
      <c r="C270" s="5" t="s">
        <v>113</v>
      </c>
      <c r="D270" s="5" t="s">
        <v>272</v>
      </c>
      <c r="E270" s="5" t="s">
        <v>25</v>
      </c>
      <c r="F270" s="5">
        <v>4</v>
      </c>
      <c r="G270" s="19">
        <v>0.15</v>
      </c>
      <c r="H270" s="5" t="s">
        <v>776</v>
      </c>
      <c r="I270" s="10">
        <f>IF(OR(D270="", F270=""), "", F270 * VLOOKUP(D270, Products!A:E, 5, FALSE) * (1 - G270))</f>
        <v>3962.2579999999994</v>
      </c>
      <c r="J270" s="10"/>
    </row>
    <row r="271" spans="1:10" ht="15.75" customHeight="1" x14ac:dyDescent="0.3">
      <c r="A271" s="5" t="s">
        <v>1138</v>
      </c>
      <c r="B271" s="11">
        <v>45346</v>
      </c>
      <c r="C271" s="5" t="s">
        <v>420</v>
      </c>
      <c r="D271" s="5" t="s">
        <v>147</v>
      </c>
      <c r="E271" s="5" t="s">
        <v>29</v>
      </c>
      <c r="F271" s="5">
        <v>4</v>
      </c>
      <c r="G271" s="19">
        <v>0.05</v>
      </c>
      <c r="H271" s="5" t="s">
        <v>454</v>
      </c>
      <c r="I271" s="10">
        <f>IF(OR(D271="", F271=""), "", F271 * VLOOKUP(D271, Products!A:E, 5, FALSE) * (1 - G271))</f>
        <v>7138.1859999999997</v>
      </c>
      <c r="J271" s="10"/>
    </row>
    <row r="272" spans="1:10" ht="15.75" customHeight="1" x14ac:dyDescent="0.3">
      <c r="A272" s="5" t="s">
        <v>1139</v>
      </c>
      <c r="B272" s="11">
        <v>45828</v>
      </c>
      <c r="C272" s="5" t="s">
        <v>805</v>
      </c>
      <c r="D272" s="5" t="s">
        <v>249</v>
      </c>
      <c r="E272" s="5" t="s">
        <v>33</v>
      </c>
      <c r="F272" s="5">
        <v>2</v>
      </c>
      <c r="G272" s="19">
        <v>0</v>
      </c>
      <c r="H272" s="5" t="s">
        <v>697</v>
      </c>
      <c r="I272" s="10">
        <f>IF(OR(D272="", F272=""), "", F272 * VLOOKUP(D272, Products!A:E, 5, FALSE) * (1 - G272))</f>
        <v>3491.22</v>
      </c>
      <c r="J272" s="10"/>
    </row>
    <row r="273" spans="1:10" ht="15.75" customHeight="1" x14ac:dyDescent="0.3">
      <c r="A273" s="5" t="s">
        <v>1140</v>
      </c>
      <c r="B273" s="11">
        <v>45629</v>
      </c>
      <c r="C273" s="5" t="s">
        <v>185</v>
      </c>
      <c r="D273" s="5" t="s">
        <v>47</v>
      </c>
      <c r="E273" s="5" t="s">
        <v>33</v>
      </c>
      <c r="F273" s="5">
        <v>2</v>
      </c>
      <c r="G273" s="19">
        <v>0.15</v>
      </c>
      <c r="H273" s="5" t="s">
        <v>776</v>
      </c>
      <c r="I273" s="10">
        <f>IF(OR(D273="", F273=""), "", F273 * VLOOKUP(D273, Products!A:E, 5, FALSE) * (1 - G273))</f>
        <v>1391.8920000000001</v>
      </c>
      <c r="J273" s="10"/>
    </row>
    <row r="274" spans="1:10" ht="15.75" customHeight="1" x14ac:dyDescent="0.3">
      <c r="A274" s="5" t="s">
        <v>1141</v>
      </c>
      <c r="B274" s="11">
        <v>45219</v>
      </c>
      <c r="C274" s="5" t="s">
        <v>795</v>
      </c>
      <c r="D274" s="5" t="s">
        <v>95</v>
      </c>
      <c r="E274" s="5" t="s">
        <v>29</v>
      </c>
      <c r="F274" s="5">
        <v>3</v>
      </c>
      <c r="G274" s="19">
        <v>0</v>
      </c>
      <c r="H274" s="5" t="s">
        <v>454</v>
      </c>
      <c r="I274" s="10">
        <f>IF(OR(D274="", F274=""), "", F274 * VLOOKUP(D274, Products!A:E, 5, FALSE) * (1 - G274))</f>
        <v>4028.25</v>
      </c>
      <c r="J274" s="10"/>
    </row>
    <row r="275" spans="1:10" ht="15.75" customHeight="1" x14ac:dyDescent="0.3">
      <c r="A275" s="5" t="s">
        <v>1142</v>
      </c>
      <c r="B275" s="11">
        <v>45241</v>
      </c>
      <c r="C275" s="5" t="s">
        <v>455</v>
      </c>
      <c r="D275" s="5" t="s">
        <v>47</v>
      </c>
      <c r="E275" s="5" t="s">
        <v>25</v>
      </c>
      <c r="F275" s="5">
        <v>2</v>
      </c>
      <c r="G275" s="19">
        <v>0.1</v>
      </c>
      <c r="H275" s="5" t="s">
        <v>697</v>
      </c>
      <c r="I275" s="10">
        <f>IF(OR(D275="", F275=""), "", F275 * VLOOKUP(D275, Products!A:E, 5, FALSE) * (1 - G275))</f>
        <v>1473.768</v>
      </c>
      <c r="J275" s="10"/>
    </row>
    <row r="276" spans="1:10" ht="15.75" customHeight="1" x14ac:dyDescent="0.3">
      <c r="A276" s="5" t="s">
        <v>1143</v>
      </c>
      <c r="B276" s="11">
        <v>45841</v>
      </c>
      <c r="C276" s="5" t="s">
        <v>261</v>
      </c>
      <c r="D276" s="5" t="s">
        <v>265</v>
      </c>
      <c r="E276" s="5" t="s">
        <v>25</v>
      </c>
      <c r="F276" s="5">
        <v>2</v>
      </c>
      <c r="G276" s="19">
        <v>0.05</v>
      </c>
      <c r="H276" s="5" t="s">
        <v>637</v>
      </c>
      <c r="I276" s="10">
        <f>IF(OR(D276="", F276=""), "", F276 * VLOOKUP(D276, Products!A:E, 5, FALSE) * (1 - G276))</f>
        <v>1072.3979999999999</v>
      </c>
      <c r="J276" s="10"/>
    </row>
    <row r="277" spans="1:10" ht="15.75" customHeight="1" x14ac:dyDescent="0.3">
      <c r="A277" s="5" t="s">
        <v>1144</v>
      </c>
      <c r="B277" s="11">
        <v>45212</v>
      </c>
      <c r="C277" s="5" t="s">
        <v>113</v>
      </c>
      <c r="D277" s="5" t="s">
        <v>200</v>
      </c>
      <c r="E277" s="5" t="s">
        <v>29</v>
      </c>
      <c r="F277" s="5">
        <v>5</v>
      </c>
      <c r="G277" s="19">
        <v>0.1</v>
      </c>
      <c r="H277" s="5" t="s">
        <v>637</v>
      </c>
      <c r="I277" s="10">
        <f>IF(OR(D277="", F277=""), "", F277 * VLOOKUP(D277, Products!A:E, 5, FALSE) * (1 - G277))</f>
        <v>4930.7400000000007</v>
      </c>
      <c r="J277" s="10"/>
    </row>
    <row r="278" spans="1:10" ht="15.75" customHeight="1" x14ac:dyDescent="0.3">
      <c r="A278" s="5" t="s">
        <v>1145</v>
      </c>
      <c r="B278" s="11">
        <v>45489</v>
      </c>
      <c r="C278" s="5" t="s">
        <v>635</v>
      </c>
      <c r="D278" s="5" t="s">
        <v>221</v>
      </c>
      <c r="E278" s="5" t="s">
        <v>25</v>
      </c>
      <c r="F278" s="5">
        <v>5</v>
      </c>
      <c r="G278" s="19">
        <v>0</v>
      </c>
      <c r="H278" s="5" t="s">
        <v>776</v>
      </c>
      <c r="I278" s="10">
        <f>IF(OR(D278="", F278=""), "", F278 * VLOOKUP(D278, Products!A:E, 5, FALSE) * (1 - G278))</f>
        <v>7812.1500000000005</v>
      </c>
      <c r="J278" s="10"/>
    </row>
    <row r="279" spans="1:10" ht="15.75" customHeight="1" x14ac:dyDescent="0.3">
      <c r="A279" s="5" t="s">
        <v>1146</v>
      </c>
      <c r="B279" s="11">
        <v>45575</v>
      </c>
      <c r="C279" s="5" t="s">
        <v>466</v>
      </c>
      <c r="D279" s="5" t="s">
        <v>226</v>
      </c>
      <c r="E279" s="5" t="s">
        <v>33</v>
      </c>
      <c r="F279" s="5">
        <v>4</v>
      </c>
      <c r="G279" s="19">
        <v>0.15</v>
      </c>
      <c r="H279" s="5" t="s">
        <v>637</v>
      </c>
      <c r="I279" s="10">
        <f>IF(OR(D279="", F279=""), "", F279 * VLOOKUP(D279, Products!A:E, 5, FALSE) * (1 - G279))</f>
        <v>5104.9639999999999</v>
      </c>
      <c r="J279" s="10"/>
    </row>
    <row r="280" spans="1:10" ht="15.75" customHeight="1" x14ac:dyDescent="0.3">
      <c r="A280" s="5" t="s">
        <v>1147</v>
      </c>
      <c r="B280" s="11">
        <v>45851</v>
      </c>
      <c r="C280" s="5" t="s">
        <v>708</v>
      </c>
      <c r="D280" s="5" t="s">
        <v>82</v>
      </c>
      <c r="E280" s="5" t="s">
        <v>21</v>
      </c>
      <c r="F280" s="5">
        <v>2</v>
      </c>
      <c r="G280" s="19">
        <v>0.1</v>
      </c>
      <c r="H280" s="5" t="s">
        <v>776</v>
      </c>
      <c r="I280" s="10">
        <f>IF(OR(D280="", F280=""), "", F280 * VLOOKUP(D280, Products!A:E, 5, FALSE) * (1 - G280))</f>
        <v>2147.5619999999999</v>
      </c>
      <c r="J280" s="10"/>
    </row>
    <row r="281" spans="1:10" ht="15.75" customHeight="1" x14ac:dyDescent="0.3">
      <c r="A281" s="5" t="s">
        <v>1148</v>
      </c>
      <c r="B281" s="11">
        <v>45693</v>
      </c>
      <c r="C281" s="5" t="s">
        <v>597</v>
      </c>
      <c r="D281" s="5" t="s">
        <v>128</v>
      </c>
      <c r="E281" s="5" t="s">
        <v>33</v>
      </c>
      <c r="F281" s="5">
        <v>5</v>
      </c>
      <c r="G281" s="19">
        <v>0.1</v>
      </c>
      <c r="H281" s="5" t="s">
        <v>697</v>
      </c>
      <c r="I281" s="10">
        <f>IF(OR(D281="", F281=""), "", F281 * VLOOKUP(D281, Products!A:E, 5, FALSE) * (1 - G281))</f>
        <v>1457.64</v>
      </c>
      <c r="J281" s="10"/>
    </row>
    <row r="282" spans="1:10" ht="15.75" customHeight="1" x14ac:dyDescent="0.3">
      <c r="A282" s="5" t="s">
        <v>1149</v>
      </c>
      <c r="B282" s="11">
        <v>45579</v>
      </c>
      <c r="C282" s="5" t="s">
        <v>878</v>
      </c>
      <c r="D282" s="5" t="s">
        <v>276</v>
      </c>
      <c r="E282" s="5" t="s">
        <v>37</v>
      </c>
      <c r="F282" s="5">
        <v>5</v>
      </c>
      <c r="G282" s="19">
        <v>0.05</v>
      </c>
      <c r="H282" s="5" t="s">
        <v>697</v>
      </c>
      <c r="I282" s="10">
        <f>IF(OR(D282="", F282=""), "", F282 * VLOOKUP(D282, Products!A:E, 5, FALSE) * (1 - G282))</f>
        <v>5686.6050000000005</v>
      </c>
      <c r="J282" s="10"/>
    </row>
    <row r="283" spans="1:10" ht="15.75" customHeight="1" x14ac:dyDescent="0.3">
      <c r="A283" s="5" t="s">
        <v>1150</v>
      </c>
      <c r="B283" s="11">
        <v>45725</v>
      </c>
      <c r="C283" s="5" t="s">
        <v>579</v>
      </c>
      <c r="D283" s="5" t="s">
        <v>147</v>
      </c>
      <c r="E283" s="5" t="s">
        <v>37</v>
      </c>
      <c r="F283" s="5">
        <v>1</v>
      </c>
      <c r="G283" s="19">
        <v>0</v>
      </c>
      <c r="H283" s="5" t="s">
        <v>697</v>
      </c>
      <c r="I283" s="10">
        <f>IF(OR(D283="", F283=""), "", F283 * VLOOKUP(D283, Products!A:E, 5, FALSE) * (1 - G283))</f>
        <v>1878.47</v>
      </c>
      <c r="J283" s="10"/>
    </row>
    <row r="284" spans="1:10" ht="15.75" customHeight="1" x14ac:dyDescent="0.3">
      <c r="A284" s="5" t="s">
        <v>1151</v>
      </c>
      <c r="B284" s="11">
        <v>45485</v>
      </c>
      <c r="C284" s="5" t="s">
        <v>458</v>
      </c>
      <c r="D284" s="5" t="s">
        <v>168</v>
      </c>
      <c r="E284" s="5" t="s">
        <v>25</v>
      </c>
      <c r="F284" s="5">
        <v>2</v>
      </c>
      <c r="G284" s="19">
        <v>0.1</v>
      </c>
      <c r="H284" s="5" t="s">
        <v>697</v>
      </c>
      <c r="I284" s="10">
        <f>IF(OR(D284="", F284=""), "", F284 * VLOOKUP(D284, Products!A:E, 5, FALSE) * (1 - G284))</f>
        <v>1828.3679999999999</v>
      </c>
      <c r="J284" s="10"/>
    </row>
    <row r="285" spans="1:10" ht="15.75" customHeight="1" x14ac:dyDescent="0.3">
      <c r="A285" s="5" t="s">
        <v>1152</v>
      </c>
      <c r="B285" s="11">
        <v>45450</v>
      </c>
      <c r="C285" s="5" t="s">
        <v>499</v>
      </c>
      <c r="D285" s="5" t="s">
        <v>140</v>
      </c>
      <c r="E285" s="5" t="s">
        <v>37</v>
      </c>
      <c r="F285" s="5">
        <v>3</v>
      </c>
      <c r="G285" s="19">
        <v>0</v>
      </c>
      <c r="H285" s="5" t="s">
        <v>454</v>
      </c>
      <c r="I285" s="10">
        <f>IF(OR(D285="", F285=""), "", F285 * VLOOKUP(D285, Products!A:E, 5, FALSE) * (1 - G285))</f>
        <v>76.710000000000008</v>
      </c>
      <c r="J285" s="10"/>
    </row>
    <row r="286" spans="1:10" ht="15.75" customHeight="1" x14ac:dyDescent="0.3">
      <c r="A286" s="5" t="s">
        <v>1153</v>
      </c>
      <c r="B286" s="11">
        <v>45474</v>
      </c>
      <c r="C286" s="5" t="s">
        <v>353</v>
      </c>
      <c r="D286" s="5" t="s">
        <v>70</v>
      </c>
      <c r="E286" s="5" t="s">
        <v>37</v>
      </c>
      <c r="F286" s="5">
        <v>3</v>
      </c>
      <c r="G286" s="19">
        <v>0.05</v>
      </c>
      <c r="H286" s="5" t="s">
        <v>454</v>
      </c>
      <c r="I286" s="10">
        <f>IF(OR(D286="", F286=""), "", F286 * VLOOKUP(D286, Products!A:E, 5, FALSE) * (1 - G286))</f>
        <v>351.0915</v>
      </c>
      <c r="J286" s="10"/>
    </row>
    <row r="287" spans="1:10" ht="15.75" customHeight="1" x14ac:dyDescent="0.3">
      <c r="A287" s="5" t="s">
        <v>1154</v>
      </c>
      <c r="B287" s="11">
        <v>45210</v>
      </c>
      <c r="C287" s="5" t="s">
        <v>740</v>
      </c>
      <c r="D287" s="5" t="s">
        <v>291</v>
      </c>
      <c r="E287" s="5" t="s">
        <v>37</v>
      </c>
      <c r="F287" s="5">
        <v>1</v>
      </c>
      <c r="G287" s="19">
        <v>0.05</v>
      </c>
      <c r="H287" s="5" t="s">
        <v>697</v>
      </c>
      <c r="I287" s="10">
        <f>IF(OR(D287="", F287=""), "", F287 * VLOOKUP(D287, Products!A:E, 5, FALSE) * (1 - G287))</f>
        <v>992.40800000000002</v>
      </c>
      <c r="J287" s="10"/>
    </row>
    <row r="288" spans="1:10" ht="15.75" customHeight="1" x14ac:dyDescent="0.3">
      <c r="A288" s="5" t="s">
        <v>1155</v>
      </c>
      <c r="B288" s="11">
        <v>45484</v>
      </c>
      <c r="C288" s="5" t="s">
        <v>326</v>
      </c>
      <c r="D288" s="5" t="s">
        <v>280</v>
      </c>
      <c r="E288" s="5" t="s">
        <v>37</v>
      </c>
      <c r="F288" s="5">
        <v>5</v>
      </c>
      <c r="G288" s="19">
        <v>0.1</v>
      </c>
      <c r="H288" s="5" t="s">
        <v>776</v>
      </c>
      <c r="I288" s="10">
        <f>IF(OR(D288="", F288=""), "", F288 * VLOOKUP(D288, Products!A:E, 5, FALSE) * (1 - G288))</f>
        <v>5473.62</v>
      </c>
      <c r="J288" s="10"/>
    </row>
    <row r="289" spans="1:10" ht="15.75" customHeight="1" x14ac:dyDescent="0.3">
      <c r="A289" s="5" t="s">
        <v>1156</v>
      </c>
      <c r="B289" s="11">
        <v>45398</v>
      </c>
      <c r="C289" s="5" t="s">
        <v>121</v>
      </c>
      <c r="D289" s="5" t="s">
        <v>256</v>
      </c>
      <c r="E289" s="5" t="s">
        <v>21</v>
      </c>
      <c r="F289" s="5">
        <v>1</v>
      </c>
      <c r="G289" s="19">
        <v>0.1</v>
      </c>
      <c r="H289" s="5" t="s">
        <v>697</v>
      </c>
      <c r="I289" s="10">
        <f>IF(OR(D289="", F289=""), "", F289 * VLOOKUP(D289, Products!A:E, 5, FALSE) * (1 - G289))</f>
        <v>1471.509</v>
      </c>
      <c r="J289" s="10"/>
    </row>
    <row r="290" spans="1:10" ht="15.75" customHeight="1" x14ac:dyDescent="0.3">
      <c r="A290" s="5" t="s">
        <v>1157</v>
      </c>
      <c r="B290" s="11">
        <v>45437</v>
      </c>
      <c r="C290" s="5" t="s">
        <v>869</v>
      </c>
      <c r="D290" s="5" t="s">
        <v>43</v>
      </c>
      <c r="E290" s="5" t="s">
        <v>37</v>
      </c>
      <c r="F290" s="5">
        <v>4</v>
      </c>
      <c r="G290" s="19">
        <v>0</v>
      </c>
      <c r="H290" s="5" t="s">
        <v>637</v>
      </c>
      <c r="I290" s="10">
        <f>IF(OR(D290="", F290=""), "", F290 * VLOOKUP(D290, Products!A:E, 5, FALSE) * (1 - G290))</f>
        <v>6694.76</v>
      </c>
      <c r="J290" s="10"/>
    </row>
    <row r="291" spans="1:10" ht="15.75" customHeight="1" x14ac:dyDescent="0.3">
      <c r="A291" s="5" t="s">
        <v>1158</v>
      </c>
      <c r="B291" s="11">
        <v>45572</v>
      </c>
      <c r="C291" s="5" t="s">
        <v>750</v>
      </c>
      <c r="D291" s="5" t="s">
        <v>43</v>
      </c>
      <c r="E291" s="5" t="s">
        <v>37</v>
      </c>
      <c r="F291" s="5">
        <v>3</v>
      </c>
      <c r="G291" s="19">
        <v>0.1</v>
      </c>
      <c r="H291" s="5" t="s">
        <v>637</v>
      </c>
      <c r="I291" s="10">
        <f>IF(OR(D291="", F291=""), "", F291 * VLOOKUP(D291, Products!A:E, 5, FALSE) * (1 - G291))</f>
        <v>4518.9629999999997</v>
      </c>
      <c r="J291" s="10"/>
    </row>
    <row r="292" spans="1:10" ht="15.75" customHeight="1" x14ac:dyDescent="0.3">
      <c r="A292" s="5" t="s">
        <v>1159</v>
      </c>
      <c r="B292" s="11">
        <v>45820</v>
      </c>
      <c r="C292" s="5" t="s">
        <v>401</v>
      </c>
      <c r="D292" s="5" t="s">
        <v>265</v>
      </c>
      <c r="E292" s="5" t="s">
        <v>33</v>
      </c>
      <c r="F292" s="5">
        <v>3</v>
      </c>
      <c r="G292" s="19">
        <v>0.15</v>
      </c>
      <c r="H292" s="5" t="s">
        <v>776</v>
      </c>
      <c r="I292" s="10">
        <f>IF(OR(D292="", F292=""), "", F292 * VLOOKUP(D292, Products!A:E, 5, FALSE) * (1 - G292))</f>
        <v>1439.2709999999997</v>
      </c>
      <c r="J292" s="10"/>
    </row>
    <row r="293" spans="1:10" ht="15.75" customHeight="1" x14ac:dyDescent="0.3">
      <c r="A293" s="5" t="s">
        <v>1160</v>
      </c>
      <c r="B293" s="11">
        <v>45475</v>
      </c>
      <c r="C293" s="5" t="s">
        <v>802</v>
      </c>
      <c r="D293" s="5" t="s">
        <v>256</v>
      </c>
      <c r="E293" s="5" t="s">
        <v>21</v>
      </c>
      <c r="F293" s="5">
        <v>2</v>
      </c>
      <c r="G293" s="19">
        <v>0.15</v>
      </c>
      <c r="H293" s="5" t="s">
        <v>637</v>
      </c>
      <c r="I293" s="10">
        <f>IF(OR(D293="", F293=""), "", F293 * VLOOKUP(D293, Products!A:E, 5, FALSE) * (1 - G293))</f>
        <v>2779.5169999999998</v>
      </c>
      <c r="J293" s="10"/>
    </row>
    <row r="294" spans="1:10" ht="15.75" customHeight="1" x14ac:dyDescent="0.3">
      <c r="A294" s="5" t="s">
        <v>1161</v>
      </c>
      <c r="B294" s="11">
        <v>45802</v>
      </c>
      <c r="C294" s="5" t="s">
        <v>624</v>
      </c>
      <c r="D294" s="5" t="s">
        <v>57</v>
      </c>
      <c r="E294" s="5" t="s">
        <v>33</v>
      </c>
      <c r="F294" s="5">
        <v>2</v>
      </c>
      <c r="G294" s="19">
        <v>0.1</v>
      </c>
      <c r="H294" s="5" t="s">
        <v>697</v>
      </c>
      <c r="I294" s="10">
        <f>IF(OR(D294="", F294=""), "", F294 * VLOOKUP(D294, Products!A:E, 5, FALSE) * (1 - G294))</f>
        <v>2513.1959999999999</v>
      </c>
      <c r="J294" s="10"/>
    </row>
    <row r="295" spans="1:10" ht="15.75" customHeight="1" x14ac:dyDescent="0.3">
      <c r="A295" s="5" t="s">
        <v>1162</v>
      </c>
      <c r="B295" s="11">
        <v>45736</v>
      </c>
      <c r="C295" s="5" t="s">
        <v>470</v>
      </c>
      <c r="D295" s="5" t="s">
        <v>103</v>
      </c>
      <c r="E295" s="5" t="s">
        <v>29</v>
      </c>
      <c r="F295" s="5">
        <v>3</v>
      </c>
      <c r="G295" s="19">
        <v>0.15</v>
      </c>
      <c r="H295" s="5" t="s">
        <v>697</v>
      </c>
      <c r="I295" s="10">
        <f>IF(OR(D295="", F295=""), "", F295 * VLOOKUP(D295, Products!A:E, 5, FALSE) * (1 - G295))</f>
        <v>689.64749999999992</v>
      </c>
      <c r="J295" s="10"/>
    </row>
    <row r="296" spans="1:10" ht="15.75" customHeight="1" x14ac:dyDescent="0.3">
      <c r="A296" s="5" t="s">
        <v>1163</v>
      </c>
      <c r="B296" s="11">
        <v>45776</v>
      </c>
      <c r="C296" s="5" t="s">
        <v>862</v>
      </c>
      <c r="D296" s="5" t="s">
        <v>128</v>
      </c>
      <c r="E296" s="5" t="s">
        <v>29</v>
      </c>
      <c r="F296" s="5">
        <v>5</v>
      </c>
      <c r="G296" s="19">
        <v>0</v>
      </c>
      <c r="H296" s="5" t="s">
        <v>454</v>
      </c>
      <c r="I296" s="10">
        <f>IF(OR(D296="", F296=""), "", F296 * VLOOKUP(D296, Products!A:E, 5, FALSE) * (1 - G296))</f>
        <v>1619.6000000000001</v>
      </c>
      <c r="J296" s="10"/>
    </row>
    <row r="297" spans="1:10" ht="15.75" customHeight="1" x14ac:dyDescent="0.3">
      <c r="A297" s="5" t="s">
        <v>1164</v>
      </c>
      <c r="B297" s="11">
        <v>45798</v>
      </c>
      <c r="C297" s="5" t="s">
        <v>397</v>
      </c>
      <c r="D297" s="5" t="s">
        <v>54</v>
      </c>
      <c r="E297" s="5" t="s">
        <v>33</v>
      </c>
      <c r="F297" s="5">
        <v>1</v>
      </c>
      <c r="G297" s="19">
        <v>0.1</v>
      </c>
      <c r="H297" s="5" t="s">
        <v>637</v>
      </c>
      <c r="I297" s="10">
        <f>IF(OR(D297="", F297=""), "", F297 * VLOOKUP(D297, Products!A:E, 5, FALSE) * (1 - G297))</f>
        <v>1668.393</v>
      </c>
      <c r="J297" s="10"/>
    </row>
    <row r="298" spans="1:10" ht="15.75" customHeight="1" x14ac:dyDescent="0.3">
      <c r="A298" s="5" t="s">
        <v>1165</v>
      </c>
      <c r="B298" s="11">
        <v>45569</v>
      </c>
      <c r="C298" s="5" t="s">
        <v>405</v>
      </c>
      <c r="D298" s="5" t="s">
        <v>115</v>
      </c>
      <c r="E298" s="5" t="s">
        <v>25</v>
      </c>
      <c r="F298" s="5">
        <v>1</v>
      </c>
      <c r="G298" s="19">
        <v>0</v>
      </c>
      <c r="H298" s="5" t="s">
        <v>454</v>
      </c>
      <c r="I298" s="10">
        <f>IF(OR(D298="", F298=""), "", F298 * VLOOKUP(D298, Products!A:E, 5, FALSE) * (1 - G298))</f>
        <v>1246.1099999999999</v>
      </c>
      <c r="J298" s="10"/>
    </row>
    <row r="299" spans="1:10" ht="15.75" customHeight="1" x14ac:dyDescent="0.3">
      <c r="A299" s="5" t="s">
        <v>1166</v>
      </c>
      <c r="B299" s="11">
        <v>45525</v>
      </c>
      <c r="C299" s="5" t="s">
        <v>536</v>
      </c>
      <c r="D299" s="5" t="s">
        <v>70</v>
      </c>
      <c r="E299" s="5" t="s">
        <v>37</v>
      </c>
      <c r="F299" s="5">
        <v>4</v>
      </c>
      <c r="G299" s="19">
        <v>0.05</v>
      </c>
      <c r="H299" s="5" t="s">
        <v>697</v>
      </c>
      <c r="I299" s="10">
        <f>IF(OR(D299="", F299=""), "", F299 * VLOOKUP(D299, Products!A:E, 5, FALSE) * (1 - G299))</f>
        <v>468.12199999999996</v>
      </c>
      <c r="J299" s="10"/>
    </row>
    <row r="300" spans="1:10" ht="15.75" customHeight="1" x14ac:dyDescent="0.3">
      <c r="A300" s="5" t="s">
        <v>1167</v>
      </c>
      <c r="B300" s="11">
        <v>45251</v>
      </c>
      <c r="C300" s="5" t="s">
        <v>481</v>
      </c>
      <c r="D300" s="5" t="s">
        <v>175</v>
      </c>
      <c r="E300" s="5" t="s">
        <v>37</v>
      </c>
      <c r="F300" s="5">
        <v>3</v>
      </c>
      <c r="G300" s="19">
        <v>0.05</v>
      </c>
      <c r="H300" s="5" t="s">
        <v>697</v>
      </c>
      <c r="I300" s="10">
        <f>IF(OR(D300="", F300=""), "", F300 * VLOOKUP(D300, Products!A:E, 5, FALSE) * (1 - G300))</f>
        <v>3625.8554999999997</v>
      </c>
      <c r="J300" s="10"/>
    </row>
    <row r="301" spans="1:10" ht="15.75" customHeight="1" x14ac:dyDescent="0.3">
      <c r="A301" s="5" t="s">
        <v>1168</v>
      </c>
      <c r="B301" s="11">
        <v>45245</v>
      </c>
      <c r="C301" s="5" t="s">
        <v>638</v>
      </c>
      <c r="D301" s="5" t="s">
        <v>77</v>
      </c>
      <c r="E301" s="5" t="s">
        <v>37</v>
      </c>
      <c r="F301" s="5">
        <v>4</v>
      </c>
      <c r="G301" s="19">
        <v>0.15</v>
      </c>
      <c r="H301" s="5" t="s">
        <v>454</v>
      </c>
      <c r="I301" s="10">
        <f>IF(OR(D301="", F301=""), "", F301 * VLOOKUP(D301, Products!A:E, 5, FALSE) * (1 - G301))</f>
        <v>845.13799999999992</v>
      </c>
      <c r="J301" s="10"/>
    </row>
    <row r="302" spans="1:10" ht="15.75" customHeight="1" x14ac:dyDescent="0.3">
      <c r="A302" s="5" t="s">
        <v>1169</v>
      </c>
      <c r="B302" s="11">
        <v>45633</v>
      </c>
      <c r="C302" s="5" t="s">
        <v>638</v>
      </c>
      <c r="D302" s="5" t="s">
        <v>206</v>
      </c>
      <c r="E302" s="5" t="s">
        <v>21</v>
      </c>
      <c r="F302" s="5">
        <v>1</v>
      </c>
      <c r="G302" s="19">
        <v>0.15</v>
      </c>
      <c r="H302" s="5" t="s">
        <v>637</v>
      </c>
      <c r="I302" s="10">
        <f>IF(OR(D302="", F302=""), "", F302 * VLOOKUP(D302, Products!A:E, 5, FALSE) * (1 - G302))</f>
        <v>259.00349999999997</v>
      </c>
      <c r="J302" s="10"/>
    </row>
    <row r="303" spans="1:10" ht="15.75" customHeight="1" x14ac:dyDescent="0.3">
      <c r="A303" s="5" t="s">
        <v>1170</v>
      </c>
      <c r="B303" s="11">
        <v>45637</v>
      </c>
      <c r="C303" s="5" t="s">
        <v>397</v>
      </c>
      <c r="D303" s="5" t="s">
        <v>95</v>
      </c>
      <c r="E303" s="5" t="s">
        <v>25</v>
      </c>
      <c r="F303" s="5">
        <v>5</v>
      </c>
      <c r="G303" s="19">
        <v>0.1</v>
      </c>
      <c r="H303" s="5" t="s">
        <v>776</v>
      </c>
      <c r="I303" s="10">
        <f>IF(OR(D303="", F303=""), "", F303 * VLOOKUP(D303, Products!A:E, 5, FALSE) * (1 - G303))</f>
        <v>6042.375</v>
      </c>
      <c r="J303" s="10"/>
    </row>
    <row r="304" spans="1:10" ht="15.75" customHeight="1" x14ac:dyDescent="0.3">
      <c r="A304" s="5" t="s">
        <v>1171</v>
      </c>
      <c r="B304" s="11">
        <v>45909</v>
      </c>
      <c r="C304" s="5" t="s">
        <v>155</v>
      </c>
      <c r="D304" s="5" t="s">
        <v>115</v>
      </c>
      <c r="E304" s="5" t="s">
        <v>29</v>
      </c>
      <c r="F304" s="5">
        <v>4</v>
      </c>
      <c r="G304" s="19">
        <v>0.15</v>
      </c>
      <c r="H304" s="5" t="s">
        <v>454</v>
      </c>
      <c r="I304" s="10">
        <f>IF(OR(D304="", F304=""), "", F304 * VLOOKUP(D304, Products!A:E, 5, FALSE) * (1 - G304))</f>
        <v>4236.7739999999994</v>
      </c>
      <c r="J304" s="10"/>
    </row>
    <row r="305" spans="1:10" ht="15.75" customHeight="1" x14ac:dyDescent="0.3">
      <c r="A305" s="5" t="s">
        <v>1172</v>
      </c>
      <c r="B305" s="11">
        <v>45451</v>
      </c>
      <c r="C305" s="5" t="s">
        <v>674</v>
      </c>
      <c r="D305" s="5" t="s">
        <v>95</v>
      </c>
      <c r="E305" s="5" t="s">
        <v>21</v>
      </c>
      <c r="F305" s="5">
        <v>1</v>
      </c>
      <c r="G305" s="19">
        <v>0.15</v>
      </c>
      <c r="H305" s="5" t="s">
        <v>697</v>
      </c>
      <c r="I305" s="10">
        <f>IF(OR(D305="", F305=""), "", F305 * VLOOKUP(D305, Products!A:E, 5, FALSE) * (1 - G305))</f>
        <v>1141.3374999999999</v>
      </c>
      <c r="J305" s="10"/>
    </row>
    <row r="306" spans="1:10" ht="15.75" customHeight="1" x14ac:dyDescent="0.3">
      <c r="A306" s="5" t="s">
        <v>1173</v>
      </c>
      <c r="B306" s="11">
        <v>45573</v>
      </c>
      <c r="C306" s="5" t="s">
        <v>420</v>
      </c>
      <c r="D306" s="5" t="s">
        <v>188</v>
      </c>
      <c r="E306" s="5" t="s">
        <v>29</v>
      </c>
      <c r="F306" s="5">
        <v>4</v>
      </c>
      <c r="G306" s="19">
        <v>0.1</v>
      </c>
      <c r="H306" s="5" t="s">
        <v>776</v>
      </c>
      <c r="I306" s="10">
        <f>IF(OR(D306="", F306=""), "", F306 * VLOOKUP(D306, Products!A:E, 5, FALSE) * (1 - G306))</f>
        <v>5346.18</v>
      </c>
      <c r="J306" s="10"/>
    </row>
    <row r="307" spans="1:10" ht="15.75" customHeight="1" x14ac:dyDescent="0.3">
      <c r="A307" s="5" t="s">
        <v>1174</v>
      </c>
      <c r="B307" s="11">
        <v>45582</v>
      </c>
      <c r="C307" s="5" t="s">
        <v>550</v>
      </c>
      <c r="D307" s="5" t="s">
        <v>43</v>
      </c>
      <c r="E307" s="5" t="s">
        <v>21</v>
      </c>
      <c r="F307" s="5">
        <v>5</v>
      </c>
      <c r="G307" s="19">
        <v>0.05</v>
      </c>
      <c r="H307" s="5" t="s">
        <v>454</v>
      </c>
      <c r="I307" s="10">
        <f>IF(OR(D307="", F307=""), "", F307 * VLOOKUP(D307, Products!A:E, 5, FALSE) * (1 - G307))</f>
        <v>7950.0275000000001</v>
      </c>
      <c r="J307" s="10"/>
    </row>
    <row r="308" spans="1:10" ht="15.75" customHeight="1" x14ac:dyDescent="0.3">
      <c r="A308" s="5" t="s">
        <v>1175</v>
      </c>
      <c r="B308" s="11">
        <v>45852</v>
      </c>
      <c r="C308" s="5" t="s">
        <v>635</v>
      </c>
      <c r="D308" s="5" t="s">
        <v>82</v>
      </c>
      <c r="E308" s="5" t="s">
        <v>29</v>
      </c>
      <c r="F308" s="5">
        <v>1</v>
      </c>
      <c r="G308" s="19">
        <v>0.15</v>
      </c>
      <c r="H308" s="5" t="s">
        <v>637</v>
      </c>
      <c r="I308" s="10">
        <f>IF(OR(D308="", F308=""), "", F308 * VLOOKUP(D308, Products!A:E, 5, FALSE) * (1 - G308))</f>
        <v>1014.1264999999999</v>
      </c>
      <c r="J308" s="10"/>
    </row>
    <row r="309" spans="1:10" ht="15.75" customHeight="1" x14ac:dyDescent="0.3">
      <c r="A309" s="5" t="s">
        <v>1176</v>
      </c>
      <c r="B309" s="11">
        <v>45619</v>
      </c>
      <c r="C309" s="5" t="s">
        <v>865</v>
      </c>
      <c r="D309" s="5" t="s">
        <v>147</v>
      </c>
      <c r="E309" s="5" t="s">
        <v>37</v>
      </c>
      <c r="F309" s="5">
        <v>3</v>
      </c>
      <c r="G309" s="19">
        <v>0</v>
      </c>
      <c r="H309" s="5" t="s">
        <v>697</v>
      </c>
      <c r="I309" s="10">
        <f>IF(OR(D309="", F309=""), "", F309 * VLOOKUP(D309, Products!A:E, 5, FALSE) * (1 - G309))</f>
        <v>5635.41</v>
      </c>
      <c r="J309" s="10"/>
    </row>
    <row r="310" spans="1:10" ht="15.75" customHeight="1" x14ac:dyDescent="0.3">
      <c r="A310" s="5" t="s">
        <v>1177</v>
      </c>
      <c r="B310" s="11">
        <v>45389</v>
      </c>
      <c r="C310" s="5" t="s">
        <v>223</v>
      </c>
      <c r="D310" s="5" t="s">
        <v>285</v>
      </c>
      <c r="E310" s="5" t="s">
        <v>33</v>
      </c>
      <c r="F310" s="5">
        <v>3</v>
      </c>
      <c r="G310" s="19">
        <v>0.1</v>
      </c>
      <c r="H310" s="5" t="s">
        <v>454</v>
      </c>
      <c r="I310" s="10">
        <f>IF(OR(D310="", F310=""), "", F310 * VLOOKUP(D310, Products!A:E, 5, FALSE) * (1 - G310))</f>
        <v>1048.3019999999999</v>
      </c>
      <c r="J310" s="10"/>
    </row>
    <row r="311" spans="1:10" ht="15.75" customHeight="1" x14ac:dyDescent="0.3">
      <c r="A311" s="5" t="s">
        <v>1178</v>
      </c>
      <c r="B311" s="11">
        <v>45258</v>
      </c>
      <c r="C311" s="5" t="s">
        <v>859</v>
      </c>
      <c r="D311" s="5" t="s">
        <v>74</v>
      </c>
      <c r="E311" s="5" t="s">
        <v>25</v>
      </c>
      <c r="F311" s="5">
        <v>2</v>
      </c>
      <c r="G311" s="19">
        <v>0.15</v>
      </c>
      <c r="H311" s="5" t="s">
        <v>776</v>
      </c>
      <c r="I311" s="10">
        <f>IF(OR(D311="", F311=""), "", F311 * VLOOKUP(D311, Products!A:E, 5, FALSE) * (1 - G311))</f>
        <v>2030.0039999999997</v>
      </c>
      <c r="J311" s="10"/>
    </row>
    <row r="312" spans="1:10" ht="15.75" customHeight="1" x14ac:dyDescent="0.3">
      <c r="A312" s="5" t="s">
        <v>1179</v>
      </c>
      <c r="B312" s="11">
        <v>45474</v>
      </c>
      <c r="C312" s="5" t="s">
        <v>149</v>
      </c>
      <c r="D312" s="5" t="s">
        <v>200</v>
      </c>
      <c r="E312" s="5" t="s">
        <v>21</v>
      </c>
      <c r="F312" s="5">
        <v>2</v>
      </c>
      <c r="G312" s="19">
        <v>0.1</v>
      </c>
      <c r="H312" s="5" t="s">
        <v>637</v>
      </c>
      <c r="I312" s="10">
        <f>IF(OR(D312="", F312=""), "", F312 * VLOOKUP(D312, Products!A:E, 5, FALSE) * (1 - G312))</f>
        <v>1972.296</v>
      </c>
      <c r="J312" s="10"/>
    </row>
    <row r="313" spans="1:10" ht="15.75" customHeight="1" x14ac:dyDescent="0.3">
      <c r="A313" s="5" t="s">
        <v>1180</v>
      </c>
      <c r="B313" s="11">
        <v>45665</v>
      </c>
      <c r="C313" s="5" t="s">
        <v>657</v>
      </c>
      <c r="D313" s="5" t="s">
        <v>153</v>
      </c>
      <c r="E313" s="5" t="s">
        <v>33</v>
      </c>
      <c r="F313" s="5">
        <v>2</v>
      </c>
      <c r="G313" s="19">
        <v>0.05</v>
      </c>
      <c r="H313" s="5" t="s">
        <v>454</v>
      </c>
      <c r="I313" s="10">
        <f>IF(OR(D313="", F313=""), "", F313 * VLOOKUP(D313, Products!A:E, 5, FALSE) * (1 - G313))</f>
        <v>2826.0790000000002</v>
      </c>
      <c r="J313" s="10"/>
    </row>
    <row r="314" spans="1:10" ht="15.75" customHeight="1" x14ac:dyDescent="0.3">
      <c r="A314" s="5" t="s">
        <v>1181</v>
      </c>
      <c r="B314" s="11">
        <v>45645</v>
      </c>
      <c r="C314" s="5" t="s">
        <v>736</v>
      </c>
      <c r="D314" s="5" t="s">
        <v>237</v>
      </c>
      <c r="E314" s="5" t="s">
        <v>29</v>
      </c>
      <c r="F314" s="5">
        <v>2</v>
      </c>
      <c r="G314" s="19">
        <v>0.15</v>
      </c>
      <c r="H314" s="5" t="s">
        <v>454</v>
      </c>
      <c r="I314" s="10">
        <f>IF(OR(D314="", F314=""), "", F314 * VLOOKUP(D314, Products!A:E, 5, FALSE) * (1 - G314))</f>
        <v>623.78099999999995</v>
      </c>
      <c r="J314" s="10"/>
    </row>
    <row r="315" spans="1:10" ht="15.75" customHeight="1" x14ac:dyDescent="0.3">
      <c r="A315" s="5" t="s">
        <v>1182</v>
      </c>
      <c r="B315" s="11">
        <v>45760</v>
      </c>
      <c r="C315" s="5" t="s">
        <v>722</v>
      </c>
      <c r="D315" s="5" t="s">
        <v>180</v>
      </c>
      <c r="E315" s="5" t="s">
        <v>29</v>
      </c>
      <c r="F315" s="5">
        <v>5</v>
      </c>
      <c r="G315" s="19">
        <v>0.15</v>
      </c>
      <c r="H315" s="5" t="s">
        <v>454</v>
      </c>
      <c r="I315" s="10">
        <f>IF(OR(D315="", F315=""), "", F315 * VLOOKUP(D315, Products!A:E, 5, FALSE) * (1 - G315))</f>
        <v>2863.5649999999996</v>
      </c>
      <c r="J315" s="10"/>
    </row>
    <row r="316" spans="1:10" ht="15.75" customHeight="1" x14ac:dyDescent="0.3">
      <c r="A316" s="5" t="s">
        <v>1183</v>
      </c>
      <c r="B316" s="11">
        <v>45188</v>
      </c>
      <c r="C316" s="5" t="s">
        <v>618</v>
      </c>
      <c r="D316" s="5" t="s">
        <v>168</v>
      </c>
      <c r="E316" s="5" t="s">
        <v>21</v>
      </c>
      <c r="F316" s="5">
        <v>3</v>
      </c>
      <c r="G316" s="19">
        <v>0.1</v>
      </c>
      <c r="H316" s="5" t="s">
        <v>776</v>
      </c>
      <c r="I316" s="10">
        <f>IF(OR(D316="", F316=""), "", F316 * VLOOKUP(D316, Products!A:E, 5, FALSE) * (1 - G316))</f>
        <v>2742.5519999999997</v>
      </c>
      <c r="J316" s="10"/>
    </row>
    <row r="317" spans="1:10" ht="15.75" customHeight="1" x14ac:dyDescent="0.3">
      <c r="A317" s="5" t="s">
        <v>1184</v>
      </c>
      <c r="B317" s="11">
        <v>45748</v>
      </c>
      <c r="C317" s="5" t="s">
        <v>563</v>
      </c>
      <c r="D317" s="5" t="s">
        <v>50</v>
      </c>
      <c r="E317" s="5" t="s">
        <v>37</v>
      </c>
      <c r="F317" s="5">
        <v>3</v>
      </c>
      <c r="G317" s="19">
        <v>0</v>
      </c>
      <c r="H317" s="5" t="s">
        <v>637</v>
      </c>
      <c r="I317" s="10">
        <f>IF(OR(D317="", F317=""), "", F317 * VLOOKUP(D317, Products!A:E, 5, FALSE) * (1 - G317))</f>
        <v>1012.89</v>
      </c>
      <c r="J317" s="10"/>
    </row>
    <row r="318" spans="1:10" ht="15.75" customHeight="1" x14ac:dyDescent="0.3">
      <c r="A318" s="5" t="s">
        <v>1185</v>
      </c>
      <c r="B318" s="11">
        <v>45715</v>
      </c>
      <c r="C318" s="5" t="s">
        <v>420</v>
      </c>
      <c r="D318" s="5" t="s">
        <v>276</v>
      </c>
      <c r="E318" s="5" t="s">
        <v>37</v>
      </c>
      <c r="F318" s="5">
        <v>5</v>
      </c>
      <c r="G318" s="19">
        <v>0.05</v>
      </c>
      <c r="H318" s="5" t="s">
        <v>776</v>
      </c>
      <c r="I318" s="10">
        <f>IF(OR(D318="", F318=""), "", F318 * VLOOKUP(D318, Products!A:E, 5, FALSE) * (1 - G318))</f>
        <v>5686.6050000000005</v>
      </c>
      <c r="J318" s="10"/>
    </row>
    <row r="319" spans="1:10" ht="15.75" customHeight="1" x14ac:dyDescent="0.3">
      <c r="A319" s="5" t="s">
        <v>1186</v>
      </c>
      <c r="B319" s="11">
        <v>45801</v>
      </c>
      <c r="C319" s="5" t="s">
        <v>715</v>
      </c>
      <c r="D319" s="5" t="s">
        <v>265</v>
      </c>
      <c r="E319" s="5" t="s">
        <v>33</v>
      </c>
      <c r="F319" s="5">
        <v>2</v>
      </c>
      <c r="G319" s="19">
        <v>0.15</v>
      </c>
      <c r="H319" s="5" t="s">
        <v>697</v>
      </c>
      <c r="I319" s="10">
        <f>IF(OR(D319="", F319=""), "", F319 * VLOOKUP(D319, Products!A:E, 5, FALSE) * (1 - G319))</f>
        <v>959.5139999999999</v>
      </c>
      <c r="J319" s="10"/>
    </row>
    <row r="320" spans="1:10" ht="15.75" customHeight="1" x14ac:dyDescent="0.3">
      <c r="A320" s="5" t="s">
        <v>1187</v>
      </c>
      <c r="B320" s="11">
        <v>45693</v>
      </c>
      <c r="C320" s="5" t="s">
        <v>795</v>
      </c>
      <c r="D320" s="5" t="s">
        <v>95</v>
      </c>
      <c r="E320" s="5" t="s">
        <v>25</v>
      </c>
      <c r="F320" s="5">
        <v>1</v>
      </c>
      <c r="G320" s="19">
        <v>0</v>
      </c>
      <c r="H320" s="5" t="s">
        <v>697</v>
      </c>
      <c r="I320" s="10">
        <f>IF(OR(D320="", F320=""), "", F320 * VLOOKUP(D320, Products!A:E, 5, FALSE) * (1 - G320))</f>
        <v>1342.75</v>
      </c>
      <c r="J320" s="10"/>
    </row>
    <row r="321" spans="1:10" ht="15.75" customHeight="1" x14ac:dyDescent="0.3">
      <c r="A321" s="5" t="s">
        <v>1188</v>
      </c>
      <c r="B321" s="11">
        <v>45571</v>
      </c>
      <c r="C321" s="5" t="s">
        <v>100</v>
      </c>
      <c r="D321" s="5" t="s">
        <v>206</v>
      </c>
      <c r="E321" s="5" t="s">
        <v>33</v>
      </c>
      <c r="F321" s="5">
        <v>3</v>
      </c>
      <c r="G321" s="19">
        <v>0.15</v>
      </c>
      <c r="H321" s="5" t="s">
        <v>697</v>
      </c>
      <c r="I321" s="10">
        <f>IF(OR(D321="", F321=""), "", F321 * VLOOKUP(D321, Products!A:E, 5, FALSE) * (1 - G321))</f>
        <v>777.01049999999987</v>
      </c>
      <c r="J321" s="10"/>
    </row>
    <row r="322" spans="1:10" ht="15.75" customHeight="1" x14ac:dyDescent="0.3">
      <c r="A322" s="5" t="s">
        <v>1189</v>
      </c>
      <c r="B322" s="11">
        <v>45604</v>
      </c>
      <c r="C322" s="5" t="s">
        <v>560</v>
      </c>
      <c r="D322" s="5" t="s">
        <v>109</v>
      </c>
      <c r="E322" s="5" t="s">
        <v>25</v>
      </c>
      <c r="F322" s="5">
        <v>4</v>
      </c>
      <c r="G322" s="19">
        <v>0.15</v>
      </c>
      <c r="H322" s="5" t="s">
        <v>776</v>
      </c>
      <c r="I322" s="10">
        <f>IF(OR(D322="", F322=""), "", F322 * VLOOKUP(D322, Products!A:E, 5, FALSE) * (1 - G322))</f>
        <v>6319.75</v>
      </c>
      <c r="J322" s="10"/>
    </row>
    <row r="323" spans="1:10" ht="15.75" customHeight="1" x14ac:dyDescent="0.3">
      <c r="A323" s="5" t="s">
        <v>1190</v>
      </c>
      <c r="B323" s="11">
        <v>45629</v>
      </c>
      <c r="C323" s="5" t="s">
        <v>815</v>
      </c>
      <c r="D323" s="5" t="s">
        <v>119</v>
      </c>
      <c r="E323" s="5" t="s">
        <v>25</v>
      </c>
      <c r="F323" s="5">
        <v>5</v>
      </c>
      <c r="G323" s="19">
        <v>0.05</v>
      </c>
      <c r="H323" s="5" t="s">
        <v>454</v>
      </c>
      <c r="I323" s="10">
        <f>IF(OR(D323="", F323=""), "", F323 * VLOOKUP(D323, Products!A:E, 5, FALSE) * (1 - G323))</f>
        <v>5129.4775000000009</v>
      </c>
      <c r="J323" s="10"/>
    </row>
    <row r="324" spans="1:10" ht="15.75" customHeight="1" x14ac:dyDescent="0.3">
      <c r="A324" s="5" t="s">
        <v>1191</v>
      </c>
      <c r="B324" s="11">
        <v>45772</v>
      </c>
      <c r="C324" s="5" t="s">
        <v>779</v>
      </c>
      <c r="D324" s="5" t="s">
        <v>232</v>
      </c>
      <c r="E324" s="5" t="s">
        <v>33</v>
      </c>
      <c r="F324" s="5">
        <v>5</v>
      </c>
      <c r="G324" s="19">
        <v>0.15</v>
      </c>
      <c r="H324" s="5" t="s">
        <v>454</v>
      </c>
      <c r="I324" s="10">
        <f>IF(OR(D324="", F324=""), "", F324 * VLOOKUP(D324, Products!A:E, 5, FALSE) * (1 - G324))</f>
        <v>8298.7624999999989</v>
      </c>
      <c r="J324" s="10"/>
    </row>
    <row r="325" spans="1:10" ht="15.75" customHeight="1" x14ac:dyDescent="0.3">
      <c r="A325" s="5" t="s">
        <v>1192</v>
      </c>
      <c r="B325" s="11">
        <v>45402</v>
      </c>
      <c r="C325" s="5" t="s">
        <v>330</v>
      </c>
      <c r="D325" s="5" t="s">
        <v>50</v>
      </c>
      <c r="E325" s="5" t="s">
        <v>33</v>
      </c>
      <c r="F325" s="5">
        <v>5</v>
      </c>
      <c r="G325" s="19">
        <v>0.1</v>
      </c>
      <c r="H325" s="5" t="s">
        <v>454</v>
      </c>
      <c r="I325" s="10">
        <f>IF(OR(D325="", F325=""), "", F325 * VLOOKUP(D325, Products!A:E, 5, FALSE) * (1 - G325))</f>
        <v>1519.335</v>
      </c>
      <c r="J325" s="10"/>
    </row>
    <row r="326" spans="1:10" ht="15.75" customHeight="1" x14ac:dyDescent="0.3">
      <c r="A326" s="5" t="s">
        <v>1193</v>
      </c>
      <c r="B326" s="11">
        <v>45289</v>
      </c>
      <c r="C326" s="5" t="s">
        <v>662</v>
      </c>
      <c r="D326" s="5" t="s">
        <v>95</v>
      </c>
      <c r="E326" s="5" t="s">
        <v>29</v>
      </c>
      <c r="F326" s="5">
        <v>5</v>
      </c>
      <c r="G326" s="19">
        <v>0.15</v>
      </c>
      <c r="H326" s="5" t="s">
        <v>697</v>
      </c>
      <c r="I326" s="10">
        <f>IF(OR(D326="", F326=""), "", F326 * VLOOKUP(D326, Products!A:E, 5, FALSE) * (1 - G326))</f>
        <v>5706.6875</v>
      </c>
      <c r="J326" s="10"/>
    </row>
    <row r="327" spans="1:10" ht="15.75" customHeight="1" x14ac:dyDescent="0.3">
      <c r="A327" s="5" t="s">
        <v>1194</v>
      </c>
      <c r="B327" s="11">
        <v>45567</v>
      </c>
      <c r="C327" s="5" t="s">
        <v>405</v>
      </c>
      <c r="D327" s="5" t="s">
        <v>47</v>
      </c>
      <c r="E327" s="5" t="s">
        <v>29</v>
      </c>
      <c r="F327" s="5">
        <v>5</v>
      </c>
      <c r="G327" s="19">
        <v>0.1</v>
      </c>
      <c r="H327" s="5" t="s">
        <v>697</v>
      </c>
      <c r="I327" s="10">
        <f>IF(OR(D327="", F327=""), "", F327 * VLOOKUP(D327, Products!A:E, 5, FALSE) * (1 - G327))</f>
        <v>3684.42</v>
      </c>
      <c r="J327" s="10"/>
    </row>
    <row r="328" spans="1:10" ht="15.75" customHeight="1" x14ac:dyDescent="0.3">
      <c r="A328" s="5" t="s">
        <v>1195</v>
      </c>
      <c r="B328" s="11">
        <v>45835</v>
      </c>
      <c r="C328" s="5" t="s">
        <v>455</v>
      </c>
      <c r="D328" s="5" t="s">
        <v>269</v>
      </c>
      <c r="E328" s="5" t="s">
        <v>29</v>
      </c>
      <c r="F328" s="5">
        <v>2</v>
      </c>
      <c r="G328" s="19">
        <v>0.15</v>
      </c>
      <c r="H328" s="5" t="s">
        <v>454</v>
      </c>
      <c r="I328" s="10">
        <f>IF(OR(D328="", F328=""), "", F328 * VLOOKUP(D328, Products!A:E, 5, FALSE) * (1 - G328))</f>
        <v>3194.4359999999997</v>
      </c>
      <c r="J328" s="10"/>
    </row>
    <row r="329" spans="1:10" ht="15.75" customHeight="1" x14ac:dyDescent="0.3">
      <c r="A329" s="5" t="s">
        <v>1196</v>
      </c>
      <c r="B329" s="11">
        <v>45799</v>
      </c>
      <c r="C329" s="5" t="s">
        <v>620</v>
      </c>
      <c r="D329" s="5" t="s">
        <v>265</v>
      </c>
      <c r="E329" s="5" t="s">
        <v>29</v>
      </c>
      <c r="F329" s="5">
        <v>5</v>
      </c>
      <c r="G329" s="19">
        <v>0.1</v>
      </c>
      <c r="H329" s="5" t="s">
        <v>454</v>
      </c>
      <c r="I329" s="10">
        <f>IF(OR(D329="", F329=""), "", F329 * VLOOKUP(D329, Products!A:E, 5, FALSE) * (1 - G329))</f>
        <v>2539.89</v>
      </c>
      <c r="J329" s="10"/>
    </row>
    <row r="330" spans="1:10" ht="15.75" customHeight="1" x14ac:dyDescent="0.3">
      <c r="A330" s="5" t="s">
        <v>1197</v>
      </c>
      <c r="B330" s="11">
        <v>45639</v>
      </c>
      <c r="C330" s="5" t="s">
        <v>261</v>
      </c>
      <c r="D330" s="5" t="s">
        <v>226</v>
      </c>
      <c r="E330" s="5" t="s">
        <v>37</v>
      </c>
      <c r="F330" s="5">
        <v>5</v>
      </c>
      <c r="G330" s="19">
        <v>0.15</v>
      </c>
      <c r="H330" s="5" t="s">
        <v>637</v>
      </c>
      <c r="I330" s="10">
        <f>IF(OR(D330="", F330=""), "", F330 * VLOOKUP(D330, Products!A:E, 5, FALSE) * (1 - G330))</f>
        <v>6381.2049999999999</v>
      </c>
      <c r="J330" s="10"/>
    </row>
    <row r="331" spans="1:10" ht="15.75" customHeight="1" x14ac:dyDescent="0.3">
      <c r="A331" s="5" t="s">
        <v>1198</v>
      </c>
      <c r="B331" s="11">
        <v>45247</v>
      </c>
      <c r="C331" s="5" t="s">
        <v>499</v>
      </c>
      <c r="D331" s="5" t="s">
        <v>217</v>
      </c>
      <c r="E331" s="5" t="s">
        <v>25</v>
      </c>
      <c r="F331" s="5">
        <v>3</v>
      </c>
      <c r="G331" s="19">
        <v>0</v>
      </c>
      <c r="H331" s="5" t="s">
        <v>454</v>
      </c>
      <c r="I331" s="10">
        <f>IF(OR(D331="", F331=""), "", F331 * VLOOKUP(D331, Products!A:E, 5, FALSE) * (1 - G331))</f>
        <v>1284.1500000000001</v>
      </c>
      <c r="J331" s="10"/>
    </row>
    <row r="332" spans="1:10" ht="15.75" customHeight="1" x14ac:dyDescent="0.3">
      <c r="A332" s="5" t="s">
        <v>1199</v>
      </c>
      <c r="B332" s="11">
        <v>45622</v>
      </c>
      <c r="C332" s="5" t="s">
        <v>823</v>
      </c>
      <c r="D332" s="5" t="s">
        <v>272</v>
      </c>
      <c r="E332" s="5" t="s">
        <v>21</v>
      </c>
      <c r="F332" s="5">
        <v>3</v>
      </c>
      <c r="G332" s="19">
        <v>0.15</v>
      </c>
      <c r="H332" s="5" t="s">
        <v>454</v>
      </c>
      <c r="I332" s="10">
        <f>IF(OR(D332="", F332=""), "", F332 * VLOOKUP(D332, Products!A:E, 5, FALSE) * (1 - G332))</f>
        <v>2971.6934999999999</v>
      </c>
      <c r="J332" s="10"/>
    </row>
    <row r="333" spans="1:10" ht="15.75" customHeight="1" x14ac:dyDescent="0.3">
      <c r="A333" s="5" t="s">
        <v>1200</v>
      </c>
      <c r="B333" s="11">
        <v>45362</v>
      </c>
      <c r="C333" s="5" t="s">
        <v>854</v>
      </c>
      <c r="D333" s="5" t="s">
        <v>47</v>
      </c>
      <c r="E333" s="5" t="s">
        <v>33</v>
      </c>
      <c r="F333" s="5">
        <v>2</v>
      </c>
      <c r="G333" s="19">
        <v>0.05</v>
      </c>
      <c r="H333" s="5" t="s">
        <v>454</v>
      </c>
      <c r="I333" s="10">
        <f>IF(OR(D333="", F333=""), "", F333 * VLOOKUP(D333, Products!A:E, 5, FALSE) * (1 - G333))</f>
        <v>1555.644</v>
      </c>
      <c r="J333" s="10"/>
    </row>
    <row r="334" spans="1:10" ht="15.75" customHeight="1" x14ac:dyDescent="0.3">
      <c r="A334" s="5" t="s">
        <v>1201</v>
      </c>
      <c r="B334" s="11">
        <v>45553</v>
      </c>
      <c r="C334" s="5" t="s">
        <v>695</v>
      </c>
      <c r="D334" s="5" t="s">
        <v>168</v>
      </c>
      <c r="E334" s="5" t="s">
        <v>29</v>
      </c>
      <c r="F334" s="5">
        <v>2</v>
      </c>
      <c r="G334" s="19">
        <v>0</v>
      </c>
      <c r="H334" s="5" t="s">
        <v>697</v>
      </c>
      <c r="I334" s="10">
        <f>IF(OR(D334="", F334=""), "", F334 * VLOOKUP(D334, Products!A:E, 5, FALSE) * (1 - G334))</f>
        <v>2031.52</v>
      </c>
      <c r="J334" s="10"/>
    </row>
    <row r="335" spans="1:10" ht="15.75" customHeight="1" x14ac:dyDescent="0.3">
      <c r="A335" s="5" t="s">
        <v>1202</v>
      </c>
      <c r="B335" s="11">
        <v>45901</v>
      </c>
      <c r="C335" s="5" t="s">
        <v>401</v>
      </c>
      <c r="D335" s="5" t="s">
        <v>168</v>
      </c>
      <c r="E335" s="5" t="s">
        <v>21</v>
      </c>
      <c r="F335" s="5">
        <v>5</v>
      </c>
      <c r="G335" s="19">
        <v>0.05</v>
      </c>
      <c r="H335" s="5" t="s">
        <v>697</v>
      </c>
      <c r="I335" s="10">
        <f>IF(OR(D335="", F335=""), "", F335 * VLOOKUP(D335, Products!A:E, 5, FALSE) * (1 - G335))</f>
        <v>4824.8599999999997</v>
      </c>
      <c r="J335" s="10"/>
    </row>
    <row r="336" spans="1:10" ht="15.75" customHeight="1" x14ac:dyDescent="0.3">
      <c r="A336" s="5" t="s">
        <v>1203</v>
      </c>
      <c r="B336" s="11">
        <v>45591</v>
      </c>
      <c r="C336" s="5" t="s">
        <v>159</v>
      </c>
      <c r="D336" s="5" t="s">
        <v>256</v>
      </c>
      <c r="E336" s="5" t="s">
        <v>21</v>
      </c>
      <c r="F336" s="5">
        <v>4</v>
      </c>
      <c r="G336" s="19">
        <v>0.1</v>
      </c>
      <c r="H336" s="5" t="s">
        <v>637</v>
      </c>
      <c r="I336" s="10">
        <f>IF(OR(D336="", F336=""), "", F336 * VLOOKUP(D336, Products!A:E, 5, FALSE) * (1 - G336))</f>
        <v>5886.0360000000001</v>
      </c>
      <c r="J336" s="10"/>
    </row>
    <row r="337" spans="1:10" ht="15.75" customHeight="1" x14ac:dyDescent="0.3">
      <c r="A337" s="5" t="s">
        <v>1204</v>
      </c>
      <c r="B337" s="11">
        <v>45638</v>
      </c>
      <c r="C337" s="5" t="s">
        <v>229</v>
      </c>
      <c r="D337" s="5" t="s">
        <v>95</v>
      </c>
      <c r="E337" s="5" t="s">
        <v>25</v>
      </c>
      <c r="F337" s="5">
        <v>1</v>
      </c>
      <c r="G337" s="19">
        <v>0.05</v>
      </c>
      <c r="H337" s="5" t="s">
        <v>637</v>
      </c>
      <c r="I337" s="10">
        <f>IF(OR(D337="", F337=""), "", F337 * VLOOKUP(D337, Products!A:E, 5, FALSE) * (1 - G337))</f>
        <v>1275.6125</v>
      </c>
      <c r="J337" s="10"/>
    </row>
    <row r="338" spans="1:10" ht="15.75" customHeight="1" x14ac:dyDescent="0.3">
      <c r="A338" s="5" t="s">
        <v>1205</v>
      </c>
      <c r="B338" s="11">
        <v>45646</v>
      </c>
      <c r="C338" s="5" t="s">
        <v>774</v>
      </c>
      <c r="D338" s="5" t="s">
        <v>265</v>
      </c>
      <c r="E338" s="5" t="s">
        <v>33</v>
      </c>
      <c r="F338" s="5">
        <v>4</v>
      </c>
      <c r="G338" s="19">
        <v>0.05</v>
      </c>
      <c r="H338" s="5" t="s">
        <v>454</v>
      </c>
      <c r="I338" s="10">
        <f>IF(OR(D338="", F338=""), "", F338 * VLOOKUP(D338, Products!A:E, 5, FALSE) * (1 - G338))</f>
        <v>2144.7959999999998</v>
      </c>
      <c r="J338" s="10"/>
    </row>
    <row r="339" spans="1:10" ht="15.75" customHeight="1" x14ac:dyDescent="0.3">
      <c r="A339" s="5" t="s">
        <v>1206</v>
      </c>
      <c r="B339" s="11">
        <v>45596</v>
      </c>
      <c r="C339" s="5" t="s">
        <v>477</v>
      </c>
      <c r="D339" s="5" t="s">
        <v>74</v>
      </c>
      <c r="E339" s="5" t="s">
        <v>29</v>
      </c>
      <c r="F339" s="5">
        <v>1</v>
      </c>
      <c r="G339" s="19">
        <v>0</v>
      </c>
      <c r="H339" s="5" t="s">
        <v>697</v>
      </c>
      <c r="I339" s="10">
        <f>IF(OR(D339="", F339=""), "", F339 * VLOOKUP(D339, Products!A:E, 5, FALSE) * (1 - G339))</f>
        <v>1194.1199999999999</v>
      </c>
      <c r="J339" s="10"/>
    </row>
    <row r="340" spans="1:10" ht="15.75" customHeight="1" x14ac:dyDescent="0.3">
      <c r="A340" s="5" t="s">
        <v>1207</v>
      </c>
      <c r="B340" s="11">
        <v>45395</v>
      </c>
      <c r="C340" s="5" t="s">
        <v>671</v>
      </c>
      <c r="D340" s="5" t="s">
        <v>243</v>
      </c>
      <c r="E340" s="5" t="s">
        <v>21</v>
      </c>
      <c r="F340" s="5">
        <v>2</v>
      </c>
      <c r="G340" s="19">
        <v>0.15</v>
      </c>
      <c r="H340" s="5" t="s">
        <v>697</v>
      </c>
      <c r="I340" s="10">
        <f>IF(OR(D340="", F340=""), "", F340 * VLOOKUP(D340, Products!A:E, 5, FALSE) * (1 - G340))</f>
        <v>919.59800000000007</v>
      </c>
      <c r="J340" s="10"/>
    </row>
    <row r="341" spans="1:10" ht="15.75" customHeight="1" x14ac:dyDescent="0.3">
      <c r="A341" s="5" t="s">
        <v>1208</v>
      </c>
      <c r="B341" s="11">
        <v>45420</v>
      </c>
      <c r="C341" s="5" t="s">
        <v>137</v>
      </c>
      <c r="D341" s="5" t="s">
        <v>74</v>
      </c>
      <c r="E341" s="5" t="s">
        <v>33</v>
      </c>
      <c r="F341" s="5">
        <v>4</v>
      </c>
      <c r="G341" s="19">
        <v>0.05</v>
      </c>
      <c r="H341" s="5" t="s">
        <v>454</v>
      </c>
      <c r="I341" s="10">
        <f>IF(OR(D341="", F341=""), "", F341 * VLOOKUP(D341, Products!A:E, 5, FALSE) * (1 - G341))</f>
        <v>4537.655999999999</v>
      </c>
      <c r="J341" s="10"/>
    </row>
    <row r="342" spans="1:10" ht="15.75" customHeight="1" x14ac:dyDescent="0.3">
      <c r="A342" s="5" t="s">
        <v>1209</v>
      </c>
      <c r="B342" s="11">
        <v>45254</v>
      </c>
      <c r="C342" s="5" t="s">
        <v>137</v>
      </c>
      <c r="D342" s="5" t="s">
        <v>291</v>
      </c>
      <c r="E342" s="5" t="s">
        <v>21</v>
      </c>
      <c r="F342" s="5">
        <v>3</v>
      </c>
      <c r="G342" s="19">
        <v>0</v>
      </c>
      <c r="H342" s="5" t="s">
        <v>454</v>
      </c>
      <c r="I342" s="10">
        <f>IF(OR(D342="", F342=""), "", F342 * VLOOKUP(D342, Products!A:E, 5, FALSE) * (1 - G342))</f>
        <v>3133.92</v>
      </c>
      <c r="J342" s="10"/>
    </row>
    <row r="343" spans="1:10" ht="15.75" customHeight="1" x14ac:dyDescent="0.3">
      <c r="A343" s="5" t="s">
        <v>1210</v>
      </c>
      <c r="B343" s="11">
        <v>45846</v>
      </c>
      <c r="C343" s="5" t="s">
        <v>440</v>
      </c>
      <c r="D343" s="5" t="s">
        <v>232</v>
      </c>
      <c r="E343" s="5" t="s">
        <v>33</v>
      </c>
      <c r="F343" s="5">
        <v>5</v>
      </c>
      <c r="G343" s="19">
        <v>0.15</v>
      </c>
      <c r="H343" s="5" t="s">
        <v>697</v>
      </c>
      <c r="I343" s="10">
        <f>IF(OR(D343="", F343=""), "", F343 * VLOOKUP(D343, Products!A:E, 5, FALSE) * (1 - G343))</f>
        <v>8298.7624999999989</v>
      </c>
      <c r="J343" s="10"/>
    </row>
    <row r="344" spans="1:10" ht="15.75" customHeight="1" x14ac:dyDescent="0.3">
      <c r="A344" s="5" t="s">
        <v>1211</v>
      </c>
      <c r="B344" s="11">
        <v>45619</v>
      </c>
      <c r="C344" s="5" t="s">
        <v>645</v>
      </c>
      <c r="D344" s="5" t="s">
        <v>140</v>
      </c>
      <c r="E344" s="5" t="s">
        <v>33</v>
      </c>
      <c r="F344" s="5">
        <v>3</v>
      </c>
      <c r="G344" s="19">
        <v>0.05</v>
      </c>
      <c r="H344" s="5" t="s">
        <v>776</v>
      </c>
      <c r="I344" s="10">
        <f>IF(OR(D344="", F344=""), "", F344 * VLOOKUP(D344, Products!A:E, 5, FALSE) * (1 - G344))</f>
        <v>72.874499999999998</v>
      </c>
      <c r="J344" s="10"/>
    </row>
    <row r="345" spans="1:10" ht="15.75" customHeight="1" x14ac:dyDescent="0.3">
      <c r="A345" s="5" t="s">
        <v>1212</v>
      </c>
      <c r="B345" s="11">
        <v>45708</v>
      </c>
      <c r="C345" s="5" t="s">
        <v>484</v>
      </c>
      <c r="D345" s="5" t="s">
        <v>269</v>
      </c>
      <c r="E345" s="5" t="s">
        <v>25</v>
      </c>
      <c r="F345" s="5">
        <v>4</v>
      </c>
      <c r="G345" s="19">
        <v>0.1</v>
      </c>
      <c r="H345" s="5" t="s">
        <v>697</v>
      </c>
      <c r="I345" s="10">
        <f>IF(OR(D345="", F345=""), "", F345 * VLOOKUP(D345, Products!A:E, 5, FALSE) * (1 - G345))</f>
        <v>6764.6880000000001</v>
      </c>
      <c r="J345" s="10"/>
    </row>
    <row r="346" spans="1:10" ht="15.75" customHeight="1" x14ac:dyDescent="0.3">
      <c r="A346" s="5" t="s">
        <v>1213</v>
      </c>
      <c r="B346" s="11">
        <v>45899</v>
      </c>
      <c r="C346" s="5" t="s">
        <v>91</v>
      </c>
      <c r="D346" s="5" t="s">
        <v>212</v>
      </c>
      <c r="E346" s="5" t="s">
        <v>29</v>
      </c>
      <c r="F346" s="5">
        <v>3</v>
      </c>
      <c r="G346" s="19">
        <v>0.05</v>
      </c>
      <c r="H346" s="5" t="s">
        <v>697</v>
      </c>
      <c r="I346" s="10">
        <f>IF(OR(D346="", F346=""), "", F346 * VLOOKUP(D346, Products!A:E, 5, FALSE) * (1 - G346))</f>
        <v>5127.0644999999995</v>
      </c>
      <c r="J346" s="10"/>
    </row>
    <row r="347" spans="1:10" ht="15.75" customHeight="1" x14ac:dyDescent="0.3">
      <c r="A347" s="5" t="s">
        <v>1214</v>
      </c>
      <c r="B347" s="11">
        <v>45744</v>
      </c>
      <c r="C347" s="5" t="s">
        <v>736</v>
      </c>
      <c r="D347" s="5" t="s">
        <v>95</v>
      </c>
      <c r="E347" s="5" t="s">
        <v>33</v>
      </c>
      <c r="F347" s="5">
        <v>4</v>
      </c>
      <c r="G347" s="19">
        <v>0.1</v>
      </c>
      <c r="H347" s="5" t="s">
        <v>776</v>
      </c>
      <c r="I347" s="10">
        <f>IF(OR(D347="", F347=""), "", F347 * VLOOKUP(D347, Products!A:E, 5, FALSE) * (1 - G347))</f>
        <v>4833.9000000000005</v>
      </c>
      <c r="J347" s="10"/>
    </row>
    <row r="348" spans="1:10" ht="15.75" customHeight="1" x14ac:dyDescent="0.3">
      <c r="A348" s="5" t="s">
        <v>1215</v>
      </c>
      <c r="B348" s="11">
        <v>45719</v>
      </c>
      <c r="C348" s="5" t="s">
        <v>550</v>
      </c>
      <c r="D348" s="5" t="s">
        <v>193</v>
      </c>
      <c r="E348" s="5" t="s">
        <v>21</v>
      </c>
      <c r="F348" s="5">
        <v>2</v>
      </c>
      <c r="G348" s="19">
        <v>0.05</v>
      </c>
      <c r="H348" s="5" t="s">
        <v>637</v>
      </c>
      <c r="I348" s="10">
        <f>IF(OR(D348="", F348=""), "", F348 * VLOOKUP(D348, Products!A:E, 5, FALSE) * (1 - G348))</f>
        <v>55.555999999999997</v>
      </c>
      <c r="J348" s="10"/>
    </row>
    <row r="349" spans="1:10" ht="15.75" customHeight="1" x14ac:dyDescent="0.3">
      <c r="A349" s="5" t="s">
        <v>1216</v>
      </c>
      <c r="B349" s="11">
        <v>45726</v>
      </c>
      <c r="C349" s="5" t="s">
        <v>477</v>
      </c>
      <c r="D349" s="5" t="s">
        <v>162</v>
      </c>
      <c r="E349" s="5" t="s">
        <v>25</v>
      </c>
      <c r="F349" s="5">
        <v>1</v>
      </c>
      <c r="G349" s="19">
        <v>0.1</v>
      </c>
      <c r="H349" s="5" t="s">
        <v>637</v>
      </c>
      <c r="I349" s="10">
        <f>IF(OR(D349="", F349=""), "", F349 * VLOOKUP(D349, Products!A:E, 5, FALSE) * (1 - G349))</f>
        <v>386.23500000000001</v>
      </c>
      <c r="J349" s="10"/>
    </row>
    <row r="350" spans="1:10" ht="15.75" customHeight="1" x14ac:dyDescent="0.3">
      <c r="A350" s="5" t="s">
        <v>1217</v>
      </c>
      <c r="B350" s="11">
        <v>45850</v>
      </c>
      <c r="C350" s="5" t="s">
        <v>393</v>
      </c>
      <c r="D350" s="5" t="s">
        <v>162</v>
      </c>
      <c r="E350" s="5" t="s">
        <v>33</v>
      </c>
      <c r="F350" s="5">
        <v>3</v>
      </c>
      <c r="G350" s="19">
        <v>0.1</v>
      </c>
      <c r="H350" s="5" t="s">
        <v>454</v>
      </c>
      <c r="I350" s="10">
        <f>IF(OR(D350="", F350=""), "", F350 * VLOOKUP(D350, Products!A:E, 5, FALSE) * (1 - G350))</f>
        <v>1158.7049999999999</v>
      </c>
      <c r="J350" s="10"/>
    </row>
    <row r="351" spans="1:10" ht="15.75" customHeight="1" x14ac:dyDescent="0.3">
      <c r="A351" s="5" t="s">
        <v>1218</v>
      </c>
      <c r="B351" s="11">
        <v>45651</v>
      </c>
      <c r="C351" s="5" t="s">
        <v>715</v>
      </c>
      <c r="D351" s="5" t="s">
        <v>103</v>
      </c>
      <c r="E351" s="5" t="s">
        <v>37</v>
      </c>
      <c r="F351" s="5">
        <v>1</v>
      </c>
      <c r="G351" s="19">
        <v>0.1</v>
      </c>
      <c r="H351" s="5" t="s">
        <v>454</v>
      </c>
      <c r="I351" s="10">
        <f>IF(OR(D351="", F351=""), "", F351 * VLOOKUP(D351, Products!A:E, 5, FALSE) * (1 - G351))</f>
        <v>243.405</v>
      </c>
      <c r="J351" s="10"/>
    </row>
    <row r="352" spans="1:10" ht="15.75" customHeight="1" x14ac:dyDescent="0.3">
      <c r="A352" s="5" t="s">
        <v>1219</v>
      </c>
      <c r="B352" s="11">
        <v>45650</v>
      </c>
      <c r="C352" s="5" t="s">
        <v>805</v>
      </c>
      <c r="D352" s="5" t="s">
        <v>276</v>
      </c>
      <c r="E352" s="5" t="s">
        <v>25</v>
      </c>
      <c r="F352" s="5">
        <v>1</v>
      </c>
      <c r="G352" s="19">
        <v>0</v>
      </c>
      <c r="H352" s="5" t="s">
        <v>637</v>
      </c>
      <c r="I352" s="10">
        <f>IF(OR(D352="", F352=""), "", F352 * VLOOKUP(D352, Products!A:E, 5, FALSE) * (1 - G352))</f>
        <v>1197.18</v>
      </c>
      <c r="J352" s="10"/>
    </row>
    <row r="353" spans="1:10" ht="15.75" customHeight="1" x14ac:dyDescent="0.3">
      <c r="A353" s="5" t="s">
        <v>1220</v>
      </c>
      <c r="B353" s="11">
        <v>45295</v>
      </c>
      <c r="C353" s="5" t="s">
        <v>462</v>
      </c>
      <c r="D353" s="5" t="s">
        <v>77</v>
      </c>
      <c r="E353" s="5" t="s">
        <v>25</v>
      </c>
      <c r="F353" s="5">
        <v>4</v>
      </c>
      <c r="G353" s="19">
        <v>0.1</v>
      </c>
      <c r="H353" s="5" t="s">
        <v>776</v>
      </c>
      <c r="I353" s="10">
        <f>IF(OR(D353="", F353=""), "", F353 * VLOOKUP(D353, Products!A:E, 5, FALSE) * (1 - G353))</f>
        <v>894.85199999999998</v>
      </c>
      <c r="J353" s="10"/>
    </row>
    <row r="354" spans="1:10" ht="15.75" customHeight="1" x14ac:dyDescent="0.3">
      <c r="A354" s="5" t="s">
        <v>1221</v>
      </c>
      <c r="B354" s="11">
        <v>45730</v>
      </c>
      <c r="C354" s="5" t="s">
        <v>758</v>
      </c>
      <c r="D354" s="5" t="s">
        <v>103</v>
      </c>
      <c r="E354" s="5" t="s">
        <v>29</v>
      </c>
      <c r="F354" s="5">
        <v>3</v>
      </c>
      <c r="G354" s="19">
        <v>0.05</v>
      </c>
      <c r="H354" s="5" t="s">
        <v>697</v>
      </c>
      <c r="I354" s="10">
        <f>IF(OR(D354="", F354=""), "", F354 * VLOOKUP(D354, Products!A:E, 5, FALSE) * (1 - G354))</f>
        <v>770.78249999999991</v>
      </c>
      <c r="J354" s="10"/>
    </row>
    <row r="355" spans="1:10" ht="15.75" customHeight="1" x14ac:dyDescent="0.3">
      <c r="A355" s="5" t="s">
        <v>1222</v>
      </c>
      <c r="B355" s="11">
        <v>45284</v>
      </c>
      <c r="C355" s="5" t="s">
        <v>286</v>
      </c>
      <c r="D355" s="5" t="s">
        <v>243</v>
      </c>
      <c r="E355" s="5" t="s">
        <v>33</v>
      </c>
      <c r="F355" s="5">
        <v>2</v>
      </c>
      <c r="G355" s="19">
        <v>0.15</v>
      </c>
      <c r="H355" s="5" t="s">
        <v>454</v>
      </c>
      <c r="I355" s="10">
        <f>IF(OR(D355="", F355=""), "", F355 * VLOOKUP(D355, Products!A:E, 5, FALSE) * (1 - G355))</f>
        <v>919.59800000000007</v>
      </c>
      <c r="J355" s="10"/>
    </row>
    <row r="356" spans="1:10" ht="15.75" customHeight="1" x14ac:dyDescent="0.3">
      <c r="A356" s="5" t="s">
        <v>1223</v>
      </c>
      <c r="B356" s="11">
        <v>45185</v>
      </c>
      <c r="C356" s="5" t="s">
        <v>563</v>
      </c>
      <c r="D356" s="5" t="s">
        <v>200</v>
      </c>
      <c r="E356" s="5" t="s">
        <v>37</v>
      </c>
      <c r="F356" s="5">
        <v>4</v>
      </c>
      <c r="G356" s="19">
        <v>0.05</v>
      </c>
      <c r="H356" s="5" t="s">
        <v>697</v>
      </c>
      <c r="I356" s="10">
        <f>IF(OR(D356="", F356=""), "", F356 * VLOOKUP(D356, Products!A:E, 5, FALSE) * (1 - G356))</f>
        <v>4163.7359999999999</v>
      </c>
      <c r="J356" s="10"/>
    </row>
    <row r="357" spans="1:10" ht="15.75" customHeight="1" x14ac:dyDescent="0.3">
      <c r="A357" s="5" t="s">
        <v>1224</v>
      </c>
      <c r="B357" s="11">
        <v>45898</v>
      </c>
      <c r="C357" s="5" t="s">
        <v>795</v>
      </c>
      <c r="D357" s="5" t="s">
        <v>291</v>
      </c>
      <c r="E357" s="5" t="s">
        <v>37</v>
      </c>
      <c r="F357" s="5">
        <v>1</v>
      </c>
      <c r="G357" s="19">
        <v>0.15</v>
      </c>
      <c r="H357" s="5" t="s">
        <v>454</v>
      </c>
      <c r="I357" s="10">
        <f>IF(OR(D357="", F357=""), "", F357 * VLOOKUP(D357, Products!A:E, 5, FALSE) * (1 - G357))</f>
        <v>887.94400000000007</v>
      </c>
      <c r="J357" s="10"/>
    </row>
    <row r="358" spans="1:10" ht="15.75" customHeight="1" x14ac:dyDescent="0.3">
      <c r="A358" s="5" t="s">
        <v>1225</v>
      </c>
      <c r="B358" s="11">
        <v>45524</v>
      </c>
      <c r="C358" s="5" t="s">
        <v>191</v>
      </c>
      <c r="D358" s="5" t="s">
        <v>103</v>
      </c>
      <c r="E358" s="5" t="s">
        <v>37</v>
      </c>
      <c r="F358" s="5">
        <v>1</v>
      </c>
      <c r="G358" s="19">
        <v>0</v>
      </c>
      <c r="H358" s="5" t="s">
        <v>697</v>
      </c>
      <c r="I358" s="10">
        <f>IF(OR(D358="", F358=""), "", F358 * VLOOKUP(D358, Products!A:E, 5, FALSE) * (1 - G358))</f>
        <v>270.45</v>
      </c>
      <c r="J358" s="10"/>
    </row>
    <row r="359" spans="1:10" ht="15.75" customHeight="1" x14ac:dyDescent="0.3">
      <c r="A359" s="5" t="s">
        <v>1226</v>
      </c>
      <c r="B359" s="11">
        <v>45227</v>
      </c>
      <c r="C359" s="5" t="s">
        <v>705</v>
      </c>
      <c r="D359" s="5" t="s">
        <v>285</v>
      </c>
      <c r="E359" s="5" t="s">
        <v>37</v>
      </c>
      <c r="F359" s="5">
        <v>2</v>
      </c>
      <c r="G359" s="19">
        <v>0.05</v>
      </c>
      <c r="H359" s="5" t="s">
        <v>454</v>
      </c>
      <c r="I359" s="10">
        <f>IF(OR(D359="", F359=""), "", F359 * VLOOKUP(D359, Products!A:E, 5, FALSE) * (1 - G359))</f>
        <v>737.69399999999996</v>
      </c>
      <c r="J359" s="10"/>
    </row>
    <row r="360" spans="1:10" ht="15.75" customHeight="1" x14ac:dyDescent="0.3">
      <c r="A360" s="5" t="s">
        <v>1227</v>
      </c>
      <c r="B360" s="11">
        <v>45738</v>
      </c>
      <c r="C360" s="5" t="s">
        <v>661</v>
      </c>
      <c r="D360" s="5" t="s">
        <v>61</v>
      </c>
      <c r="E360" s="5" t="s">
        <v>33</v>
      </c>
      <c r="F360" s="5">
        <v>1</v>
      </c>
      <c r="G360" s="19">
        <v>0.05</v>
      </c>
      <c r="H360" s="5" t="s">
        <v>637</v>
      </c>
      <c r="I360" s="10">
        <f>IF(OR(D360="", F360=""), "", F360 * VLOOKUP(D360, Products!A:E, 5, FALSE) * (1 - G360))</f>
        <v>302.14749999999998</v>
      </c>
      <c r="J360" s="10"/>
    </row>
    <row r="361" spans="1:10" ht="15.75" customHeight="1" x14ac:dyDescent="0.3">
      <c r="A361" s="5" t="s">
        <v>1228</v>
      </c>
      <c r="B361" s="11">
        <v>45321</v>
      </c>
      <c r="C361" s="5" t="s">
        <v>215</v>
      </c>
      <c r="D361" s="5" t="s">
        <v>67</v>
      </c>
      <c r="E361" s="5" t="s">
        <v>37</v>
      </c>
      <c r="F361" s="5">
        <v>4</v>
      </c>
      <c r="G361" s="19">
        <v>0</v>
      </c>
      <c r="H361" s="5" t="s">
        <v>637</v>
      </c>
      <c r="I361" s="10">
        <f>IF(OR(D361="", F361=""), "", F361 * VLOOKUP(D361, Products!A:E, 5, FALSE) * (1 - G361))</f>
        <v>439.12</v>
      </c>
      <c r="J361" s="10"/>
    </row>
    <row r="362" spans="1:10" ht="15.75" customHeight="1" x14ac:dyDescent="0.3">
      <c r="A362" s="5" t="s">
        <v>1229</v>
      </c>
      <c r="B362" s="11">
        <v>45887</v>
      </c>
      <c r="C362" s="5" t="s">
        <v>281</v>
      </c>
      <c r="D362" s="5" t="s">
        <v>77</v>
      </c>
      <c r="E362" s="5" t="s">
        <v>37</v>
      </c>
      <c r="F362" s="5">
        <v>4</v>
      </c>
      <c r="G362" s="19">
        <v>0.15</v>
      </c>
      <c r="H362" s="5" t="s">
        <v>776</v>
      </c>
      <c r="I362" s="10">
        <f>IF(OR(D362="", F362=""), "", F362 * VLOOKUP(D362, Products!A:E, 5, FALSE) * (1 - G362))</f>
        <v>845.13799999999992</v>
      </c>
      <c r="J362" s="10"/>
    </row>
    <row r="363" spans="1:10" ht="15.75" customHeight="1" x14ac:dyDescent="0.3">
      <c r="A363" s="5" t="s">
        <v>1230</v>
      </c>
      <c r="B363" s="11">
        <v>45460</v>
      </c>
      <c r="C363" s="5" t="s">
        <v>695</v>
      </c>
      <c r="D363" s="5" t="s">
        <v>168</v>
      </c>
      <c r="E363" s="5" t="s">
        <v>33</v>
      </c>
      <c r="F363" s="5">
        <v>3</v>
      </c>
      <c r="G363" s="19">
        <v>0</v>
      </c>
      <c r="H363" s="5" t="s">
        <v>637</v>
      </c>
      <c r="I363" s="10">
        <f>IF(OR(D363="", F363=""), "", F363 * VLOOKUP(D363, Products!A:E, 5, FALSE) * (1 - G363))</f>
        <v>3047.2799999999997</v>
      </c>
      <c r="J363" s="10"/>
    </row>
    <row r="364" spans="1:10" ht="15.75" customHeight="1" x14ac:dyDescent="0.3">
      <c r="A364" s="5" t="s">
        <v>1231</v>
      </c>
      <c r="B364" s="11">
        <v>45544</v>
      </c>
      <c r="C364" s="5" t="s">
        <v>412</v>
      </c>
      <c r="D364" s="5" t="s">
        <v>119</v>
      </c>
      <c r="E364" s="5" t="s">
        <v>21</v>
      </c>
      <c r="F364" s="5">
        <v>2</v>
      </c>
      <c r="G364" s="19">
        <v>0</v>
      </c>
      <c r="H364" s="5" t="s">
        <v>776</v>
      </c>
      <c r="I364" s="10">
        <f>IF(OR(D364="", F364=""), "", F364 * VLOOKUP(D364, Products!A:E, 5, FALSE) * (1 - G364))</f>
        <v>2159.7800000000002</v>
      </c>
      <c r="J364" s="10"/>
    </row>
    <row r="365" spans="1:10" ht="15.75" customHeight="1" x14ac:dyDescent="0.3">
      <c r="A365" s="5" t="s">
        <v>1232</v>
      </c>
      <c r="B365" s="11">
        <v>45471</v>
      </c>
      <c r="C365" s="5" t="s">
        <v>571</v>
      </c>
      <c r="D365" s="5" t="s">
        <v>153</v>
      </c>
      <c r="E365" s="5" t="s">
        <v>29</v>
      </c>
      <c r="F365" s="5">
        <v>1</v>
      </c>
      <c r="G365" s="19">
        <v>0</v>
      </c>
      <c r="H365" s="5" t="s">
        <v>776</v>
      </c>
      <c r="I365" s="10">
        <f>IF(OR(D365="", F365=""), "", F365 * VLOOKUP(D365, Products!A:E, 5, FALSE) * (1 - G365))</f>
        <v>1487.41</v>
      </c>
      <c r="J365" s="10"/>
    </row>
    <row r="366" spans="1:10" ht="15.75" customHeight="1" x14ac:dyDescent="0.3">
      <c r="A366" s="5" t="s">
        <v>1233</v>
      </c>
      <c r="B366" s="11">
        <v>45458</v>
      </c>
      <c r="C366" s="5" t="s">
        <v>615</v>
      </c>
      <c r="D366" s="5" t="s">
        <v>269</v>
      </c>
      <c r="E366" s="5" t="s">
        <v>21</v>
      </c>
      <c r="F366" s="5">
        <v>3</v>
      </c>
      <c r="G366" s="19">
        <v>0.15</v>
      </c>
      <c r="H366" s="5" t="s">
        <v>697</v>
      </c>
      <c r="I366" s="10">
        <f>IF(OR(D366="", F366=""), "", F366 * VLOOKUP(D366, Products!A:E, 5, FALSE) * (1 - G366))</f>
        <v>4791.6539999999995</v>
      </c>
      <c r="J366" s="10"/>
    </row>
    <row r="367" spans="1:10" ht="15.75" customHeight="1" x14ac:dyDescent="0.3">
      <c r="A367" s="5" t="s">
        <v>1234</v>
      </c>
      <c r="B367" s="11">
        <v>45675</v>
      </c>
      <c r="C367" s="5" t="s">
        <v>869</v>
      </c>
      <c r="D367" s="5" t="s">
        <v>217</v>
      </c>
      <c r="E367" s="5" t="s">
        <v>25</v>
      </c>
      <c r="F367" s="5">
        <v>4</v>
      </c>
      <c r="G367" s="19">
        <v>0.1</v>
      </c>
      <c r="H367" s="5" t="s">
        <v>637</v>
      </c>
      <c r="I367" s="10">
        <f>IF(OR(D367="", F367=""), "", F367 * VLOOKUP(D367, Products!A:E, 5, FALSE) * (1 - G367))</f>
        <v>1540.98</v>
      </c>
      <c r="J367" s="10"/>
    </row>
    <row r="368" spans="1:10" ht="15.75" customHeight="1" x14ac:dyDescent="0.3">
      <c r="A368" s="5" t="s">
        <v>1235</v>
      </c>
      <c r="B368" s="11">
        <v>45330</v>
      </c>
      <c r="C368" s="5" t="s">
        <v>593</v>
      </c>
      <c r="D368" s="5" t="s">
        <v>57</v>
      </c>
      <c r="E368" s="5" t="s">
        <v>33</v>
      </c>
      <c r="F368" s="5">
        <v>4</v>
      </c>
      <c r="G368" s="19">
        <v>0</v>
      </c>
      <c r="H368" s="5" t="s">
        <v>697</v>
      </c>
      <c r="I368" s="10">
        <f>IF(OR(D368="", F368=""), "", F368 * VLOOKUP(D368, Products!A:E, 5, FALSE) * (1 - G368))</f>
        <v>5584.88</v>
      </c>
      <c r="J368" s="10"/>
    </row>
    <row r="369" spans="1:10" ht="15.75" customHeight="1" x14ac:dyDescent="0.3">
      <c r="A369" s="5" t="s">
        <v>1236</v>
      </c>
      <c r="B369" s="11">
        <v>45225</v>
      </c>
      <c r="C369" s="5" t="s">
        <v>774</v>
      </c>
      <c r="D369" s="5" t="s">
        <v>267</v>
      </c>
      <c r="E369" s="5" t="s">
        <v>29</v>
      </c>
      <c r="F369" s="5">
        <v>1</v>
      </c>
      <c r="G369" s="19">
        <v>0.05</v>
      </c>
      <c r="H369" s="5" t="s">
        <v>637</v>
      </c>
      <c r="I369" s="10">
        <f>IF(OR(D369="", F369=""), "", F369 * VLOOKUP(D369, Products!A:E, 5, FALSE) * (1 - G369))</f>
        <v>1222.2224999999999</v>
      </c>
      <c r="J369" s="10"/>
    </row>
    <row r="370" spans="1:10" ht="15.75" customHeight="1" x14ac:dyDescent="0.3">
      <c r="A370" s="5" t="s">
        <v>1237</v>
      </c>
      <c r="B370" s="11">
        <v>45879</v>
      </c>
      <c r="C370" s="5" t="s">
        <v>669</v>
      </c>
      <c r="D370" s="5" t="s">
        <v>122</v>
      </c>
      <c r="E370" s="5" t="s">
        <v>25</v>
      </c>
      <c r="F370" s="5">
        <v>2</v>
      </c>
      <c r="G370" s="19">
        <v>0</v>
      </c>
      <c r="H370" s="5" t="s">
        <v>776</v>
      </c>
      <c r="I370" s="10">
        <f>IF(OR(D370="", F370=""), "", F370 * VLOOKUP(D370, Products!A:E, 5, FALSE) * (1 - G370))</f>
        <v>3525.84</v>
      </c>
      <c r="J370" s="10"/>
    </row>
    <row r="371" spans="1:10" ht="15.75" customHeight="1" x14ac:dyDescent="0.3">
      <c r="A371" s="5" t="s">
        <v>1238</v>
      </c>
      <c r="B371" s="11">
        <v>45640</v>
      </c>
      <c r="C371" s="5" t="s">
        <v>455</v>
      </c>
      <c r="D371" s="5" t="s">
        <v>74</v>
      </c>
      <c r="E371" s="5" t="s">
        <v>33</v>
      </c>
      <c r="F371" s="5">
        <v>5</v>
      </c>
      <c r="G371" s="19">
        <v>0.15</v>
      </c>
      <c r="H371" s="5" t="s">
        <v>637</v>
      </c>
      <c r="I371" s="10">
        <f>IF(OR(D371="", F371=""), "", F371 * VLOOKUP(D371, Products!A:E, 5, FALSE) * (1 - G371))</f>
        <v>5075.0099999999993</v>
      </c>
      <c r="J371" s="10"/>
    </row>
    <row r="372" spans="1:10" ht="15.75" customHeight="1" x14ac:dyDescent="0.3">
      <c r="A372" s="5" t="s">
        <v>1239</v>
      </c>
      <c r="B372" s="11">
        <v>45386</v>
      </c>
      <c r="C372" s="5" t="s">
        <v>387</v>
      </c>
      <c r="D372" s="5" t="s">
        <v>221</v>
      </c>
      <c r="E372" s="5" t="s">
        <v>25</v>
      </c>
      <c r="F372" s="5">
        <v>4</v>
      </c>
      <c r="G372" s="19">
        <v>0.1</v>
      </c>
      <c r="H372" s="5" t="s">
        <v>697</v>
      </c>
      <c r="I372" s="10">
        <f>IF(OR(D372="", F372=""), "", F372 * VLOOKUP(D372, Products!A:E, 5, FALSE) * (1 - G372))</f>
        <v>5624.7480000000005</v>
      </c>
      <c r="J372" s="10"/>
    </row>
    <row r="373" spans="1:10" ht="15.75" customHeight="1" x14ac:dyDescent="0.3">
      <c r="A373" s="5" t="s">
        <v>1240</v>
      </c>
      <c r="B373" s="11">
        <v>45533</v>
      </c>
      <c r="C373" s="5" t="s">
        <v>433</v>
      </c>
      <c r="D373" s="5" t="s">
        <v>95</v>
      </c>
      <c r="E373" s="5" t="s">
        <v>25</v>
      </c>
      <c r="F373" s="5">
        <v>1</v>
      </c>
      <c r="G373" s="19">
        <v>0</v>
      </c>
      <c r="H373" s="5" t="s">
        <v>637</v>
      </c>
      <c r="I373" s="10">
        <f>IF(OR(D373="", F373=""), "", F373 * VLOOKUP(D373, Products!A:E, 5, FALSE) * (1 - G373))</f>
        <v>1342.75</v>
      </c>
      <c r="J373" s="10"/>
    </row>
    <row r="374" spans="1:10" ht="15.75" customHeight="1" x14ac:dyDescent="0.3">
      <c r="A374" s="5" t="s">
        <v>1241</v>
      </c>
      <c r="B374" s="11">
        <v>45791</v>
      </c>
      <c r="C374" s="5" t="s">
        <v>740</v>
      </c>
      <c r="D374" s="5" t="s">
        <v>168</v>
      </c>
      <c r="E374" s="5" t="s">
        <v>21</v>
      </c>
      <c r="F374" s="5">
        <v>2</v>
      </c>
      <c r="G374" s="19">
        <v>0.05</v>
      </c>
      <c r="H374" s="5" t="s">
        <v>776</v>
      </c>
      <c r="I374" s="10">
        <f>IF(OR(D374="", F374=""), "", F374 * VLOOKUP(D374, Products!A:E, 5, FALSE) * (1 - G374))</f>
        <v>1929.944</v>
      </c>
      <c r="J374" s="10"/>
    </row>
    <row r="375" spans="1:10" ht="15.75" customHeight="1" x14ac:dyDescent="0.3">
      <c r="A375" s="5" t="s">
        <v>1242</v>
      </c>
      <c r="B375" s="11">
        <v>45857</v>
      </c>
      <c r="C375" s="5" t="s">
        <v>229</v>
      </c>
      <c r="D375" s="5" t="s">
        <v>89</v>
      </c>
      <c r="E375" s="5" t="s">
        <v>37</v>
      </c>
      <c r="F375" s="5">
        <v>1</v>
      </c>
      <c r="G375" s="19">
        <v>0.15</v>
      </c>
      <c r="H375" s="5" t="s">
        <v>776</v>
      </c>
      <c r="I375" s="10">
        <f>IF(OR(D375="", F375=""), "", F375 * VLOOKUP(D375, Products!A:E, 5, FALSE) * (1 - G375))</f>
        <v>964.57999999999993</v>
      </c>
      <c r="J375" s="10"/>
    </row>
    <row r="376" spans="1:10" ht="15.75" customHeight="1" x14ac:dyDescent="0.3">
      <c r="A376" s="5" t="s">
        <v>1243</v>
      </c>
      <c r="B376" s="11">
        <v>45241</v>
      </c>
      <c r="C376" s="5" t="s">
        <v>401</v>
      </c>
      <c r="D376" s="5" t="s">
        <v>162</v>
      </c>
      <c r="E376" s="5" t="s">
        <v>21</v>
      </c>
      <c r="F376" s="5">
        <v>4</v>
      </c>
      <c r="G376" s="19">
        <v>0.15</v>
      </c>
      <c r="H376" s="5" t="s">
        <v>697</v>
      </c>
      <c r="I376" s="10">
        <f>IF(OR(D376="", F376=""), "", F376 * VLOOKUP(D376, Products!A:E, 5, FALSE) * (1 - G376))</f>
        <v>1459.11</v>
      </c>
      <c r="J376" s="10"/>
    </row>
    <row r="377" spans="1:10" ht="15.75" customHeight="1" x14ac:dyDescent="0.3">
      <c r="A377" s="5" t="s">
        <v>1244</v>
      </c>
      <c r="B377" s="11">
        <v>45805</v>
      </c>
      <c r="C377" s="5" t="s">
        <v>676</v>
      </c>
      <c r="D377" s="5" t="s">
        <v>243</v>
      </c>
      <c r="E377" s="5" t="s">
        <v>25</v>
      </c>
      <c r="F377" s="5">
        <v>1</v>
      </c>
      <c r="G377" s="19">
        <v>0.05</v>
      </c>
      <c r="H377" s="5" t="s">
        <v>454</v>
      </c>
      <c r="I377" s="10">
        <f>IF(OR(D377="", F377=""), "", F377 * VLOOKUP(D377, Products!A:E, 5, FALSE) * (1 - G377))</f>
        <v>513.89300000000003</v>
      </c>
      <c r="J377" s="10"/>
    </row>
    <row r="378" spans="1:10" ht="15.75" customHeight="1" x14ac:dyDescent="0.3">
      <c r="A378" s="5" t="s">
        <v>1245</v>
      </c>
      <c r="B378" s="11">
        <v>45435</v>
      </c>
      <c r="C378" s="5" t="s">
        <v>389</v>
      </c>
      <c r="D378" s="5" t="s">
        <v>193</v>
      </c>
      <c r="E378" s="5" t="s">
        <v>37</v>
      </c>
      <c r="F378" s="5">
        <v>3</v>
      </c>
      <c r="G378" s="19">
        <v>0.1</v>
      </c>
      <c r="H378" s="5" t="s">
        <v>697</v>
      </c>
      <c r="I378" s="10">
        <f>IF(OR(D378="", F378=""), "", F378 * VLOOKUP(D378, Products!A:E, 5, FALSE) * (1 - G378))</f>
        <v>78.948000000000008</v>
      </c>
      <c r="J378" s="10"/>
    </row>
    <row r="379" spans="1:10" ht="15.75" customHeight="1" x14ac:dyDescent="0.3">
      <c r="A379" s="5" t="s">
        <v>1246</v>
      </c>
      <c r="B379" s="11">
        <v>45709</v>
      </c>
      <c r="C379" s="5" t="s">
        <v>458</v>
      </c>
      <c r="D379" s="5" t="s">
        <v>217</v>
      </c>
      <c r="E379" s="5" t="s">
        <v>25</v>
      </c>
      <c r="F379" s="5">
        <v>5</v>
      </c>
      <c r="G379" s="19">
        <v>0.05</v>
      </c>
      <c r="H379" s="5" t="s">
        <v>637</v>
      </c>
      <c r="I379" s="10">
        <f>IF(OR(D379="", F379=""), "", F379 * VLOOKUP(D379, Products!A:E, 5, FALSE) * (1 - G379))</f>
        <v>2033.2375</v>
      </c>
      <c r="J379" s="10"/>
    </row>
    <row r="380" spans="1:10" ht="15.75" customHeight="1" x14ac:dyDescent="0.3">
      <c r="A380" s="5" t="s">
        <v>1247</v>
      </c>
      <c r="B380" s="11">
        <v>45335</v>
      </c>
      <c r="C380" s="5" t="s">
        <v>455</v>
      </c>
      <c r="D380" s="5" t="s">
        <v>57</v>
      </c>
      <c r="E380" s="5" t="s">
        <v>29</v>
      </c>
      <c r="F380" s="5">
        <v>1</v>
      </c>
      <c r="G380" s="19">
        <v>0.05</v>
      </c>
      <c r="H380" s="5" t="s">
        <v>637</v>
      </c>
      <c r="I380" s="10">
        <f>IF(OR(D380="", F380=""), "", F380 * VLOOKUP(D380, Products!A:E, 5, FALSE) * (1 - G380))</f>
        <v>1326.4089999999999</v>
      </c>
      <c r="J380" s="10"/>
    </row>
    <row r="381" spans="1:10" ht="15.75" customHeight="1" x14ac:dyDescent="0.3">
      <c r="A381" s="5" t="s">
        <v>1248</v>
      </c>
      <c r="B381" s="11">
        <v>45704</v>
      </c>
      <c r="C381" s="5" t="s">
        <v>691</v>
      </c>
      <c r="D381" s="5" t="s">
        <v>74</v>
      </c>
      <c r="E381" s="5" t="s">
        <v>33</v>
      </c>
      <c r="F381" s="5">
        <v>1</v>
      </c>
      <c r="G381" s="19">
        <v>0.1</v>
      </c>
      <c r="H381" s="5" t="s">
        <v>637</v>
      </c>
      <c r="I381" s="10">
        <f>IF(OR(D381="", F381=""), "", F381 * VLOOKUP(D381, Products!A:E, 5, FALSE) * (1 - G381))</f>
        <v>1074.7079999999999</v>
      </c>
      <c r="J381" s="10"/>
    </row>
    <row r="382" spans="1:10" ht="15.75" customHeight="1" x14ac:dyDescent="0.3">
      <c r="A382" s="5" t="s">
        <v>1249</v>
      </c>
      <c r="B382" s="11">
        <v>45583</v>
      </c>
      <c r="C382" s="5" t="s">
        <v>665</v>
      </c>
      <c r="D382" s="5" t="s">
        <v>265</v>
      </c>
      <c r="E382" s="5" t="s">
        <v>29</v>
      </c>
      <c r="F382" s="5">
        <v>4</v>
      </c>
      <c r="G382" s="19">
        <v>0.15</v>
      </c>
      <c r="H382" s="5" t="s">
        <v>697</v>
      </c>
      <c r="I382" s="10">
        <f>IF(OR(D382="", F382=""), "", F382 * VLOOKUP(D382, Products!A:E, 5, FALSE) * (1 - G382))</f>
        <v>1919.0279999999998</v>
      </c>
      <c r="J382" s="10"/>
    </row>
    <row r="383" spans="1:10" ht="15.75" customHeight="1" x14ac:dyDescent="0.3">
      <c r="A383" s="5" t="s">
        <v>1250</v>
      </c>
      <c r="B383" s="11">
        <v>45500</v>
      </c>
      <c r="C383" s="5" t="s">
        <v>455</v>
      </c>
      <c r="D383" s="5" t="s">
        <v>134</v>
      </c>
      <c r="E383" s="5" t="s">
        <v>33</v>
      </c>
      <c r="F383" s="5">
        <v>2</v>
      </c>
      <c r="G383" s="19">
        <v>0.15</v>
      </c>
      <c r="H383" s="5" t="s">
        <v>697</v>
      </c>
      <c r="I383" s="10">
        <f>IF(OR(D383="", F383=""), "", F383 * VLOOKUP(D383, Products!A:E, 5, FALSE) * (1 - G383))</f>
        <v>2086.308</v>
      </c>
      <c r="J383" s="10"/>
    </row>
    <row r="384" spans="1:10" ht="15.75" customHeight="1" x14ac:dyDescent="0.3">
      <c r="A384" s="5" t="s">
        <v>1251</v>
      </c>
      <c r="B384" s="11">
        <v>45714</v>
      </c>
      <c r="C384" s="5" t="s">
        <v>380</v>
      </c>
      <c r="D384" s="5" t="s">
        <v>232</v>
      </c>
      <c r="E384" s="5" t="s">
        <v>29</v>
      </c>
      <c r="F384" s="5">
        <v>2</v>
      </c>
      <c r="G384" s="19">
        <v>0.15</v>
      </c>
      <c r="H384" s="5" t="s">
        <v>776</v>
      </c>
      <c r="I384" s="10">
        <f>IF(OR(D384="", F384=""), "", F384 * VLOOKUP(D384, Products!A:E, 5, FALSE) * (1 - G384))</f>
        <v>3319.5050000000001</v>
      </c>
      <c r="J384" s="10"/>
    </row>
    <row r="385" spans="1:10" ht="15.75" customHeight="1" x14ac:dyDescent="0.3">
      <c r="A385" s="5" t="s">
        <v>1252</v>
      </c>
      <c r="B385" s="11">
        <v>45776</v>
      </c>
      <c r="C385" s="5" t="s">
        <v>695</v>
      </c>
      <c r="D385" s="5" t="s">
        <v>65</v>
      </c>
      <c r="E385" s="5" t="s">
        <v>33</v>
      </c>
      <c r="F385" s="5">
        <v>4</v>
      </c>
      <c r="G385" s="19">
        <v>0.05</v>
      </c>
      <c r="H385" s="5" t="s">
        <v>637</v>
      </c>
      <c r="I385" s="10">
        <f>IF(OR(D385="", F385=""), "", F385 * VLOOKUP(D385, Products!A:E, 5, FALSE) * (1 - G385))</f>
        <v>5601.655999999999</v>
      </c>
      <c r="J385" s="10"/>
    </row>
    <row r="386" spans="1:10" ht="15.75" customHeight="1" x14ac:dyDescent="0.3">
      <c r="A386" s="5" t="s">
        <v>1253</v>
      </c>
      <c r="B386" s="11">
        <v>45616</v>
      </c>
      <c r="C386" s="5" t="s">
        <v>401</v>
      </c>
      <c r="D386" s="5" t="s">
        <v>65</v>
      </c>
      <c r="E386" s="5" t="s">
        <v>29</v>
      </c>
      <c r="F386" s="5">
        <v>2</v>
      </c>
      <c r="G386" s="19">
        <v>0.1</v>
      </c>
      <c r="H386" s="5" t="s">
        <v>776</v>
      </c>
      <c r="I386" s="10">
        <f>IF(OR(D386="", F386=""), "", F386 * VLOOKUP(D386, Products!A:E, 5, FALSE) * (1 - G386))</f>
        <v>2653.4159999999997</v>
      </c>
      <c r="J386" s="10"/>
    </row>
    <row r="387" spans="1:10" ht="15.75" customHeight="1" x14ac:dyDescent="0.3">
      <c r="A387" s="5" t="s">
        <v>1254</v>
      </c>
      <c r="B387" s="11">
        <v>45490</v>
      </c>
      <c r="C387" s="5" t="s">
        <v>597</v>
      </c>
      <c r="D387" s="5" t="s">
        <v>265</v>
      </c>
      <c r="E387" s="5" t="s">
        <v>29</v>
      </c>
      <c r="F387" s="5">
        <v>1</v>
      </c>
      <c r="G387" s="19">
        <v>0.05</v>
      </c>
      <c r="H387" s="5" t="s">
        <v>776</v>
      </c>
      <c r="I387" s="10">
        <f>IF(OR(D387="", F387=""), "", F387 * VLOOKUP(D387, Products!A:E, 5, FALSE) * (1 - G387))</f>
        <v>536.19899999999996</v>
      </c>
      <c r="J387" s="10"/>
    </row>
    <row r="388" spans="1:10" ht="15.75" customHeight="1" x14ac:dyDescent="0.3">
      <c r="A388" s="5" t="s">
        <v>1255</v>
      </c>
      <c r="B388" s="11">
        <v>45397</v>
      </c>
      <c r="C388" s="5" t="s">
        <v>425</v>
      </c>
      <c r="D388" s="5" t="s">
        <v>77</v>
      </c>
      <c r="E388" s="5" t="s">
        <v>33</v>
      </c>
      <c r="F388" s="5">
        <v>5</v>
      </c>
      <c r="G388" s="19">
        <v>0</v>
      </c>
      <c r="H388" s="5" t="s">
        <v>776</v>
      </c>
      <c r="I388" s="10">
        <f>IF(OR(D388="", F388=""), "", F388 * VLOOKUP(D388, Products!A:E, 5, FALSE) * (1 - G388))</f>
        <v>1242.8499999999999</v>
      </c>
      <c r="J388" s="10"/>
    </row>
    <row r="389" spans="1:10" ht="15.75" customHeight="1" x14ac:dyDescent="0.3">
      <c r="A389" s="5" t="s">
        <v>1256</v>
      </c>
      <c r="B389" s="11">
        <v>45254</v>
      </c>
      <c r="C389" s="5" t="s">
        <v>346</v>
      </c>
      <c r="D389" s="5" t="s">
        <v>153</v>
      </c>
      <c r="E389" s="5" t="s">
        <v>37</v>
      </c>
      <c r="F389" s="5">
        <v>5</v>
      </c>
      <c r="G389" s="19">
        <v>0.05</v>
      </c>
      <c r="H389" s="5" t="s">
        <v>637</v>
      </c>
      <c r="I389" s="10">
        <f>IF(OR(D389="", F389=""), "", F389 * VLOOKUP(D389, Products!A:E, 5, FALSE) * (1 - G389))</f>
        <v>7065.1975000000002</v>
      </c>
      <c r="J389" s="10"/>
    </row>
    <row r="390" spans="1:10" ht="15.75" customHeight="1" x14ac:dyDescent="0.3">
      <c r="A390" s="5" t="s">
        <v>1257</v>
      </c>
      <c r="B390" s="11">
        <v>45584</v>
      </c>
      <c r="C390" s="5" t="s">
        <v>365</v>
      </c>
      <c r="D390" s="5" t="s">
        <v>128</v>
      </c>
      <c r="E390" s="5" t="s">
        <v>29</v>
      </c>
      <c r="F390" s="5">
        <v>3</v>
      </c>
      <c r="G390" s="19">
        <v>0</v>
      </c>
      <c r="H390" s="5" t="s">
        <v>697</v>
      </c>
      <c r="I390" s="10">
        <f>IF(OR(D390="", F390=""), "", F390 * VLOOKUP(D390, Products!A:E, 5, FALSE) * (1 - G390))</f>
        <v>971.76</v>
      </c>
      <c r="J390" s="10"/>
    </row>
    <row r="391" spans="1:10" ht="15.75" customHeight="1" x14ac:dyDescent="0.3">
      <c r="A391" s="5" t="s">
        <v>1258</v>
      </c>
      <c r="B391" s="11">
        <v>45818</v>
      </c>
      <c r="C391" s="5" t="s">
        <v>346</v>
      </c>
      <c r="D391" s="5" t="s">
        <v>280</v>
      </c>
      <c r="E391" s="5" t="s">
        <v>21</v>
      </c>
      <c r="F391" s="5">
        <v>4</v>
      </c>
      <c r="G391" s="19">
        <v>0.05</v>
      </c>
      <c r="H391" s="5" t="s">
        <v>697</v>
      </c>
      <c r="I391" s="10">
        <f>IF(OR(D391="", F391=""), "", F391 * VLOOKUP(D391, Products!A:E, 5, FALSE) * (1 - G391))</f>
        <v>4622.1679999999997</v>
      </c>
      <c r="J391" s="10"/>
    </row>
    <row r="392" spans="1:10" ht="15.75" customHeight="1" x14ac:dyDescent="0.3">
      <c r="A392" s="5" t="s">
        <v>1259</v>
      </c>
      <c r="B392" s="11">
        <v>45575</v>
      </c>
      <c r="C392" s="5" t="s">
        <v>546</v>
      </c>
      <c r="D392" s="5" t="s">
        <v>57</v>
      </c>
      <c r="E392" s="5" t="s">
        <v>25</v>
      </c>
      <c r="F392" s="5">
        <v>5</v>
      </c>
      <c r="G392" s="19">
        <v>0.1</v>
      </c>
      <c r="H392" s="5" t="s">
        <v>454</v>
      </c>
      <c r="I392" s="10">
        <f>IF(OR(D392="", F392=""), "", F392 * VLOOKUP(D392, Products!A:E, 5, FALSE) * (1 - G392))</f>
        <v>6282.9900000000007</v>
      </c>
      <c r="J392" s="10"/>
    </row>
    <row r="393" spans="1:10" ht="15.75" customHeight="1" x14ac:dyDescent="0.3">
      <c r="A393" s="5" t="s">
        <v>1260</v>
      </c>
      <c r="B393" s="11">
        <v>45574</v>
      </c>
      <c r="C393" s="5" t="s">
        <v>532</v>
      </c>
      <c r="D393" s="5" t="s">
        <v>256</v>
      </c>
      <c r="E393" s="5" t="s">
        <v>33</v>
      </c>
      <c r="F393" s="5">
        <v>5</v>
      </c>
      <c r="G393" s="19">
        <v>0.1</v>
      </c>
      <c r="H393" s="5" t="s">
        <v>454</v>
      </c>
      <c r="I393" s="10">
        <f>IF(OR(D393="", F393=""), "", F393 * VLOOKUP(D393, Products!A:E, 5, FALSE) * (1 - G393))</f>
        <v>7357.5450000000001</v>
      </c>
      <c r="J393" s="10"/>
    </row>
    <row r="394" spans="1:10" ht="15.75" customHeight="1" x14ac:dyDescent="0.3">
      <c r="A394" s="5" t="s">
        <v>1261</v>
      </c>
      <c r="B394" s="11">
        <v>45649</v>
      </c>
      <c r="C394" s="5" t="s">
        <v>416</v>
      </c>
      <c r="D394" s="5" t="s">
        <v>200</v>
      </c>
      <c r="E394" s="5" t="s">
        <v>29</v>
      </c>
      <c r="F394" s="5">
        <v>5</v>
      </c>
      <c r="G394" s="19">
        <v>0.15</v>
      </c>
      <c r="H394" s="5" t="s">
        <v>637</v>
      </c>
      <c r="I394" s="10">
        <f>IF(OR(D394="", F394=""), "", F394 * VLOOKUP(D394, Products!A:E, 5, FALSE) * (1 - G394))</f>
        <v>4656.8100000000004</v>
      </c>
      <c r="J394" s="10"/>
    </row>
    <row r="395" spans="1:10" ht="15.75" customHeight="1" x14ac:dyDescent="0.3">
      <c r="A395" s="5" t="s">
        <v>1262</v>
      </c>
      <c r="B395" s="11">
        <v>45419</v>
      </c>
      <c r="C395" s="5" t="s">
        <v>229</v>
      </c>
      <c r="D395" s="5" t="s">
        <v>43</v>
      </c>
      <c r="E395" s="5" t="s">
        <v>33</v>
      </c>
      <c r="F395" s="5">
        <v>3</v>
      </c>
      <c r="G395" s="19">
        <v>0.05</v>
      </c>
      <c r="H395" s="5" t="s">
        <v>454</v>
      </c>
      <c r="I395" s="10">
        <f>IF(OR(D395="", F395=""), "", F395 * VLOOKUP(D395, Products!A:E, 5, FALSE) * (1 - G395))</f>
        <v>4770.0164999999997</v>
      </c>
      <c r="J395" s="10"/>
    </row>
    <row r="396" spans="1:10" ht="15.75" customHeight="1" x14ac:dyDescent="0.3">
      <c r="A396" s="5" t="s">
        <v>1263</v>
      </c>
      <c r="B396" s="11">
        <v>45642</v>
      </c>
      <c r="C396" s="5" t="s">
        <v>470</v>
      </c>
      <c r="D396" s="5" t="s">
        <v>162</v>
      </c>
      <c r="E396" s="5" t="s">
        <v>33</v>
      </c>
      <c r="F396" s="5">
        <v>1</v>
      </c>
      <c r="G396" s="19">
        <v>0.05</v>
      </c>
      <c r="H396" s="5" t="s">
        <v>697</v>
      </c>
      <c r="I396" s="10">
        <f>IF(OR(D396="", F396=""), "", F396 * VLOOKUP(D396, Products!A:E, 5, FALSE) * (1 - G396))</f>
        <v>407.69249999999994</v>
      </c>
      <c r="J396" s="10"/>
    </row>
    <row r="397" spans="1:10" ht="15.75" customHeight="1" x14ac:dyDescent="0.3">
      <c r="A397" s="5" t="s">
        <v>1264</v>
      </c>
      <c r="B397" s="11">
        <v>45498</v>
      </c>
      <c r="C397" s="5" t="s">
        <v>100</v>
      </c>
      <c r="D397" s="5" t="s">
        <v>285</v>
      </c>
      <c r="E397" s="5" t="s">
        <v>29</v>
      </c>
      <c r="F397" s="5">
        <v>5</v>
      </c>
      <c r="G397" s="19">
        <v>0.15</v>
      </c>
      <c r="H397" s="5" t="s">
        <v>454</v>
      </c>
      <c r="I397" s="10">
        <f>IF(OR(D397="", F397=""), "", F397 * VLOOKUP(D397, Products!A:E, 5, FALSE) * (1 - G397))</f>
        <v>1650.105</v>
      </c>
      <c r="J397" s="10"/>
    </row>
    <row r="398" spans="1:10" ht="15.75" customHeight="1" x14ac:dyDescent="0.3">
      <c r="A398" s="5" t="s">
        <v>1265</v>
      </c>
      <c r="B398" s="11">
        <v>45247</v>
      </c>
      <c r="C398" s="5" t="s">
        <v>308</v>
      </c>
      <c r="D398" s="5" t="s">
        <v>188</v>
      </c>
      <c r="E398" s="5" t="s">
        <v>25</v>
      </c>
      <c r="F398" s="5">
        <v>3</v>
      </c>
      <c r="G398" s="19">
        <v>0.05</v>
      </c>
      <c r="H398" s="5" t="s">
        <v>637</v>
      </c>
      <c r="I398" s="10">
        <f>IF(OR(D398="", F398=""), "", F398 * VLOOKUP(D398, Products!A:E, 5, FALSE) * (1 - G398))</f>
        <v>4232.392499999999</v>
      </c>
      <c r="J398" s="10"/>
    </row>
    <row r="399" spans="1:10" ht="15.75" customHeight="1" x14ac:dyDescent="0.3">
      <c r="A399" s="5" t="s">
        <v>1266</v>
      </c>
      <c r="B399" s="11">
        <v>45579</v>
      </c>
      <c r="C399" s="5" t="s">
        <v>703</v>
      </c>
      <c r="D399" s="5" t="s">
        <v>70</v>
      </c>
      <c r="E399" s="5" t="s">
        <v>25</v>
      </c>
      <c r="F399" s="5">
        <v>4</v>
      </c>
      <c r="G399" s="19">
        <v>0.1</v>
      </c>
      <c r="H399" s="5" t="s">
        <v>454</v>
      </c>
      <c r="I399" s="10">
        <f>IF(OR(D399="", F399=""), "", F399 * VLOOKUP(D399, Products!A:E, 5, FALSE) * (1 - G399))</f>
        <v>443.48399999999998</v>
      </c>
      <c r="J399" s="10"/>
    </row>
    <row r="400" spans="1:10" ht="15.75" customHeight="1" x14ac:dyDescent="0.3">
      <c r="A400" s="5" t="s">
        <v>1267</v>
      </c>
      <c r="B400" s="11">
        <v>45203</v>
      </c>
      <c r="C400" s="5" t="s">
        <v>865</v>
      </c>
      <c r="D400" s="5" t="s">
        <v>115</v>
      </c>
      <c r="E400" s="5" t="s">
        <v>33</v>
      </c>
      <c r="F400" s="5">
        <v>4</v>
      </c>
      <c r="G400" s="19">
        <v>0.15</v>
      </c>
      <c r="H400" s="5" t="s">
        <v>697</v>
      </c>
      <c r="I400" s="10">
        <f>IF(OR(D400="", F400=""), "", F400 * VLOOKUP(D400, Products!A:E, 5, FALSE) * (1 - G400))</f>
        <v>4236.7739999999994</v>
      </c>
      <c r="J400" s="10"/>
    </row>
    <row r="401" spans="1:10" ht="15.75" customHeight="1" x14ac:dyDescent="0.3">
      <c r="A401" s="5" t="s">
        <v>1268</v>
      </c>
      <c r="B401" s="11">
        <v>45315</v>
      </c>
      <c r="C401" s="5" t="s">
        <v>840</v>
      </c>
      <c r="D401" s="5" t="s">
        <v>61</v>
      </c>
      <c r="E401" s="5" t="s">
        <v>29</v>
      </c>
      <c r="F401" s="5">
        <v>2</v>
      </c>
      <c r="G401" s="19">
        <v>0.05</v>
      </c>
      <c r="H401" s="5" t="s">
        <v>637</v>
      </c>
      <c r="I401" s="10">
        <f>IF(OR(D401="", F401=""), "", F401 * VLOOKUP(D401, Products!A:E, 5, FALSE) * (1 - G401))</f>
        <v>604.29499999999996</v>
      </c>
      <c r="J401" s="10"/>
    </row>
    <row r="402" spans="1:10" ht="15.75" customHeight="1" x14ac:dyDescent="0.3">
      <c r="A402" s="5" t="s">
        <v>1269</v>
      </c>
      <c r="B402" s="11">
        <v>45500</v>
      </c>
      <c r="C402" s="5" t="s">
        <v>342</v>
      </c>
      <c r="D402" s="5" t="s">
        <v>276</v>
      </c>
      <c r="E402" s="5" t="s">
        <v>37</v>
      </c>
      <c r="F402" s="5">
        <v>1</v>
      </c>
      <c r="G402" s="19">
        <v>0</v>
      </c>
      <c r="H402" s="5" t="s">
        <v>776</v>
      </c>
      <c r="I402" s="10">
        <f>IF(OR(D402="", F402=""), "", F402 * VLOOKUP(D402, Products!A:E, 5, FALSE) * (1 - G402))</f>
        <v>1197.18</v>
      </c>
      <c r="J402" s="10"/>
    </row>
    <row r="403" spans="1:10" ht="15.75" customHeight="1" x14ac:dyDescent="0.3">
      <c r="A403" s="5" t="s">
        <v>1270</v>
      </c>
      <c r="B403" s="11">
        <v>45790</v>
      </c>
      <c r="C403" s="5" t="s">
        <v>786</v>
      </c>
      <c r="D403" s="5" t="s">
        <v>134</v>
      </c>
      <c r="E403" s="5" t="s">
        <v>21</v>
      </c>
      <c r="F403" s="5">
        <v>1</v>
      </c>
      <c r="G403" s="19">
        <v>0.15</v>
      </c>
      <c r="H403" s="5" t="s">
        <v>697</v>
      </c>
      <c r="I403" s="10">
        <f>IF(OR(D403="", F403=""), "", F403 * VLOOKUP(D403, Products!A:E, 5, FALSE) * (1 - G403))</f>
        <v>1043.154</v>
      </c>
      <c r="J403" s="10"/>
    </row>
    <row r="404" spans="1:10" ht="15.75" customHeight="1" x14ac:dyDescent="0.3">
      <c r="A404" s="5" t="s">
        <v>1271</v>
      </c>
      <c r="B404" s="11">
        <v>45416</v>
      </c>
      <c r="C404" s="5" t="s">
        <v>752</v>
      </c>
      <c r="D404" s="5" t="s">
        <v>188</v>
      </c>
      <c r="E404" s="5" t="s">
        <v>25</v>
      </c>
      <c r="F404" s="5">
        <v>1</v>
      </c>
      <c r="G404" s="19">
        <v>0.05</v>
      </c>
      <c r="H404" s="5" t="s">
        <v>776</v>
      </c>
      <c r="I404" s="10">
        <f>IF(OR(D404="", F404=""), "", F404 * VLOOKUP(D404, Products!A:E, 5, FALSE) * (1 - G404))</f>
        <v>1410.7974999999999</v>
      </c>
      <c r="J404" s="10"/>
    </row>
    <row r="405" spans="1:10" ht="15.75" customHeight="1" x14ac:dyDescent="0.3">
      <c r="A405" s="5" t="s">
        <v>1272</v>
      </c>
      <c r="B405" s="11">
        <v>45677</v>
      </c>
      <c r="C405" s="5" t="s">
        <v>372</v>
      </c>
      <c r="D405" s="5" t="s">
        <v>280</v>
      </c>
      <c r="E405" s="5" t="s">
        <v>37</v>
      </c>
      <c r="F405" s="5">
        <v>4</v>
      </c>
      <c r="G405" s="19">
        <v>0.1</v>
      </c>
      <c r="H405" s="5" t="s">
        <v>776</v>
      </c>
      <c r="I405" s="10">
        <f>IF(OR(D405="", F405=""), "", F405 * VLOOKUP(D405, Products!A:E, 5, FALSE) * (1 - G405))</f>
        <v>4378.8959999999997</v>
      </c>
      <c r="J405" s="10"/>
    </row>
    <row r="406" spans="1:10" ht="15.75" customHeight="1" x14ac:dyDescent="0.3">
      <c r="A406" s="5" t="s">
        <v>1273</v>
      </c>
      <c r="B406" s="11">
        <v>45510</v>
      </c>
      <c r="C406" s="5" t="s">
        <v>744</v>
      </c>
      <c r="D406" s="5" t="s">
        <v>140</v>
      </c>
      <c r="E406" s="5" t="s">
        <v>37</v>
      </c>
      <c r="F406" s="5">
        <v>4</v>
      </c>
      <c r="G406" s="19">
        <v>0.15</v>
      </c>
      <c r="H406" s="5" t="s">
        <v>776</v>
      </c>
      <c r="I406" s="10">
        <f>IF(OR(D406="", F406=""), "", F406 * VLOOKUP(D406, Products!A:E, 5, FALSE) * (1 - G406))</f>
        <v>86.938000000000002</v>
      </c>
      <c r="J406" s="10"/>
    </row>
    <row r="407" spans="1:10" ht="15.75" customHeight="1" x14ac:dyDescent="0.3">
      <c r="A407" s="5" t="s">
        <v>1274</v>
      </c>
      <c r="B407" s="11">
        <v>45798</v>
      </c>
      <c r="C407" s="5" t="s">
        <v>69</v>
      </c>
      <c r="D407" s="5" t="s">
        <v>200</v>
      </c>
      <c r="E407" s="5" t="s">
        <v>37</v>
      </c>
      <c r="F407" s="5">
        <v>5</v>
      </c>
      <c r="G407" s="19">
        <v>0.15</v>
      </c>
      <c r="H407" s="5" t="s">
        <v>776</v>
      </c>
      <c r="I407" s="10">
        <f>IF(OR(D407="", F407=""), "", F407 * VLOOKUP(D407, Products!A:E, 5, FALSE) * (1 - G407))</f>
        <v>4656.8100000000004</v>
      </c>
      <c r="J407" s="10"/>
    </row>
    <row r="408" spans="1:10" ht="15.75" customHeight="1" x14ac:dyDescent="0.3">
      <c r="A408" s="5" t="s">
        <v>1275</v>
      </c>
      <c r="B408" s="11">
        <v>45821</v>
      </c>
      <c r="C408" s="5" t="s">
        <v>100</v>
      </c>
      <c r="D408" s="5" t="s">
        <v>217</v>
      </c>
      <c r="E408" s="5" t="s">
        <v>37</v>
      </c>
      <c r="F408" s="5">
        <v>3</v>
      </c>
      <c r="G408" s="19">
        <v>0.1</v>
      </c>
      <c r="H408" s="5" t="s">
        <v>776</v>
      </c>
      <c r="I408" s="10">
        <f>IF(OR(D408="", F408=""), "", F408 * VLOOKUP(D408, Products!A:E, 5, FALSE) * (1 - G408))</f>
        <v>1155.7350000000001</v>
      </c>
      <c r="J408" s="10"/>
    </row>
    <row r="409" spans="1:10" ht="15.75" customHeight="1" x14ac:dyDescent="0.3">
      <c r="A409" s="5" t="s">
        <v>1276</v>
      </c>
      <c r="B409" s="11">
        <v>45648</v>
      </c>
      <c r="C409" s="5" t="s">
        <v>641</v>
      </c>
      <c r="D409" s="5" t="s">
        <v>103</v>
      </c>
      <c r="E409" s="5" t="s">
        <v>33</v>
      </c>
      <c r="F409" s="5">
        <v>2</v>
      </c>
      <c r="G409" s="19">
        <v>0</v>
      </c>
      <c r="H409" s="5" t="s">
        <v>776</v>
      </c>
      <c r="I409" s="10">
        <f>IF(OR(D409="", F409=""), "", F409 * VLOOKUP(D409, Products!A:E, 5, FALSE) * (1 - G409))</f>
        <v>540.9</v>
      </c>
      <c r="J409" s="10"/>
    </row>
    <row r="410" spans="1:10" ht="15.75" customHeight="1" x14ac:dyDescent="0.3">
      <c r="A410" s="5" t="s">
        <v>1277</v>
      </c>
      <c r="B410" s="11">
        <v>45678</v>
      </c>
      <c r="C410" s="5" t="s">
        <v>665</v>
      </c>
      <c r="D410" s="5" t="s">
        <v>232</v>
      </c>
      <c r="E410" s="5" t="s">
        <v>25</v>
      </c>
      <c r="F410" s="5">
        <v>2</v>
      </c>
      <c r="G410" s="19">
        <v>0.05</v>
      </c>
      <c r="H410" s="5" t="s">
        <v>454</v>
      </c>
      <c r="I410" s="10">
        <f>IF(OR(D410="", F410=""), "", F410 * VLOOKUP(D410, Products!A:E, 5, FALSE) * (1 - G410))</f>
        <v>3710.0349999999999</v>
      </c>
      <c r="J410" s="10"/>
    </row>
    <row r="411" spans="1:10" ht="15.75" customHeight="1" x14ac:dyDescent="0.3">
      <c r="A411" s="5" t="s">
        <v>1278</v>
      </c>
      <c r="B411" s="11">
        <v>45430</v>
      </c>
      <c r="C411" s="5" t="s">
        <v>507</v>
      </c>
      <c r="D411" s="5" t="s">
        <v>280</v>
      </c>
      <c r="E411" s="5" t="s">
        <v>29</v>
      </c>
      <c r="F411" s="5">
        <v>4</v>
      </c>
      <c r="G411" s="19">
        <v>0</v>
      </c>
      <c r="H411" s="5" t="s">
        <v>454</v>
      </c>
      <c r="I411" s="10">
        <f>IF(OR(D411="", F411=""), "", F411 * VLOOKUP(D411, Products!A:E, 5, FALSE) * (1 - G411))</f>
        <v>4865.4399999999996</v>
      </c>
      <c r="J411" s="10"/>
    </row>
    <row r="412" spans="1:10" ht="15.75" customHeight="1" x14ac:dyDescent="0.3">
      <c r="A412" s="5" t="s">
        <v>1279</v>
      </c>
      <c r="B412" s="11">
        <v>45559</v>
      </c>
      <c r="C412" s="5" t="s">
        <v>554</v>
      </c>
      <c r="D412" s="5" t="s">
        <v>47</v>
      </c>
      <c r="E412" s="5" t="s">
        <v>33</v>
      </c>
      <c r="F412" s="5">
        <v>5</v>
      </c>
      <c r="G412" s="19">
        <v>0.05</v>
      </c>
      <c r="H412" s="5" t="s">
        <v>697</v>
      </c>
      <c r="I412" s="10">
        <f>IF(OR(D412="", F412=""), "", F412 * VLOOKUP(D412, Products!A:E, 5, FALSE) * (1 - G412))</f>
        <v>3889.11</v>
      </c>
      <c r="J412" s="10"/>
    </row>
    <row r="413" spans="1:10" ht="15.75" customHeight="1" x14ac:dyDescent="0.3">
      <c r="A413" s="5" t="s">
        <v>1280</v>
      </c>
      <c r="B413" s="11">
        <v>45202</v>
      </c>
      <c r="C413" s="5" t="s">
        <v>455</v>
      </c>
      <c r="D413" s="5" t="s">
        <v>57</v>
      </c>
      <c r="E413" s="5" t="s">
        <v>21</v>
      </c>
      <c r="F413" s="5">
        <v>1</v>
      </c>
      <c r="G413" s="19">
        <v>0</v>
      </c>
      <c r="H413" s="5" t="s">
        <v>637</v>
      </c>
      <c r="I413" s="10">
        <f>IF(OR(D413="", F413=""), "", F413 * VLOOKUP(D413, Products!A:E, 5, FALSE) * (1 - G413))</f>
        <v>1396.22</v>
      </c>
      <c r="J413" s="10"/>
    </row>
    <row r="414" spans="1:10" ht="15.75" customHeight="1" x14ac:dyDescent="0.3">
      <c r="A414" s="5" t="s">
        <v>1281</v>
      </c>
      <c r="B414" s="11">
        <v>45311</v>
      </c>
      <c r="C414" s="5" t="s">
        <v>532</v>
      </c>
      <c r="D414" s="5" t="s">
        <v>193</v>
      </c>
      <c r="E414" s="5" t="s">
        <v>33</v>
      </c>
      <c r="F414" s="5">
        <v>5</v>
      </c>
      <c r="G414" s="19">
        <v>0.15</v>
      </c>
      <c r="H414" s="5" t="s">
        <v>776</v>
      </c>
      <c r="I414" s="10">
        <f>IF(OR(D414="", F414=""), "", F414 * VLOOKUP(D414, Products!A:E, 5, FALSE) * (1 - G414))</f>
        <v>124.26999999999998</v>
      </c>
      <c r="J414" s="10"/>
    </row>
    <row r="415" spans="1:10" ht="15.75" customHeight="1" x14ac:dyDescent="0.3">
      <c r="A415" s="5" t="s">
        <v>1282</v>
      </c>
      <c r="B415" s="11">
        <v>45188</v>
      </c>
      <c r="C415" s="5" t="s">
        <v>758</v>
      </c>
      <c r="D415" s="5" t="s">
        <v>217</v>
      </c>
      <c r="E415" s="5" t="s">
        <v>21</v>
      </c>
      <c r="F415" s="5">
        <v>2</v>
      </c>
      <c r="G415" s="19">
        <v>0</v>
      </c>
      <c r="H415" s="5" t="s">
        <v>637</v>
      </c>
      <c r="I415" s="10">
        <f>IF(OR(D415="", F415=""), "", F415 * VLOOKUP(D415, Products!A:E, 5, FALSE) * (1 - G415))</f>
        <v>856.1</v>
      </c>
      <c r="J415" s="10"/>
    </row>
    <row r="416" spans="1:10" ht="15.75" customHeight="1" x14ac:dyDescent="0.3">
      <c r="A416" s="5" t="s">
        <v>1283</v>
      </c>
      <c r="B416" s="11">
        <v>45821</v>
      </c>
      <c r="C416" s="5" t="s">
        <v>583</v>
      </c>
      <c r="D416" s="5" t="s">
        <v>188</v>
      </c>
      <c r="E416" s="5" t="s">
        <v>29</v>
      </c>
      <c r="F416" s="5">
        <v>5</v>
      </c>
      <c r="G416" s="19">
        <v>0</v>
      </c>
      <c r="H416" s="5" t="s">
        <v>776</v>
      </c>
      <c r="I416" s="10">
        <f>IF(OR(D416="", F416=""), "", F416 * VLOOKUP(D416, Products!A:E, 5, FALSE) * (1 - G416))</f>
        <v>7425.25</v>
      </c>
      <c r="J416" s="10"/>
    </row>
    <row r="417" spans="1:10" ht="15.75" customHeight="1" x14ac:dyDescent="0.3">
      <c r="A417" s="5" t="s">
        <v>1284</v>
      </c>
      <c r="B417" s="11">
        <v>45765</v>
      </c>
      <c r="C417" s="5" t="s">
        <v>387</v>
      </c>
      <c r="D417" s="5" t="s">
        <v>226</v>
      </c>
      <c r="E417" s="5" t="s">
        <v>25</v>
      </c>
      <c r="F417" s="5">
        <v>5</v>
      </c>
      <c r="G417" s="19">
        <v>0.15</v>
      </c>
      <c r="H417" s="5" t="s">
        <v>454</v>
      </c>
      <c r="I417" s="10">
        <f>IF(OR(D417="", F417=""), "", F417 * VLOOKUP(D417, Products!A:E, 5, FALSE) * (1 - G417))</f>
        <v>6381.2049999999999</v>
      </c>
      <c r="J417" s="10"/>
    </row>
    <row r="418" spans="1:10" ht="15.75" customHeight="1" x14ac:dyDescent="0.3">
      <c r="A418" s="5" t="s">
        <v>1285</v>
      </c>
      <c r="B418" s="11">
        <v>45218</v>
      </c>
      <c r="C418" s="5" t="s">
        <v>149</v>
      </c>
      <c r="D418" s="5" t="s">
        <v>54</v>
      </c>
      <c r="E418" s="5" t="s">
        <v>21</v>
      </c>
      <c r="F418" s="5">
        <v>3</v>
      </c>
      <c r="G418" s="19">
        <v>0</v>
      </c>
      <c r="H418" s="5" t="s">
        <v>697</v>
      </c>
      <c r="I418" s="10">
        <f>IF(OR(D418="", F418=""), "", F418 * VLOOKUP(D418, Products!A:E, 5, FALSE) * (1 - G418))</f>
        <v>5561.3099999999995</v>
      </c>
      <c r="J418" s="10"/>
    </row>
    <row r="419" spans="1:10" ht="15.75" customHeight="1" x14ac:dyDescent="0.3">
      <c r="A419" s="5" t="s">
        <v>1286</v>
      </c>
      <c r="B419" s="11">
        <v>45608</v>
      </c>
      <c r="C419" s="5" t="s">
        <v>470</v>
      </c>
      <c r="D419" s="5" t="s">
        <v>212</v>
      </c>
      <c r="E419" s="5" t="s">
        <v>21</v>
      </c>
      <c r="F419" s="5">
        <v>2</v>
      </c>
      <c r="G419" s="19">
        <v>0.05</v>
      </c>
      <c r="H419" s="5" t="s">
        <v>637</v>
      </c>
      <c r="I419" s="10">
        <f>IF(OR(D419="", F419=""), "", F419 * VLOOKUP(D419, Products!A:E, 5, FALSE) * (1 - G419))</f>
        <v>3418.0429999999997</v>
      </c>
      <c r="J419" s="10"/>
    </row>
    <row r="420" spans="1:10" ht="15.75" customHeight="1" x14ac:dyDescent="0.3">
      <c r="A420" s="5" t="s">
        <v>1287</v>
      </c>
      <c r="B420" s="11">
        <v>45321</v>
      </c>
      <c r="C420" s="5" t="s">
        <v>191</v>
      </c>
      <c r="D420" s="5" t="s">
        <v>188</v>
      </c>
      <c r="E420" s="5" t="s">
        <v>29</v>
      </c>
      <c r="F420" s="5">
        <v>2</v>
      </c>
      <c r="G420" s="19">
        <v>0.05</v>
      </c>
      <c r="H420" s="5" t="s">
        <v>637</v>
      </c>
      <c r="I420" s="10">
        <f>IF(OR(D420="", F420=""), "", F420 * VLOOKUP(D420, Products!A:E, 5, FALSE) * (1 - G420))</f>
        <v>2821.5949999999998</v>
      </c>
      <c r="J420" s="10"/>
    </row>
    <row r="421" spans="1:10" ht="15.75" customHeight="1" x14ac:dyDescent="0.3">
      <c r="A421" s="5" t="s">
        <v>1288</v>
      </c>
      <c r="B421" s="11">
        <v>45381</v>
      </c>
      <c r="C421" s="5" t="s">
        <v>662</v>
      </c>
      <c r="D421" s="5" t="s">
        <v>188</v>
      </c>
      <c r="E421" s="5" t="s">
        <v>37</v>
      </c>
      <c r="F421" s="5">
        <v>3</v>
      </c>
      <c r="G421" s="19">
        <v>0.15</v>
      </c>
      <c r="H421" s="5" t="s">
        <v>697</v>
      </c>
      <c r="I421" s="10">
        <f>IF(OR(D421="", F421=""), "", F421 * VLOOKUP(D421, Products!A:E, 5, FALSE) * (1 - G421))</f>
        <v>3786.8774999999996</v>
      </c>
      <c r="J421" s="10"/>
    </row>
    <row r="422" spans="1:10" ht="15.75" customHeight="1" x14ac:dyDescent="0.3">
      <c r="A422" s="5" t="s">
        <v>1289</v>
      </c>
      <c r="B422" s="11">
        <v>45258</v>
      </c>
      <c r="C422" s="5" t="s">
        <v>802</v>
      </c>
      <c r="D422" s="5" t="s">
        <v>122</v>
      </c>
      <c r="E422" s="5" t="s">
        <v>21</v>
      </c>
      <c r="F422" s="5">
        <v>5</v>
      </c>
      <c r="G422" s="19">
        <v>0.1</v>
      </c>
      <c r="H422" s="5" t="s">
        <v>776</v>
      </c>
      <c r="I422" s="10">
        <f>IF(OR(D422="", F422=""), "", F422 * VLOOKUP(D422, Products!A:E, 5, FALSE) * (1 - G422))</f>
        <v>7933.14</v>
      </c>
      <c r="J422" s="10"/>
    </row>
    <row r="423" spans="1:10" ht="15.75" customHeight="1" x14ac:dyDescent="0.3">
      <c r="A423" s="5" t="s">
        <v>1290</v>
      </c>
      <c r="B423" s="11">
        <v>45851</v>
      </c>
      <c r="C423" s="5" t="s">
        <v>229</v>
      </c>
      <c r="D423" s="5" t="s">
        <v>272</v>
      </c>
      <c r="E423" s="5" t="s">
        <v>33</v>
      </c>
      <c r="F423" s="5">
        <v>2</v>
      </c>
      <c r="G423" s="19">
        <v>0</v>
      </c>
      <c r="H423" s="5" t="s">
        <v>454</v>
      </c>
      <c r="I423" s="10">
        <f>IF(OR(D423="", F423=""), "", F423 * VLOOKUP(D423, Products!A:E, 5, FALSE) * (1 - G423))</f>
        <v>2330.7399999999998</v>
      </c>
      <c r="J423" s="10"/>
    </row>
    <row r="424" spans="1:10" ht="15.75" customHeight="1" x14ac:dyDescent="0.3">
      <c r="A424" s="5" t="s">
        <v>1291</v>
      </c>
      <c r="B424" s="11">
        <v>45266</v>
      </c>
      <c r="C424" s="5" t="s">
        <v>729</v>
      </c>
      <c r="D424" s="5" t="s">
        <v>43</v>
      </c>
      <c r="E424" s="5" t="s">
        <v>37</v>
      </c>
      <c r="F424" s="5">
        <v>5</v>
      </c>
      <c r="G424" s="19">
        <v>0.15</v>
      </c>
      <c r="H424" s="5" t="s">
        <v>454</v>
      </c>
      <c r="I424" s="10">
        <f>IF(OR(D424="", F424=""), "", F424 * VLOOKUP(D424, Products!A:E, 5, FALSE) * (1 - G424))</f>
        <v>7113.1825000000008</v>
      </c>
      <c r="J424" s="10"/>
    </row>
    <row r="425" spans="1:10" ht="15.75" customHeight="1" x14ac:dyDescent="0.3">
      <c r="A425" s="5" t="s">
        <v>1292</v>
      </c>
      <c r="B425" s="11">
        <v>45395</v>
      </c>
      <c r="C425" s="5" t="s">
        <v>121</v>
      </c>
      <c r="D425" s="5" t="s">
        <v>95</v>
      </c>
      <c r="E425" s="5" t="s">
        <v>29</v>
      </c>
      <c r="F425" s="5">
        <v>4</v>
      </c>
      <c r="G425" s="19">
        <v>0.15</v>
      </c>
      <c r="H425" s="5" t="s">
        <v>697</v>
      </c>
      <c r="I425" s="10">
        <f>IF(OR(D425="", F425=""), "", F425 * VLOOKUP(D425, Products!A:E, 5, FALSE) * (1 - G425))</f>
        <v>4565.3499999999995</v>
      </c>
      <c r="J425" s="10"/>
    </row>
    <row r="426" spans="1:10" ht="15.75" customHeight="1" x14ac:dyDescent="0.3">
      <c r="A426" s="5" t="s">
        <v>1293</v>
      </c>
      <c r="B426" s="11">
        <v>45574</v>
      </c>
      <c r="C426" s="5" t="s">
        <v>511</v>
      </c>
      <c r="D426" s="5" t="s">
        <v>54</v>
      </c>
      <c r="E426" s="5" t="s">
        <v>37</v>
      </c>
      <c r="F426" s="5">
        <v>4</v>
      </c>
      <c r="G426" s="19">
        <v>0.15</v>
      </c>
      <c r="H426" s="5" t="s">
        <v>697</v>
      </c>
      <c r="I426" s="10">
        <f>IF(OR(D426="", F426=""), "", F426 * VLOOKUP(D426, Products!A:E, 5, FALSE) * (1 - G426))</f>
        <v>6302.8180000000002</v>
      </c>
      <c r="J426" s="10"/>
    </row>
    <row r="427" spans="1:10" ht="15.75" customHeight="1" x14ac:dyDescent="0.3">
      <c r="A427" s="5" t="s">
        <v>1294</v>
      </c>
      <c r="B427" s="11">
        <v>45180</v>
      </c>
      <c r="C427" s="5" t="s">
        <v>795</v>
      </c>
      <c r="D427" s="5" t="s">
        <v>153</v>
      </c>
      <c r="E427" s="5" t="s">
        <v>37</v>
      </c>
      <c r="F427" s="5">
        <v>4</v>
      </c>
      <c r="G427" s="19">
        <v>0</v>
      </c>
      <c r="H427" s="5" t="s">
        <v>454</v>
      </c>
      <c r="I427" s="10">
        <f>IF(OR(D427="", F427=""), "", F427 * VLOOKUP(D427, Products!A:E, 5, FALSE) * (1 - G427))</f>
        <v>5949.64</v>
      </c>
      <c r="J427" s="10"/>
    </row>
    <row r="428" spans="1:10" ht="15.75" customHeight="1" x14ac:dyDescent="0.3">
      <c r="A428" s="5" t="s">
        <v>1295</v>
      </c>
      <c r="B428" s="11">
        <v>45636</v>
      </c>
      <c r="C428" s="5" t="s">
        <v>405</v>
      </c>
      <c r="D428" s="5" t="s">
        <v>193</v>
      </c>
      <c r="E428" s="5" t="s">
        <v>21</v>
      </c>
      <c r="F428" s="5">
        <v>1</v>
      </c>
      <c r="G428" s="19">
        <v>0.1</v>
      </c>
      <c r="H428" s="5" t="s">
        <v>697</v>
      </c>
      <c r="I428" s="10">
        <f>IF(OR(D428="", F428=""), "", F428 * VLOOKUP(D428, Products!A:E, 5, FALSE) * (1 - G428))</f>
        <v>26.315999999999999</v>
      </c>
      <c r="J428" s="10"/>
    </row>
    <row r="429" spans="1:10" ht="15.75" customHeight="1" x14ac:dyDescent="0.3">
      <c r="A429" s="5" t="s">
        <v>1296</v>
      </c>
      <c r="B429" s="11">
        <v>45899</v>
      </c>
      <c r="C429" s="5" t="s">
        <v>532</v>
      </c>
      <c r="D429" s="5" t="s">
        <v>212</v>
      </c>
      <c r="E429" s="5" t="s">
        <v>25</v>
      </c>
      <c r="F429" s="5">
        <v>4</v>
      </c>
      <c r="G429" s="19">
        <v>0.1</v>
      </c>
      <c r="H429" s="5" t="s">
        <v>454</v>
      </c>
      <c r="I429" s="10">
        <f>IF(OR(D429="", F429=""), "", F429 * VLOOKUP(D429, Products!A:E, 5, FALSE) * (1 - G429))</f>
        <v>6476.2920000000004</v>
      </c>
      <c r="J429" s="10"/>
    </row>
    <row r="430" spans="1:10" ht="15.75" customHeight="1" x14ac:dyDescent="0.3">
      <c r="A430" s="5" t="s">
        <v>1297</v>
      </c>
      <c r="B430" s="11">
        <v>45340</v>
      </c>
      <c r="C430" s="5" t="s">
        <v>240</v>
      </c>
      <c r="D430" s="5" t="s">
        <v>74</v>
      </c>
      <c r="E430" s="5" t="s">
        <v>21</v>
      </c>
      <c r="F430" s="5">
        <v>1</v>
      </c>
      <c r="G430" s="19">
        <v>0.1</v>
      </c>
      <c r="H430" s="5" t="s">
        <v>637</v>
      </c>
      <c r="I430" s="10">
        <f>IF(OR(D430="", F430=""), "", F430 * VLOOKUP(D430, Products!A:E, 5, FALSE) * (1 - G430))</f>
        <v>1074.7079999999999</v>
      </c>
      <c r="J430" s="10"/>
    </row>
    <row r="431" spans="1:10" ht="15.75" customHeight="1" x14ac:dyDescent="0.3">
      <c r="A431" s="5" t="s">
        <v>1298</v>
      </c>
      <c r="B431" s="11">
        <v>45354</v>
      </c>
      <c r="C431" s="5" t="s">
        <v>515</v>
      </c>
      <c r="D431" s="5" t="s">
        <v>168</v>
      </c>
      <c r="E431" s="5" t="s">
        <v>29</v>
      </c>
      <c r="F431" s="5">
        <v>1</v>
      </c>
      <c r="G431" s="19">
        <v>0.05</v>
      </c>
      <c r="H431" s="5" t="s">
        <v>776</v>
      </c>
      <c r="I431" s="10">
        <f>IF(OR(D431="", F431=""), "", F431 * VLOOKUP(D431, Products!A:E, 5, FALSE) * (1 - G431))</f>
        <v>964.97199999999998</v>
      </c>
      <c r="J431" s="10"/>
    </row>
    <row r="432" spans="1:10" ht="15.75" customHeight="1" x14ac:dyDescent="0.3">
      <c r="A432" s="5" t="s">
        <v>1299</v>
      </c>
      <c r="B432" s="11">
        <v>45301</v>
      </c>
      <c r="C432" s="5" t="s">
        <v>342</v>
      </c>
      <c r="D432" s="5" t="s">
        <v>103</v>
      </c>
      <c r="E432" s="5" t="s">
        <v>33</v>
      </c>
      <c r="F432" s="5">
        <v>4</v>
      </c>
      <c r="G432" s="19">
        <v>0.15</v>
      </c>
      <c r="H432" s="5" t="s">
        <v>776</v>
      </c>
      <c r="I432" s="10">
        <f>IF(OR(D432="", F432=""), "", F432 * VLOOKUP(D432, Products!A:E, 5, FALSE) * (1 - G432))</f>
        <v>919.53</v>
      </c>
      <c r="J432" s="10"/>
    </row>
    <row r="433" spans="1:10" ht="15.75" customHeight="1" x14ac:dyDescent="0.3">
      <c r="A433" s="5" t="s">
        <v>1300</v>
      </c>
      <c r="B433" s="11">
        <v>45278</v>
      </c>
      <c r="C433" s="5" t="s">
        <v>113</v>
      </c>
      <c r="D433" s="5" t="s">
        <v>280</v>
      </c>
      <c r="E433" s="5" t="s">
        <v>21</v>
      </c>
      <c r="F433" s="5">
        <v>3</v>
      </c>
      <c r="G433" s="19">
        <v>0</v>
      </c>
      <c r="H433" s="5" t="s">
        <v>454</v>
      </c>
      <c r="I433" s="10">
        <f>IF(OR(D433="", F433=""), "", F433 * VLOOKUP(D433, Products!A:E, 5, FALSE) * (1 - G433))</f>
        <v>3649.08</v>
      </c>
      <c r="J433" s="10"/>
    </row>
    <row r="434" spans="1:10" ht="15.75" customHeight="1" x14ac:dyDescent="0.3">
      <c r="A434" s="5" t="s">
        <v>1301</v>
      </c>
      <c r="B434" s="11">
        <v>45334</v>
      </c>
      <c r="C434" s="5" t="s">
        <v>536</v>
      </c>
      <c r="D434" s="5" t="s">
        <v>74</v>
      </c>
      <c r="E434" s="5" t="s">
        <v>21</v>
      </c>
      <c r="F434" s="5">
        <v>3</v>
      </c>
      <c r="G434" s="19">
        <v>0.15</v>
      </c>
      <c r="H434" s="5" t="s">
        <v>637</v>
      </c>
      <c r="I434" s="10">
        <f>IF(OR(D434="", F434=""), "", F434 * VLOOKUP(D434, Products!A:E, 5, FALSE) * (1 - G434))</f>
        <v>3045.0059999999999</v>
      </c>
      <c r="J434" s="10"/>
    </row>
    <row r="435" spans="1:10" ht="15.75" customHeight="1" x14ac:dyDescent="0.3">
      <c r="A435" s="5" t="s">
        <v>1302</v>
      </c>
      <c r="B435" s="11">
        <v>45709</v>
      </c>
      <c r="C435" s="5" t="s">
        <v>878</v>
      </c>
      <c r="D435" s="5" t="s">
        <v>193</v>
      </c>
      <c r="E435" s="5" t="s">
        <v>21</v>
      </c>
      <c r="F435" s="5">
        <v>5</v>
      </c>
      <c r="G435" s="19">
        <v>0.05</v>
      </c>
      <c r="H435" s="5" t="s">
        <v>697</v>
      </c>
      <c r="I435" s="10">
        <f>IF(OR(D435="", F435=""), "", F435 * VLOOKUP(D435, Products!A:E, 5, FALSE) * (1 - G435))</f>
        <v>138.88999999999999</v>
      </c>
      <c r="J435" s="10"/>
    </row>
    <row r="436" spans="1:10" ht="15.75" customHeight="1" x14ac:dyDescent="0.3">
      <c r="A436" s="5" t="s">
        <v>1303</v>
      </c>
      <c r="B436" s="11">
        <v>45708</v>
      </c>
      <c r="C436" s="5" t="s">
        <v>800</v>
      </c>
      <c r="D436" s="5" t="s">
        <v>180</v>
      </c>
      <c r="E436" s="5" t="s">
        <v>33</v>
      </c>
      <c r="F436" s="5">
        <v>2</v>
      </c>
      <c r="G436" s="19">
        <v>0.05</v>
      </c>
      <c r="H436" s="5" t="s">
        <v>454</v>
      </c>
      <c r="I436" s="10">
        <f>IF(OR(D436="", F436=""), "", F436 * VLOOKUP(D436, Products!A:E, 5, FALSE) * (1 - G436))</f>
        <v>1280.1819999999998</v>
      </c>
      <c r="J436" s="10"/>
    </row>
    <row r="437" spans="1:10" ht="15.75" customHeight="1" x14ac:dyDescent="0.3">
      <c r="A437" s="5" t="s">
        <v>1304</v>
      </c>
      <c r="B437" s="11">
        <v>45367</v>
      </c>
      <c r="C437" s="5" t="s">
        <v>458</v>
      </c>
      <c r="D437" s="5" t="s">
        <v>77</v>
      </c>
      <c r="E437" s="5" t="s">
        <v>29</v>
      </c>
      <c r="F437" s="5">
        <v>4</v>
      </c>
      <c r="G437" s="19">
        <v>0.05</v>
      </c>
      <c r="H437" s="5" t="s">
        <v>776</v>
      </c>
      <c r="I437" s="10">
        <f>IF(OR(D437="", F437=""), "", F437 * VLOOKUP(D437, Products!A:E, 5, FALSE) * (1 - G437))</f>
        <v>944.56599999999992</v>
      </c>
      <c r="J437" s="10"/>
    </row>
    <row r="438" spans="1:10" ht="15.75" customHeight="1" x14ac:dyDescent="0.3">
      <c r="A438" s="5" t="s">
        <v>1305</v>
      </c>
      <c r="B438" s="11">
        <v>45371</v>
      </c>
      <c r="C438" s="5" t="s">
        <v>322</v>
      </c>
      <c r="D438" s="5" t="s">
        <v>162</v>
      </c>
      <c r="E438" s="5" t="s">
        <v>33</v>
      </c>
      <c r="F438" s="5">
        <v>3</v>
      </c>
      <c r="G438" s="19">
        <v>0.15</v>
      </c>
      <c r="H438" s="5" t="s">
        <v>454</v>
      </c>
      <c r="I438" s="10">
        <f>IF(OR(D438="", F438=""), "", F438 * VLOOKUP(D438, Products!A:E, 5, FALSE) * (1 - G438))</f>
        <v>1094.3324999999998</v>
      </c>
      <c r="J438" s="10"/>
    </row>
    <row r="439" spans="1:10" ht="15.75" customHeight="1" x14ac:dyDescent="0.3">
      <c r="A439" s="5" t="s">
        <v>1306</v>
      </c>
      <c r="B439" s="11">
        <v>45806</v>
      </c>
      <c r="C439" s="5" t="s">
        <v>624</v>
      </c>
      <c r="D439" s="5" t="s">
        <v>175</v>
      </c>
      <c r="E439" s="5" t="s">
        <v>21</v>
      </c>
      <c r="F439" s="5">
        <v>3</v>
      </c>
      <c r="G439" s="19">
        <v>0.1</v>
      </c>
      <c r="H439" s="5" t="s">
        <v>697</v>
      </c>
      <c r="I439" s="10">
        <f>IF(OR(D439="", F439=""), "", F439 * VLOOKUP(D439, Products!A:E, 5, FALSE) * (1 - G439))</f>
        <v>3435.0210000000002</v>
      </c>
      <c r="J439" s="10"/>
    </row>
    <row r="440" spans="1:10" ht="15.75" customHeight="1" x14ac:dyDescent="0.3">
      <c r="A440" s="5" t="s">
        <v>1307</v>
      </c>
      <c r="B440" s="11">
        <v>45427</v>
      </c>
      <c r="C440" s="5" t="s">
        <v>829</v>
      </c>
      <c r="D440" s="5" t="s">
        <v>272</v>
      </c>
      <c r="E440" s="5" t="s">
        <v>33</v>
      </c>
      <c r="F440" s="5">
        <v>5</v>
      </c>
      <c r="G440" s="19">
        <v>0.05</v>
      </c>
      <c r="H440" s="5" t="s">
        <v>637</v>
      </c>
      <c r="I440" s="10">
        <f>IF(OR(D440="", F440=""), "", F440 * VLOOKUP(D440, Products!A:E, 5, FALSE) * (1 - G440))</f>
        <v>5535.5074999999988</v>
      </c>
      <c r="J440" s="10"/>
    </row>
    <row r="441" spans="1:10" ht="15.75" customHeight="1" x14ac:dyDescent="0.3">
      <c r="A441" s="5" t="s">
        <v>1308</v>
      </c>
      <c r="B441" s="11">
        <v>45195</v>
      </c>
      <c r="C441" s="5" t="s">
        <v>240</v>
      </c>
      <c r="D441" s="5" t="s">
        <v>280</v>
      </c>
      <c r="E441" s="5" t="s">
        <v>25</v>
      </c>
      <c r="F441" s="5">
        <v>3</v>
      </c>
      <c r="G441" s="19">
        <v>0</v>
      </c>
      <c r="H441" s="5" t="s">
        <v>637</v>
      </c>
      <c r="I441" s="10">
        <f>IF(OR(D441="", F441=""), "", F441 * VLOOKUP(D441, Products!A:E, 5, FALSE) * (1 - G441))</f>
        <v>3649.08</v>
      </c>
      <c r="J441" s="10"/>
    </row>
    <row r="442" spans="1:10" ht="15.75" customHeight="1" x14ac:dyDescent="0.3">
      <c r="A442" s="5" t="s">
        <v>1309</v>
      </c>
      <c r="B442" s="11">
        <v>45897</v>
      </c>
      <c r="C442" s="5" t="s">
        <v>488</v>
      </c>
      <c r="D442" s="5" t="s">
        <v>82</v>
      </c>
      <c r="E442" s="5" t="s">
        <v>37</v>
      </c>
      <c r="F442" s="5">
        <v>4</v>
      </c>
      <c r="G442" s="19">
        <v>0.1</v>
      </c>
      <c r="H442" s="5" t="s">
        <v>637</v>
      </c>
      <c r="I442" s="10">
        <f>IF(OR(D442="", F442=""), "", F442 * VLOOKUP(D442, Products!A:E, 5, FALSE) * (1 - G442))</f>
        <v>4295.1239999999998</v>
      </c>
      <c r="J442" s="10"/>
    </row>
    <row r="443" spans="1:10" ht="15.75" customHeight="1" x14ac:dyDescent="0.3">
      <c r="A443" s="5" t="s">
        <v>1310</v>
      </c>
      <c r="B443" s="11">
        <v>45521</v>
      </c>
      <c r="C443" s="5" t="s">
        <v>488</v>
      </c>
      <c r="D443" s="5" t="s">
        <v>175</v>
      </c>
      <c r="E443" s="5" t="s">
        <v>33</v>
      </c>
      <c r="F443" s="5">
        <v>5</v>
      </c>
      <c r="G443" s="19">
        <v>0.05</v>
      </c>
      <c r="H443" s="5" t="s">
        <v>454</v>
      </c>
      <c r="I443" s="10">
        <f>IF(OR(D443="", F443=""), "", F443 * VLOOKUP(D443, Products!A:E, 5, FALSE) * (1 - G443))</f>
        <v>6043.0924999999997</v>
      </c>
      <c r="J443" s="10"/>
    </row>
    <row r="444" spans="1:10" ht="15.75" customHeight="1" x14ac:dyDescent="0.3">
      <c r="A444" s="5" t="s">
        <v>1311</v>
      </c>
      <c r="B444" s="11">
        <v>45753</v>
      </c>
      <c r="C444" s="5" t="s">
        <v>477</v>
      </c>
      <c r="D444" s="5" t="s">
        <v>180</v>
      </c>
      <c r="E444" s="5" t="s">
        <v>37</v>
      </c>
      <c r="F444" s="5">
        <v>2</v>
      </c>
      <c r="G444" s="19">
        <v>0.15</v>
      </c>
      <c r="H444" s="5" t="s">
        <v>454</v>
      </c>
      <c r="I444" s="10">
        <f>IF(OR(D444="", F444=""), "", F444 * VLOOKUP(D444, Products!A:E, 5, FALSE) * (1 - G444))</f>
        <v>1145.4259999999999</v>
      </c>
      <c r="J444" s="10"/>
    </row>
    <row r="445" spans="1:10" ht="15.75" customHeight="1" x14ac:dyDescent="0.3">
      <c r="A445" s="5" t="s">
        <v>1312</v>
      </c>
      <c r="B445" s="11">
        <v>45383</v>
      </c>
      <c r="C445" s="5" t="s">
        <v>334</v>
      </c>
      <c r="D445" s="5" t="s">
        <v>119</v>
      </c>
      <c r="E445" s="5" t="s">
        <v>33</v>
      </c>
      <c r="F445" s="5">
        <v>3</v>
      </c>
      <c r="G445" s="19">
        <v>0.1</v>
      </c>
      <c r="H445" s="5" t="s">
        <v>637</v>
      </c>
      <c r="I445" s="10">
        <f>IF(OR(D445="", F445=""), "", F445 * VLOOKUP(D445, Products!A:E, 5, FALSE) * (1 - G445))</f>
        <v>2915.703</v>
      </c>
      <c r="J445" s="10"/>
    </row>
    <row r="446" spans="1:10" ht="15.75" customHeight="1" x14ac:dyDescent="0.3">
      <c r="A446" s="5" t="s">
        <v>1313</v>
      </c>
      <c r="B446" s="11">
        <v>45674</v>
      </c>
      <c r="C446" s="5" t="s">
        <v>708</v>
      </c>
      <c r="D446" s="5" t="s">
        <v>47</v>
      </c>
      <c r="E446" s="5" t="s">
        <v>25</v>
      </c>
      <c r="F446" s="5">
        <v>3</v>
      </c>
      <c r="G446" s="19">
        <v>0.15</v>
      </c>
      <c r="H446" s="5" t="s">
        <v>454</v>
      </c>
      <c r="I446" s="10">
        <f>IF(OR(D446="", F446=""), "", F446 * VLOOKUP(D446, Products!A:E, 5, FALSE) * (1 - G446))</f>
        <v>2087.8379999999997</v>
      </c>
      <c r="J446" s="10"/>
    </row>
    <row r="447" spans="1:10" ht="15.75" customHeight="1" x14ac:dyDescent="0.3">
      <c r="A447" s="5" t="s">
        <v>1314</v>
      </c>
      <c r="B447" s="11">
        <v>45577</v>
      </c>
      <c r="C447" s="5" t="s">
        <v>543</v>
      </c>
      <c r="D447" s="5" t="s">
        <v>109</v>
      </c>
      <c r="E447" s="5" t="s">
        <v>29</v>
      </c>
      <c r="F447" s="5">
        <v>1</v>
      </c>
      <c r="G447" s="19">
        <v>0.05</v>
      </c>
      <c r="H447" s="5" t="s">
        <v>697</v>
      </c>
      <c r="I447" s="10">
        <f>IF(OR(D447="", F447=""), "", F447 * VLOOKUP(D447, Products!A:E, 5, FALSE) * (1 - G447))</f>
        <v>1765.8125</v>
      </c>
      <c r="J447" s="10"/>
    </row>
    <row r="448" spans="1:10" ht="15.75" customHeight="1" x14ac:dyDescent="0.3">
      <c r="A448" s="5" t="s">
        <v>1315</v>
      </c>
      <c r="B448" s="11">
        <v>45779</v>
      </c>
      <c r="C448" s="5" t="s">
        <v>795</v>
      </c>
      <c r="D448" s="5" t="s">
        <v>103</v>
      </c>
      <c r="E448" s="5" t="s">
        <v>37</v>
      </c>
      <c r="F448" s="5">
        <v>1</v>
      </c>
      <c r="G448" s="19">
        <v>0.15</v>
      </c>
      <c r="H448" s="5" t="s">
        <v>697</v>
      </c>
      <c r="I448" s="10">
        <f>IF(OR(D448="", F448=""), "", F448 * VLOOKUP(D448, Products!A:E, 5, FALSE) * (1 - G448))</f>
        <v>229.88249999999999</v>
      </c>
      <c r="J448" s="10"/>
    </row>
    <row r="449" spans="1:10" ht="15.75" customHeight="1" x14ac:dyDescent="0.3">
      <c r="A449" s="5" t="s">
        <v>1316</v>
      </c>
      <c r="B449" s="11">
        <v>45382</v>
      </c>
      <c r="C449" s="5" t="s">
        <v>586</v>
      </c>
      <c r="D449" s="5" t="s">
        <v>267</v>
      </c>
      <c r="E449" s="5" t="s">
        <v>29</v>
      </c>
      <c r="F449" s="5">
        <v>1</v>
      </c>
      <c r="G449" s="19">
        <v>0.15</v>
      </c>
      <c r="H449" s="5" t="s">
        <v>637</v>
      </c>
      <c r="I449" s="10">
        <f>IF(OR(D449="", F449=""), "", F449 * VLOOKUP(D449, Products!A:E, 5, FALSE) * (1 - G449))</f>
        <v>1093.5674999999999</v>
      </c>
      <c r="J449" s="10"/>
    </row>
    <row r="450" spans="1:10" ht="15.75" customHeight="1" x14ac:dyDescent="0.3">
      <c r="A450" s="5" t="s">
        <v>1317</v>
      </c>
      <c r="B450" s="11">
        <v>45659</v>
      </c>
      <c r="C450" s="5" t="s">
        <v>292</v>
      </c>
      <c r="D450" s="5" t="s">
        <v>237</v>
      </c>
      <c r="E450" s="5" t="s">
        <v>29</v>
      </c>
      <c r="F450" s="5">
        <v>2</v>
      </c>
      <c r="G450" s="19">
        <v>0.1</v>
      </c>
      <c r="H450" s="5" t="s">
        <v>697</v>
      </c>
      <c r="I450" s="10">
        <f>IF(OR(D450="", F450=""), "", F450 * VLOOKUP(D450, Products!A:E, 5, FALSE) * (1 - G450))</f>
        <v>660.47400000000005</v>
      </c>
      <c r="J450" s="10"/>
    </row>
    <row r="451" spans="1:10" ht="15.75" customHeight="1" x14ac:dyDescent="0.3">
      <c r="A451" s="5" t="s">
        <v>1318</v>
      </c>
      <c r="B451" s="11">
        <v>45806</v>
      </c>
      <c r="C451" s="5" t="s">
        <v>826</v>
      </c>
      <c r="D451" s="5" t="s">
        <v>115</v>
      </c>
      <c r="E451" s="5" t="s">
        <v>33</v>
      </c>
      <c r="F451" s="5">
        <v>4</v>
      </c>
      <c r="G451" s="19">
        <v>0</v>
      </c>
      <c r="H451" s="5" t="s">
        <v>637</v>
      </c>
      <c r="I451" s="10">
        <f>IF(OR(D451="", F451=""), "", F451 * VLOOKUP(D451, Products!A:E, 5, FALSE) * (1 - G451))</f>
        <v>4984.4399999999996</v>
      </c>
      <c r="J451" s="10"/>
    </row>
    <row r="452" spans="1:10" ht="15.75" customHeight="1" x14ac:dyDescent="0.3">
      <c r="A452" s="5" t="s">
        <v>1319</v>
      </c>
      <c r="B452" s="11">
        <v>45589</v>
      </c>
      <c r="C452" s="5" t="s">
        <v>727</v>
      </c>
      <c r="D452" s="5" t="s">
        <v>256</v>
      </c>
      <c r="E452" s="5" t="s">
        <v>33</v>
      </c>
      <c r="F452" s="5">
        <v>5</v>
      </c>
      <c r="G452" s="19">
        <v>0.15</v>
      </c>
      <c r="H452" s="5" t="s">
        <v>637</v>
      </c>
      <c r="I452" s="10">
        <f>IF(OR(D452="", F452=""), "", F452 * VLOOKUP(D452, Products!A:E, 5, FALSE) * (1 - G452))</f>
        <v>6948.7924999999996</v>
      </c>
      <c r="J452" s="10"/>
    </row>
    <row r="453" spans="1:10" ht="15.75" customHeight="1" x14ac:dyDescent="0.3">
      <c r="A453" s="5" t="s">
        <v>1320</v>
      </c>
      <c r="B453" s="11">
        <v>45747</v>
      </c>
      <c r="C453" s="5" t="s">
        <v>680</v>
      </c>
      <c r="D453" s="5" t="s">
        <v>212</v>
      </c>
      <c r="E453" s="5" t="s">
        <v>21</v>
      </c>
      <c r="F453" s="5">
        <v>3</v>
      </c>
      <c r="G453" s="19">
        <v>0</v>
      </c>
      <c r="H453" s="5" t="s">
        <v>776</v>
      </c>
      <c r="I453" s="10">
        <f>IF(OR(D453="", F453=""), "", F453 * VLOOKUP(D453, Products!A:E, 5, FALSE) * (1 - G453))</f>
        <v>5396.91</v>
      </c>
      <c r="J453" s="10"/>
    </row>
    <row r="454" spans="1:10" ht="15.75" customHeight="1" x14ac:dyDescent="0.3">
      <c r="A454" s="5" t="s">
        <v>1321</v>
      </c>
      <c r="B454" s="11">
        <v>45292</v>
      </c>
      <c r="C454" s="5" t="s">
        <v>869</v>
      </c>
      <c r="D454" s="5" t="s">
        <v>74</v>
      </c>
      <c r="E454" s="5" t="s">
        <v>25</v>
      </c>
      <c r="F454" s="5">
        <v>3</v>
      </c>
      <c r="G454" s="19">
        <v>0.05</v>
      </c>
      <c r="H454" s="5" t="s">
        <v>776</v>
      </c>
      <c r="I454" s="10">
        <f>IF(OR(D454="", F454=""), "", F454 * VLOOKUP(D454, Products!A:E, 5, FALSE) * (1 - G454))</f>
        <v>3403.2419999999997</v>
      </c>
      <c r="J454" s="10"/>
    </row>
    <row r="455" spans="1:10" ht="15.75" customHeight="1" x14ac:dyDescent="0.3">
      <c r="A455" s="5" t="s">
        <v>1322</v>
      </c>
      <c r="B455" s="11">
        <v>45839</v>
      </c>
      <c r="C455" s="5" t="s">
        <v>699</v>
      </c>
      <c r="D455" s="5" t="s">
        <v>226</v>
      </c>
      <c r="E455" s="5" t="s">
        <v>33</v>
      </c>
      <c r="F455" s="5">
        <v>3</v>
      </c>
      <c r="G455" s="19">
        <v>0.15</v>
      </c>
      <c r="H455" s="5" t="s">
        <v>776</v>
      </c>
      <c r="I455" s="10">
        <f>IF(OR(D455="", F455=""), "", F455 * VLOOKUP(D455, Products!A:E, 5, FALSE) * (1 - G455))</f>
        <v>3828.723</v>
      </c>
      <c r="J455" s="10"/>
    </row>
    <row r="456" spans="1:10" ht="15.75" customHeight="1" x14ac:dyDescent="0.3">
      <c r="A456" s="5" t="s">
        <v>1323</v>
      </c>
      <c r="B456" s="11">
        <v>45853</v>
      </c>
      <c r="C456" s="5" t="s">
        <v>81</v>
      </c>
      <c r="D456" s="5" t="s">
        <v>193</v>
      </c>
      <c r="E456" s="5" t="s">
        <v>21</v>
      </c>
      <c r="F456" s="5">
        <v>3</v>
      </c>
      <c r="G456" s="19">
        <v>0.05</v>
      </c>
      <c r="H456" s="5" t="s">
        <v>697</v>
      </c>
      <c r="I456" s="10">
        <f>IF(OR(D456="", F456=""), "", F456 * VLOOKUP(D456, Products!A:E, 5, FALSE) * (1 - G456))</f>
        <v>83.333999999999989</v>
      </c>
      <c r="J456" s="10"/>
    </row>
    <row r="457" spans="1:10" ht="15.75" customHeight="1" x14ac:dyDescent="0.3">
      <c r="A457" s="5" t="s">
        <v>1324</v>
      </c>
      <c r="B457" s="11">
        <v>45674</v>
      </c>
      <c r="C457" s="5" t="s">
        <v>593</v>
      </c>
      <c r="D457" s="5" t="s">
        <v>265</v>
      </c>
      <c r="E457" s="5" t="s">
        <v>29</v>
      </c>
      <c r="F457" s="5">
        <v>4</v>
      </c>
      <c r="G457" s="19">
        <v>0.15</v>
      </c>
      <c r="H457" s="5" t="s">
        <v>697</v>
      </c>
      <c r="I457" s="10">
        <f>IF(OR(D457="", F457=""), "", F457 * VLOOKUP(D457, Products!A:E, 5, FALSE) * (1 - G457))</f>
        <v>1919.0279999999998</v>
      </c>
      <c r="J457" s="10"/>
    </row>
    <row r="458" spans="1:10" ht="15.75" customHeight="1" x14ac:dyDescent="0.3">
      <c r="A458" s="5" t="s">
        <v>1325</v>
      </c>
      <c r="B458" s="11">
        <v>45774</v>
      </c>
      <c r="C458" s="5" t="s">
        <v>499</v>
      </c>
      <c r="D458" s="5" t="s">
        <v>269</v>
      </c>
      <c r="E458" s="5" t="s">
        <v>21</v>
      </c>
      <c r="F458" s="5">
        <v>4</v>
      </c>
      <c r="G458" s="19">
        <v>0</v>
      </c>
      <c r="H458" s="5" t="s">
        <v>454</v>
      </c>
      <c r="I458" s="10">
        <f>IF(OR(D458="", F458=""), "", F458 * VLOOKUP(D458, Products!A:E, 5, FALSE) * (1 - G458))</f>
        <v>7516.32</v>
      </c>
      <c r="J458" s="10"/>
    </row>
    <row r="459" spans="1:10" ht="15.75" customHeight="1" x14ac:dyDescent="0.3">
      <c r="A459" s="5" t="s">
        <v>1326</v>
      </c>
      <c r="B459" s="11">
        <v>45842</v>
      </c>
      <c r="C459" s="5" t="s">
        <v>563</v>
      </c>
      <c r="D459" s="5" t="s">
        <v>221</v>
      </c>
      <c r="E459" s="5" t="s">
        <v>21</v>
      </c>
      <c r="F459" s="5">
        <v>1</v>
      </c>
      <c r="G459" s="19">
        <v>0.05</v>
      </c>
      <c r="H459" s="5" t="s">
        <v>454</v>
      </c>
      <c r="I459" s="10">
        <f>IF(OR(D459="", F459=""), "", F459 * VLOOKUP(D459, Products!A:E, 5, FALSE) * (1 - G459))</f>
        <v>1484.3085000000001</v>
      </c>
      <c r="J459" s="10"/>
    </row>
    <row r="460" spans="1:10" ht="15.75" customHeight="1" x14ac:dyDescent="0.3">
      <c r="A460" s="5" t="s">
        <v>1327</v>
      </c>
      <c r="B460" s="11">
        <v>45237</v>
      </c>
      <c r="C460" s="5" t="s">
        <v>466</v>
      </c>
      <c r="D460" s="5" t="s">
        <v>103</v>
      </c>
      <c r="E460" s="5" t="s">
        <v>29</v>
      </c>
      <c r="F460" s="5">
        <v>4</v>
      </c>
      <c r="G460" s="19">
        <v>0.05</v>
      </c>
      <c r="H460" s="5" t="s">
        <v>637</v>
      </c>
      <c r="I460" s="10">
        <f>IF(OR(D460="", F460=""), "", F460 * VLOOKUP(D460, Products!A:E, 5, FALSE) * (1 - G460))</f>
        <v>1027.7099999999998</v>
      </c>
      <c r="J460" s="10"/>
    </row>
    <row r="461" spans="1:10" ht="15.75" customHeight="1" x14ac:dyDescent="0.3">
      <c r="A461" s="5" t="s">
        <v>1328</v>
      </c>
      <c r="B461" s="11">
        <v>45726</v>
      </c>
      <c r="C461" s="5" t="s">
        <v>503</v>
      </c>
      <c r="D461" s="5" t="s">
        <v>180</v>
      </c>
      <c r="E461" s="5" t="s">
        <v>33</v>
      </c>
      <c r="F461" s="5">
        <v>1</v>
      </c>
      <c r="G461" s="19">
        <v>0.15</v>
      </c>
      <c r="H461" s="5" t="s">
        <v>637</v>
      </c>
      <c r="I461" s="10">
        <f>IF(OR(D461="", F461=""), "", F461 * VLOOKUP(D461, Products!A:E, 5, FALSE) * (1 - G461))</f>
        <v>572.71299999999997</v>
      </c>
      <c r="J461" s="10"/>
    </row>
    <row r="462" spans="1:10" ht="15.75" customHeight="1" x14ac:dyDescent="0.3">
      <c r="A462" s="5" t="s">
        <v>1329</v>
      </c>
      <c r="B462" s="11">
        <v>45672</v>
      </c>
      <c r="C462" s="5" t="s">
        <v>474</v>
      </c>
      <c r="D462" s="5" t="s">
        <v>82</v>
      </c>
      <c r="E462" s="5" t="s">
        <v>21</v>
      </c>
      <c r="F462" s="5">
        <v>3</v>
      </c>
      <c r="G462" s="19">
        <v>0</v>
      </c>
      <c r="H462" s="5" t="s">
        <v>776</v>
      </c>
      <c r="I462" s="10">
        <f>IF(OR(D462="", F462=""), "", F462 * VLOOKUP(D462, Products!A:E, 5, FALSE) * (1 - G462))</f>
        <v>3579.2699999999995</v>
      </c>
      <c r="J462" s="10"/>
    </row>
    <row r="463" spans="1:10" ht="15.75" customHeight="1" x14ac:dyDescent="0.3">
      <c r="A463" s="5" t="s">
        <v>1330</v>
      </c>
      <c r="B463" s="11">
        <v>45266</v>
      </c>
      <c r="C463" s="5" t="s">
        <v>106</v>
      </c>
      <c r="D463" s="5" t="s">
        <v>265</v>
      </c>
      <c r="E463" s="5" t="s">
        <v>29</v>
      </c>
      <c r="F463" s="5">
        <v>1</v>
      </c>
      <c r="G463" s="19">
        <v>0.05</v>
      </c>
      <c r="H463" s="5" t="s">
        <v>697</v>
      </c>
      <c r="I463" s="10">
        <f>IF(OR(D463="", F463=""), "", F463 * VLOOKUP(D463, Products!A:E, 5, FALSE) * (1 - G463))</f>
        <v>536.19899999999996</v>
      </c>
      <c r="J463" s="10"/>
    </row>
    <row r="464" spans="1:10" ht="15.75" customHeight="1" x14ac:dyDescent="0.3">
      <c r="A464" s="5" t="s">
        <v>1331</v>
      </c>
      <c r="B464" s="11">
        <v>45605</v>
      </c>
      <c r="C464" s="5" t="s">
        <v>657</v>
      </c>
      <c r="D464" s="5" t="s">
        <v>237</v>
      </c>
      <c r="E464" s="5" t="s">
        <v>25</v>
      </c>
      <c r="F464" s="5">
        <v>5</v>
      </c>
      <c r="G464" s="19">
        <v>0.05</v>
      </c>
      <c r="H464" s="5" t="s">
        <v>454</v>
      </c>
      <c r="I464" s="10">
        <f>IF(OR(D464="", F464=""), "", F464 * VLOOKUP(D464, Products!A:E, 5, FALSE) * (1 - G464))</f>
        <v>1742.9175</v>
      </c>
      <c r="J464" s="10"/>
    </row>
    <row r="465" spans="1:10" ht="15.75" customHeight="1" x14ac:dyDescent="0.3">
      <c r="A465" s="5" t="s">
        <v>1332</v>
      </c>
      <c r="B465" s="11">
        <v>45447</v>
      </c>
      <c r="C465" s="5" t="s">
        <v>695</v>
      </c>
      <c r="D465" s="5" t="s">
        <v>82</v>
      </c>
      <c r="E465" s="5" t="s">
        <v>33</v>
      </c>
      <c r="F465" s="5">
        <v>4</v>
      </c>
      <c r="G465" s="19">
        <v>0.05</v>
      </c>
      <c r="H465" s="5" t="s">
        <v>637</v>
      </c>
      <c r="I465" s="10">
        <f>IF(OR(D465="", F465=""), "", F465 * VLOOKUP(D465, Products!A:E, 5, FALSE) * (1 - G465))</f>
        <v>4533.7419999999993</v>
      </c>
      <c r="J465" s="10"/>
    </row>
    <row r="466" spans="1:10" ht="15.75" customHeight="1" x14ac:dyDescent="0.3">
      <c r="A466" s="5" t="s">
        <v>1333</v>
      </c>
      <c r="B466" s="11">
        <v>45516</v>
      </c>
      <c r="C466" s="5" t="s">
        <v>752</v>
      </c>
      <c r="D466" s="5" t="s">
        <v>285</v>
      </c>
      <c r="E466" s="5" t="s">
        <v>25</v>
      </c>
      <c r="F466" s="5">
        <v>2</v>
      </c>
      <c r="G466" s="19">
        <v>0.15</v>
      </c>
      <c r="H466" s="5" t="s">
        <v>637</v>
      </c>
      <c r="I466" s="10">
        <f>IF(OR(D466="", F466=""), "", F466 * VLOOKUP(D466, Products!A:E, 5, FALSE) * (1 - G466))</f>
        <v>660.04199999999992</v>
      </c>
      <c r="J466" s="10"/>
    </row>
    <row r="467" spans="1:10" ht="15.75" customHeight="1" x14ac:dyDescent="0.3">
      <c r="A467" s="5" t="s">
        <v>1334</v>
      </c>
      <c r="B467" s="11">
        <v>45568</v>
      </c>
      <c r="C467" s="5" t="s">
        <v>121</v>
      </c>
      <c r="D467" s="5" t="s">
        <v>65</v>
      </c>
      <c r="E467" s="5" t="s">
        <v>37</v>
      </c>
      <c r="F467" s="5">
        <v>2</v>
      </c>
      <c r="G467" s="19">
        <v>0.15</v>
      </c>
      <c r="H467" s="5" t="s">
        <v>637</v>
      </c>
      <c r="I467" s="10">
        <f>IF(OR(D467="", F467=""), "", F467 * VLOOKUP(D467, Products!A:E, 5, FALSE) * (1 - G467))</f>
        <v>2506.0039999999999</v>
      </c>
      <c r="J467" s="10"/>
    </row>
    <row r="468" spans="1:10" ht="15.75" customHeight="1" x14ac:dyDescent="0.3">
      <c r="A468" s="5" t="s">
        <v>1335</v>
      </c>
      <c r="B468" s="11">
        <v>45481</v>
      </c>
      <c r="C468" s="5" t="s">
        <v>539</v>
      </c>
      <c r="D468" s="5" t="s">
        <v>77</v>
      </c>
      <c r="E468" s="5" t="s">
        <v>21</v>
      </c>
      <c r="F468" s="5">
        <v>2</v>
      </c>
      <c r="G468" s="19">
        <v>0.05</v>
      </c>
      <c r="H468" s="5" t="s">
        <v>454</v>
      </c>
      <c r="I468" s="10">
        <f>IF(OR(D468="", F468=""), "", F468 * VLOOKUP(D468, Products!A:E, 5, FALSE) * (1 - G468))</f>
        <v>472.28299999999996</v>
      </c>
      <c r="J468" s="10"/>
    </row>
    <row r="469" spans="1:10" ht="15.75" customHeight="1" x14ac:dyDescent="0.3">
      <c r="A469" s="5" t="s">
        <v>1336</v>
      </c>
      <c r="B469" s="11">
        <v>45454</v>
      </c>
      <c r="C469" s="5" t="s">
        <v>799</v>
      </c>
      <c r="D469" s="5" t="s">
        <v>180</v>
      </c>
      <c r="E469" s="5" t="s">
        <v>21</v>
      </c>
      <c r="F469" s="5">
        <v>5</v>
      </c>
      <c r="G469" s="19">
        <v>0</v>
      </c>
      <c r="H469" s="5" t="s">
        <v>697</v>
      </c>
      <c r="I469" s="10">
        <f>IF(OR(D469="", F469=""), "", F469 * VLOOKUP(D469, Products!A:E, 5, FALSE) * (1 - G469))</f>
        <v>3368.8999999999996</v>
      </c>
      <c r="J469" s="10"/>
    </row>
    <row r="470" spans="1:10" ht="15.75" customHeight="1" x14ac:dyDescent="0.3">
      <c r="A470" s="5" t="s">
        <v>1337</v>
      </c>
      <c r="B470" s="11">
        <v>45595</v>
      </c>
      <c r="C470" s="5" t="s">
        <v>519</v>
      </c>
      <c r="D470" s="5" t="s">
        <v>193</v>
      </c>
      <c r="E470" s="5" t="s">
        <v>29</v>
      </c>
      <c r="F470" s="5">
        <v>2</v>
      </c>
      <c r="G470" s="19">
        <v>0.15</v>
      </c>
      <c r="H470" s="5" t="s">
        <v>776</v>
      </c>
      <c r="I470" s="10">
        <f>IF(OR(D470="", F470=""), "", F470 * VLOOKUP(D470, Products!A:E, 5, FALSE) * (1 - G470))</f>
        <v>49.707999999999998</v>
      </c>
      <c r="J470" s="10"/>
    </row>
    <row r="471" spans="1:10" ht="15.75" customHeight="1" x14ac:dyDescent="0.3">
      <c r="A471" s="5" t="s">
        <v>1338</v>
      </c>
      <c r="B471" s="11">
        <v>45812</v>
      </c>
      <c r="C471" s="5" t="s">
        <v>420</v>
      </c>
      <c r="D471" s="5" t="s">
        <v>280</v>
      </c>
      <c r="E471" s="5" t="s">
        <v>33</v>
      </c>
      <c r="F471" s="5">
        <v>5</v>
      </c>
      <c r="G471" s="19">
        <v>0.1</v>
      </c>
      <c r="H471" s="5" t="s">
        <v>637</v>
      </c>
      <c r="I471" s="10">
        <f>IF(OR(D471="", F471=""), "", F471 * VLOOKUP(D471, Products!A:E, 5, FALSE) * (1 - G471))</f>
        <v>5473.62</v>
      </c>
      <c r="J471" s="10"/>
    </row>
    <row r="472" spans="1:10" ht="15.75" customHeight="1" x14ac:dyDescent="0.3">
      <c r="A472" s="5" t="s">
        <v>1339</v>
      </c>
      <c r="B472" s="11">
        <v>45234</v>
      </c>
      <c r="C472" s="5" t="s">
        <v>736</v>
      </c>
      <c r="D472" s="5" t="s">
        <v>285</v>
      </c>
      <c r="E472" s="5" t="s">
        <v>33</v>
      </c>
      <c r="F472" s="5">
        <v>5</v>
      </c>
      <c r="G472" s="19">
        <v>0</v>
      </c>
      <c r="H472" s="5" t="s">
        <v>454</v>
      </c>
      <c r="I472" s="10">
        <f>IF(OR(D472="", F472=""), "", F472 * VLOOKUP(D472, Products!A:E, 5, FALSE) * (1 - G472))</f>
        <v>1941.3</v>
      </c>
      <c r="J472" s="10"/>
    </row>
    <row r="473" spans="1:10" ht="15.75" customHeight="1" x14ac:dyDescent="0.3">
      <c r="A473" s="5" t="s">
        <v>1340</v>
      </c>
      <c r="B473" s="11">
        <v>45635</v>
      </c>
      <c r="C473" s="5" t="s">
        <v>507</v>
      </c>
      <c r="D473" s="5" t="s">
        <v>122</v>
      </c>
      <c r="E473" s="5" t="s">
        <v>33</v>
      </c>
      <c r="F473" s="5">
        <v>5</v>
      </c>
      <c r="G473" s="19">
        <v>0.05</v>
      </c>
      <c r="H473" s="5" t="s">
        <v>454</v>
      </c>
      <c r="I473" s="10">
        <f>IF(OR(D473="", F473=""), "", F473 * VLOOKUP(D473, Products!A:E, 5, FALSE) * (1 - G473))</f>
        <v>8373.8700000000008</v>
      </c>
      <c r="J473" s="10"/>
    </row>
    <row r="474" spans="1:10" ht="15.75" customHeight="1" x14ac:dyDescent="0.3">
      <c r="A474" s="5" t="s">
        <v>1341</v>
      </c>
      <c r="B474" s="11">
        <v>45561</v>
      </c>
      <c r="C474" s="5" t="s">
        <v>740</v>
      </c>
      <c r="D474" s="5" t="s">
        <v>89</v>
      </c>
      <c r="E474" s="5" t="s">
        <v>37</v>
      </c>
      <c r="F474" s="5">
        <v>1</v>
      </c>
      <c r="G474" s="19">
        <v>0.05</v>
      </c>
      <c r="H474" s="5" t="s">
        <v>454</v>
      </c>
      <c r="I474" s="10">
        <f>IF(OR(D474="", F474=""), "", F474 * VLOOKUP(D474, Products!A:E, 5, FALSE) * (1 - G474))</f>
        <v>1078.06</v>
      </c>
      <c r="J474" s="10"/>
    </row>
    <row r="475" spans="1:10" ht="15.75" customHeight="1" x14ac:dyDescent="0.3">
      <c r="A475" s="5" t="s">
        <v>1342</v>
      </c>
      <c r="B475" s="11">
        <v>45297</v>
      </c>
      <c r="C475" s="5" t="s">
        <v>255</v>
      </c>
      <c r="D475" s="5" t="s">
        <v>168</v>
      </c>
      <c r="E475" s="5" t="s">
        <v>25</v>
      </c>
      <c r="F475" s="5">
        <v>3</v>
      </c>
      <c r="G475" s="19">
        <v>0</v>
      </c>
      <c r="H475" s="5" t="s">
        <v>697</v>
      </c>
      <c r="I475" s="10">
        <f>IF(OR(D475="", F475=""), "", F475 * VLOOKUP(D475, Products!A:E, 5, FALSE) * (1 - G475))</f>
        <v>3047.2799999999997</v>
      </c>
      <c r="J475" s="10"/>
    </row>
    <row r="476" spans="1:10" ht="15.75" customHeight="1" x14ac:dyDescent="0.3">
      <c r="A476" s="5" t="s">
        <v>1343</v>
      </c>
      <c r="B476" s="11">
        <v>45729</v>
      </c>
      <c r="C476" s="5" t="s">
        <v>526</v>
      </c>
      <c r="D476" s="5" t="s">
        <v>50</v>
      </c>
      <c r="E476" s="5" t="s">
        <v>25</v>
      </c>
      <c r="F476" s="5">
        <v>5</v>
      </c>
      <c r="G476" s="19">
        <v>0.15</v>
      </c>
      <c r="H476" s="5" t="s">
        <v>637</v>
      </c>
      <c r="I476" s="10">
        <f>IF(OR(D476="", F476=""), "", F476 * VLOOKUP(D476, Products!A:E, 5, FALSE) * (1 - G476))</f>
        <v>1434.9275</v>
      </c>
      <c r="J476" s="10"/>
    </row>
    <row r="477" spans="1:10" ht="15.75" customHeight="1" x14ac:dyDescent="0.3">
      <c r="A477" s="5" t="s">
        <v>1344</v>
      </c>
      <c r="B477" s="11">
        <v>45441</v>
      </c>
      <c r="C477" s="5" t="s">
        <v>724</v>
      </c>
      <c r="D477" s="5" t="s">
        <v>109</v>
      </c>
      <c r="E477" s="5" t="s">
        <v>25</v>
      </c>
      <c r="F477" s="5">
        <v>5</v>
      </c>
      <c r="G477" s="19">
        <v>0.15</v>
      </c>
      <c r="H477" s="5" t="s">
        <v>637</v>
      </c>
      <c r="I477" s="10">
        <f>IF(OR(D477="", F477=""), "", F477 * VLOOKUP(D477, Products!A:E, 5, FALSE) * (1 - G477))</f>
        <v>7899.6875</v>
      </c>
      <c r="J477" s="10"/>
    </row>
    <row r="478" spans="1:10" ht="15.75" customHeight="1" x14ac:dyDescent="0.3">
      <c r="A478" s="5" t="s">
        <v>1345</v>
      </c>
      <c r="B478" s="11">
        <v>45743</v>
      </c>
      <c r="C478" s="5" t="s">
        <v>342</v>
      </c>
      <c r="D478" s="5" t="s">
        <v>188</v>
      </c>
      <c r="E478" s="5" t="s">
        <v>33</v>
      </c>
      <c r="F478" s="5">
        <v>5</v>
      </c>
      <c r="G478" s="19">
        <v>0.05</v>
      </c>
      <c r="H478" s="5" t="s">
        <v>697</v>
      </c>
      <c r="I478" s="10">
        <f>IF(OR(D478="", F478=""), "", F478 * VLOOKUP(D478, Products!A:E, 5, FALSE) * (1 - G478))</f>
        <v>7053.9874999999993</v>
      </c>
      <c r="J478" s="10"/>
    </row>
    <row r="479" spans="1:10" ht="15.75" customHeight="1" x14ac:dyDescent="0.3">
      <c r="A479" s="5" t="s">
        <v>1346</v>
      </c>
      <c r="B479" s="11">
        <v>45466</v>
      </c>
      <c r="C479" s="5" t="s">
        <v>631</v>
      </c>
      <c r="D479" s="5" t="s">
        <v>89</v>
      </c>
      <c r="E479" s="5" t="s">
        <v>29</v>
      </c>
      <c r="F479" s="5">
        <v>2</v>
      </c>
      <c r="G479" s="19">
        <v>0.05</v>
      </c>
      <c r="H479" s="5" t="s">
        <v>454</v>
      </c>
      <c r="I479" s="10">
        <f>IF(OR(D479="", F479=""), "", F479 * VLOOKUP(D479, Products!A:E, 5, FALSE) * (1 - G479))</f>
        <v>2156.12</v>
      </c>
      <c r="J479" s="10"/>
    </row>
    <row r="480" spans="1:10" ht="15.75" customHeight="1" x14ac:dyDescent="0.3">
      <c r="A480" s="5" t="s">
        <v>1347</v>
      </c>
      <c r="B480" s="11">
        <v>45605</v>
      </c>
      <c r="C480" s="5" t="s">
        <v>597</v>
      </c>
      <c r="D480" s="5" t="s">
        <v>162</v>
      </c>
      <c r="E480" s="5" t="s">
        <v>37</v>
      </c>
      <c r="F480" s="5">
        <v>1</v>
      </c>
      <c r="G480" s="19">
        <v>0.1</v>
      </c>
      <c r="H480" s="5" t="s">
        <v>776</v>
      </c>
      <c r="I480" s="10">
        <f>IF(OR(D480="", F480=""), "", F480 * VLOOKUP(D480, Products!A:E, 5, FALSE) * (1 - G480))</f>
        <v>386.23500000000001</v>
      </c>
      <c r="J480" s="10"/>
    </row>
    <row r="481" spans="1:10" ht="15.75" customHeight="1" x14ac:dyDescent="0.3">
      <c r="A481" s="5" t="s">
        <v>1348</v>
      </c>
      <c r="B481" s="11">
        <v>45634</v>
      </c>
      <c r="C481" s="5" t="s">
        <v>628</v>
      </c>
      <c r="D481" s="5" t="s">
        <v>54</v>
      </c>
      <c r="E481" s="5" t="s">
        <v>25</v>
      </c>
      <c r="F481" s="5">
        <v>2</v>
      </c>
      <c r="G481" s="19">
        <v>0.15</v>
      </c>
      <c r="H481" s="5" t="s">
        <v>637</v>
      </c>
      <c r="I481" s="10">
        <f>IF(OR(D481="", F481=""), "", F481 * VLOOKUP(D481, Products!A:E, 5, FALSE) * (1 - G481))</f>
        <v>3151.4090000000001</v>
      </c>
      <c r="J481" s="10"/>
    </row>
    <row r="482" spans="1:10" ht="15.75" customHeight="1" x14ac:dyDescent="0.3">
      <c r="A482" s="5" t="s">
        <v>1349</v>
      </c>
      <c r="B482" s="11">
        <v>45652</v>
      </c>
      <c r="C482" s="5" t="s">
        <v>557</v>
      </c>
      <c r="D482" s="5" t="s">
        <v>206</v>
      </c>
      <c r="E482" s="5" t="s">
        <v>33</v>
      </c>
      <c r="F482" s="5">
        <v>4</v>
      </c>
      <c r="G482" s="19">
        <v>0.15</v>
      </c>
      <c r="H482" s="5" t="s">
        <v>637</v>
      </c>
      <c r="I482" s="10">
        <f>IF(OR(D482="", F482=""), "", F482 * VLOOKUP(D482, Products!A:E, 5, FALSE) * (1 - G482))</f>
        <v>1036.0139999999999</v>
      </c>
      <c r="J482" s="10"/>
    </row>
    <row r="483" spans="1:10" ht="15.75" customHeight="1" x14ac:dyDescent="0.3">
      <c r="A483" s="5" t="s">
        <v>1350</v>
      </c>
      <c r="B483" s="11">
        <v>45478</v>
      </c>
      <c r="C483" s="5" t="s">
        <v>322</v>
      </c>
      <c r="D483" s="5" t="s">
        <v>61</v>
      </c>
      <c r="E483" s="5" t="s">
        <v>21</v>
      </c>
      <c r="F483" s="5">
        <v>5</v>
      </c>
      <c r="G483" s="19">
        <v>0</v>
      </c>
      <c r="H483" s="5" t="s">
        <v>697</v>
      </c>
      <c r="I483" s="10">
        <f>IF(OR(D483="", F483=""), "", F483 * VLOOKUP(D483, Products!A:E, 5, FALSE) * (1 - G483))</f>
        <v>1590.25</v>
      </c>
      <c r="J483" s="10"/>
    </row>
    <row r="484" spans="1:10" ht="15.75" customHeight="1" x14ac:dyDescent="0.3">
      <c r="A484" s="5" t="s">
        <v>1351</v>
      </c>
      <c r="B484" s="11">
        <v>45185</v>
      </c>
      <c r="C484" s="5" t="s">
        <v>447</v>
      </c>
      <c r="D484" s="5" t="s">
        <v>70</v>
      </c>
      <c r="E484" s="5" t="s">
        <v>21</v>
      </c>
      <c r="F484" s="5">
        <v>3</v>
      </c>
      <c r="G484" s="19">
        <v>0.05</v>
      </c>
      <c r="H484" s="5" t="s">
        <v>454</v>
      </c>
      <c r="I484" s="10">
        <f>IF(OR(D484="", F484=""), "", F484 * VLOOKUP(D484, Products!A:E, 5, FALSE) * (1 - G484))</f>
        <v>351.0915</v>
      </c>
      <c r="J484" s="10"/>
    </row>
    <row r="485" spans="1:10" ht="15.75" customHeight="1" x14ac:dyDescent="0.3">
      <c r="A485" s="5" t="s">
        <v>1352</v>
      </c>
      <c r="B485" s="11">
        <v>45899</v>
      </c>
      <c r="C485" s="5" t="s">
        <v>326</v>
      </c>
      <c r="D485" s="5" t="s">
        <v>188</v>
      </c>
      <c r="E485" s="5" t="s">
        <v>33</v>
      </c>
      <c r="F485" s="5">
        <v>5</v>
      </c>
      <c r="G485" s="19">
        <v>0.15</v>
      </c>
      <c r="H485" s="5" t="s">
        <v>776</v>
      </c>
      <c r="I485" s="10">
        <f>IF(OR(D485="", F485=""), "", F485 * VLOOKUP(D485, Products!A:E, 5, FALSE) * (1 - G485))</f>
        <v>6311.4624999999996</v>
      </c>
      <c r="J485" s="10"/>
    </row>
    <row r="486" spans="1:10" ht="15.75" customHeight="1" x14ac:dyDescent="0.3">
      <c r="A486" s="5" t="s">
        <v>1353</v>
      </c>
      <c r="B486" s="11">
        <v>45882</v>
      </c>
      <c r="C486" s="5" t="s">
        <v>705</v>
      </c>
      <c r="D486" s="5" t="s">
        <v>180</v>
      </c>
      <c r="E486" s="5" t="s">
        <v>21</v>
      </c>
      <c r="F486" s="5">
        <v>3</v>
      </c>
      <c r="G486" s="19">
        <v>0.1</v>
      </c>
      <c r="H486" s="5" t="s">
        <v>776</v>
      </c>
      <c r="I486" s="10">
        <f>IF(OR(D486="", F486=""), "", F486 * VLOOKUP(D486, Products!A:E, 5, FALSE) * (1 - G486))</f>
        <v>1819.2059999999999</v>
      </c>
      <c r="J486" s="10"/>
    </row>
    <row r="487" spans="1:10" ht="15.75" customHeight="1" x14ac:dyDescent="0.3">
      <c r="A487" s="5" t="s">
        <v>1354</v>
      </c>
      <c r="B487" s="11">
        <v>45593</v>
      </c>
      <c r="C487" s="5" t="s">
        <v>862</v>
      </c>
      <c r="D487" s="5" t="s">
        <v>175</v>
      </c>
      <c r="E487" s="5" t="s">
        <v>33</v>
      </c>
      <c r="F487" s="5">
        <v>5</v>
      </c>
      <c r="G487" s="19">
        <v>0.05</v>
      </c>
      <c r="H487" s="5" t="s">
        <v>637</v>
      </c>
      <c r="I487" s="10">
        <f>IF(OR(D487="", F487=""), "", F487 * VLOOKUP(D487, Products!A:E, 5, FALSE) * (1 - G487))</f>
        <v>6043.0924999999997</v>
      </c>
      <c r="J487" s="10"/>
    </row>
    <row r="488" spans="1:10" ht="15.75" customHeight="1" x14ac:dyDescent="0.3">
      <c r="A488" s="5" t="s">
        <v>1355</v>
      </c>
      <c r="B488" s="11">
        <v>45395</v>
      </c>
      <c r="C488" s="5" t="s">
        <v>235</v>
      </c>
      <c r="D488" s="5" t="s">
        <v>89</v>
      </c>
      <c r="E488" s="5" t="s">
        <v>25</v>
      </c>
      <c r="F488" s="5">
        <v>3</v>
      </c>
      <c r="G488" s="19">
        <v>0</v>
      </c>
      <c r="H488" s="5" t="s">
        <v>637</v>
      </c>
      <c r="I488" s="10">
        <f>IF(OR(D488="", F488=""), "", F488 * VLOOKUP(D488, Products!A:E, 5, FALSE) * (1 - G488))</f>
        <v>3404.3999999999996</v>
      </c>
      <c r="J488" s="10"/>
    </row>
    <row r="489" spans="1:10" ht="15.75" customHeight="1" x14ac:dyDescent="0.3">
      <c r="A489" s="5" t="s">
        <v>1356</v>
      </c>
      <c r="B489" s="11">
        <v>45405</v>
      </c>
      <c r="C489" s="5" t="s">
        <v>420</v>
      </c>
      <c r="D489" s="5" t="s">
        <v>82</v>
      </c>
      <c r="E489" s="5" t="s">
        <v>29</v>
      </c>
      <c r="F489" s="5">
        <v>1</v>
      </c>
      <c r="G489" s="19">
        <v>0.15</v>
      </c>
      <c r="H489" s="5" t="s">
        <v>776</v>
      </c>
      <c r="I489" s="10">
        <f>IF(OR(D489="", F489=""), "", F489 * VLOOKUP(D489, Products!A:E, 5, FALSE) * (1 - G489))</f>
        <v>1014.1264999999999</v>
      </c>
      <c r="J489" s="10"/>
    </row>
    <row r="490" spans="1:10" ht="15.75" customHeight="1" x14ac:dyDescent="0.3">
      <c r="A490" s="5" t="s">
        <v>1357</v>
      </c>
      <c r="B490" s="11">
        <v>45735</v>
      </c>
      <c r="C490" s="5" t="s">
        <v>876</v>
      </c>
      <c r="D490" s="5" t="s">
        <v>70</v>
      </c>
      <c r="E490" s="5" t="s">
        <v>25</v>
      </c>
      <c r="F490" s="5">
        <v>2</v>
      </c>
      <c r="G490" s="19">
        <v>0.1</v>
      </c>
      <c r="H490" s="5" t="s">
        <v>637</v>
      </c>
      <c r="I490" s="10">
        <f>IF(OR(D490="", F490=""), "", F490 * VLOOKUP(D490, Products!A:E, 5, FALSE) * (1 - G490))</f>
        <v>221.74199999999999</v>
      </c>
      <c r="J490" s="10"/>
    </row>
    <row r="491" spans="1:10" ht="15.75" customHeight="1" x14ac:dyDescent="0.3">
      <c r="A491" s="5" t="s">
        <v>1358</v>
      </c>
      <c r="B491" s="11">
        <v>45806</v>
      </c>
      <c r="C491" s="5" t="s">
        <v>322</v>
      </c>
      <c r="D491" s="5" t="s">
        <v>265</v>
      </c>
      <c r="E491" s="5" t="s">
        <v>37</v>
      </c>
      <c r="F491" s="5">
        <v>2</v>
      </c>
      <c r="G491" s="19">
        <v>0.05</v>
      </c>
      <c r="H491" s="5" t="s">
        <v>697</v>
      </c>
      <c r="I491" s="10">
        <f>IF(OR(D491="", F491=""), "", F491 * VLOOKUP(D491, Products!A:E, 5, FALSE) * (1 - G491))</f>
        <v>1072.3979999999999</v>
      </c>
      <c r="J491" s="10"/>
    </row>
    <row r="492" spans="1:10" ht="15.75" customHeight="1" x14ac:dyDescent="0.3">
      <c r="A492" s="5" t="s">
        <v>1359</v>
      </c>
      <c r="B492" s="11">
        <v>45578</v>
      </c>
      <c r="C492" s="5" t="s">
        <v>171</v>
      </c>
      <c r="D492" s="5" t="s">
        <v>180</v>
      </c>
      <c r="E492" s="5" t="s">
        <v>37</v>
      </c>
      <c r="F492" s="5">
        <v>3</v>
      </c>
      <c r="G492" s="19">
        <v>0.1</v>
      </c>
      <c r="H492" s="5" t="s">
        <v>697</v>
      </c>
      <c r="I492" s="10">
        <f>IF(OR(D492="", F492=""), "", F492 * VLOOKUP(D492, Products!A:E, 5, FALSE) * (1 - G492))</f>
        <v>1819.2059999999999</v>
      </c>
      <c r="J492" s="10"/>
    </row>
    <row r="493" spans="1:10" ht="15.75" customHeight="1" x14ac:dyDescent="0.3">
      <c r="A493" s="5" t="s">
        <v>1360</v>
      </c>
      <c r="B493" s="11">
        <v>45776</v>
      </c>
      <c r="C493" s="5" t="s">
        <v>477</v>
      </c>
      <c r="D493" s="5" t="s">
        <v>54</v>
      </c>
      <c r="E493" s="5" t="s">
        <v>29</v>
      </c>
      <c r="F493" s="5">
        <v>3</v>
      </c>
      <c r="G493" s="19">
        <v>0.1</v>
      </c>
      <c r="H493" s="5" t="s">
        <v>776</v>
      </c>
      <c r="I493" s="10">
        <f>IF(OR(D493="", F493=""), "", F493 * VLOOKUP(D493, Products!A:E, 5, FALSE) * (1 - G493))</f>
        <v>5005.1790000000001</v>
      </c>
      <c r="J493" s="10"/>
    </row>
    <row r="494" spans="1:10" ht="15.75" customHeight="1" x14ac:dyDescent="0.3">
      <c r="A494" s="5" t="s">
        <v>1361</v>
      </c>
      <c r="B494" s="11">
        <v>45725</v>
      </c>
      <c r="C494" s="5" t="s">
        <v>286</v>
      </c>
      <c r="D494" s="5" t="s">
        <v>280</v>
      </c>
      <c r="E494" s="5" t="s">
        <v>33</v>
      </c>
      <c r="F494" s="5">
        <v>1</v>
      </c>
      <c r="G494" s="19">
        <v>0.1</v>
      </c>
      <c r="H494" s="5" t="s">
        <v>697</v>
      </c>
      <c r="I494" s="10">
        <f>IF(OR(D494="", F494=""), "", F494 * VLOOKUP(D494, Products!A:E, 5, FALSE) * (1 - G494))</f>
        <v>1094.7239999999999</v>
      </c>
      <c r="J494" s="10"/>
    </row>
    <row r="495" spans="1:10" ht="15.75" customHeight="1" x14ac:dyDescent="0.3">
      <c r="A495" s="5" t="s">
        <v>1362</v>
      </c>
      <c r="B495" s="11">
        <v>45297</v>
      </c>
      <c r="C495" s="5" t="s">
        <v>811</v>
      </c>
      <c r="D495" s="5" t="s">
        <v>217</v>
      </c>
      <c r="E495" s="5" t="s">
        <v>25</v>
      </c>
      <c r="F495" s="5">
        <v>2</v>
      </c>
      <c r="G495" s="19">
        <v>0.05</v>
      </c>
      <c r="H495" s="5" t="s">
        <v>454</v>
      </c>
      <c r="I495" s="10">
        <f>IF(OR(D495="", F495=""), "", F495 * VLOOKUP(D495, Products!A:E, 5, FALSE) * (1 - G495))</f>
        <v>813.29499999999996</v>
      </c>
      <c r="J495" s="10"/>
    </row>
    <row r="496" spans="1:10" ht="15.75" customHeight="1" x14ac:dyDescent="0.3">
      <c r="A496" s="5" t="s">
        <v>1363</v>
      </c>
      <c r="B496" s="11">
        <v>45491</v>
      </c>
      <c r="C496" s="5" t="s">
        <v>405</v>
      </c>
      <c r="D496" s="5" t="s">
        <v>122</v>
      </c>
      <c r="E496" s="5" t="s">
        <v>33</v>
      </c>
      <c r="F496" s="5">
        <v>4</v>
      </c>
      <c r="G496" s="19">
        <v>0.05</v>
      </c>
      <c r="H496" s="5" t="s">
        <v>454</v>
      </c>
      <c r="I496" s="10">
        <f>IF(OR(D496="", F496=""), "", F496 * VLOOKUP(D496, Products!A:E, 5, FALSE) * (1 - G496))</f>
        <v>6699.0959999999995</v>
      </c>
      <c r="J496" s="10"/>
    </row>
    <row r="497" spans="1:10" ht="15.75" customHeight="1" x14ac:dyDescent="0.3">
      <c r="A497" s="5" t="s">
        <v>1364</v>
      </c>
      <c r="B497" s="11">
        <v>45570</v>
      </c>
      <c r="C497" s="5" t="s">
        <v>750</v>
      </c>
      <c r="D497" s="5" t="s">
        <v>265</v>
      </c>
      <c r="E497" s="5" t="s">
        <v>33</v>
      </c>
      <c r="F497" s="5">
        <v>4</v>
      </c>
      <c r="G497" s="19">
        <v>0.15</v>
      </c>
      <c r="H497" s="5" t="s">
        <v>776</v>
      </c>
      <c r="I497" s="10">
        <f>IF(OR(D497="", F497=""), "", F497 * VLOOKUP(D497, Products!A:E, 5, FALSE) * (1 - G497))</f>
        <v>1919.0279999999998</v>
      </c>
      <c r="J497" s="10"/>
    </row>
    <row r="498" spans="1:10" ht="15.75" customHeight="1" x14ac:dyDescent="0.3">
      <c r="A498" s="5" t="s">
        <v>1365</v>
      </c>
      <c r="B498" s="11">
        <v>45662</v>
      </c>
      <c r="C498" s="5" t="s">
        <v>755</v>
      </c>
      <c r="D498" s="5" t="s">
        <v>262</v>
      </c>
      <c r="E498" s="5" t="s">
        <v>21</v>
      </c>
      <c r="F498" s="5">
        <v>4</v>
      </c>
      <c r="G498" s="19">
        <v>0.1</v>
      </c>
      <c r="H498" s="5" t="s">
        <v>454</v>
      </c>
      <c r="I498" s="10">
        <f>IF(OR(D498="", F498=""), "", F498 * VLOOKUP(D498, Products!A:E, 5, FALSE) * (1 - G498))</f>
        <v>1633.0320000000002</v>
      </c>
      <c r="J498" s="10"/>
    </row>
    <row r="499" spans="1:10" ht="15.75" customHeight="1" x14ac:dyDescent="0.3">
      <c r="A499" s="5" t="s">
        <v>1366</v>
      </c>
      <c r="B499" s="11">
        <v>45462</v>
      </c>
      <c r="C499" s="5" t="s">
        <v>600</v>
      </c>
      <c r="D499" s="5" t="s">
        <v>188</v>
      </c>
      <c r="E499" s="5" t="s">
        <v>33</v>
      </c>
      <c r="F499" s="5">
        <v>3</v>
      </c>
      <c r="G499" s="19">
        <v>0</v>
      </c>
      <c r="H499" s="5" t="s">
        <v>776</v>
      </c>
      <c r="I499" s="10">
        <f>IF(OR(D499="", F499=""), "", F499 * VLOOKUP(D499, Products!A:E, 5, FALSE) * (1 - G499))</f>
        <v>4455.1499999999996</v>
      </c>
      <c r="J499" s="10"/>
    </row>
    <row r="500" spans="1:10" ht="15.75" customHeight="1" x14ac:dyDescent="0.3">
      <c r="A500" s="5" t="s">
        <v>1367</v>
      </c>
      <c r="B500" s="11">
        <v>45882</v>
      </c>
      <c r="C500" s="5" t="s">
        <v>840</v>
      </c>
      <c r="D500" s="5" t="s">
        <v>193</v>
      </c>
      <c r="E500" s="5" t="s">
        <v>33</v>
      </c>
      <c r="F500" s="5">
        <v>3</v>
      </c>
      <c r="G500" s="19">
        <v>0</v>
      </c>
      <c r="H500" s="5" t="s">
        <v>637</v>
      </c>
      <c r="I500" s="10">
        <f>IF(OR(D500="", F500=""), "", F500 * VLOOKUP(D500, Products!A:E, 5, FALSE) * (1 - G500))</f>
        <v>87.72</v>
      </c>
      <c r="J500" s="10"/>
    </row>
    <row r="501" spans="1:10" ht="15.75" customHeight="1" x14ac:dyDescent="0.3">
      <c r="A501" s="5" t="s">
        <v>1368</v>
      </c>
      <c r="B501" s="11">
        <v>45407</v>
      </c>
      <c r="C501" s="5" t="s">
        <v>372</v>
      </c>
      <c r="D501" s="5" t="s">
        <v>291</v>
      </c>
      <c r="E501" s="5" t="s">
        <v>33</v>
      </c>
      <c r="F501" s="5">
        <v>2</v>
      </c>
      <c r="G501" s="19">
        <v>0.15</v>
      </c>
      <c r="H501" s="5" t="s">
        <v>454</v>
      </c>
      <c r="I501" s="10">
        <f>IF(OR(D501="", F501=""), "", F501 * VLOOKUP(D501, Products!A:E, 5, FALSE) * (1 - G501))</f>
        <v>1775.8880000000001</v>
      </c>
      <c r="J501" s="10"/>
    </row>
    <row r="502" spans="1:10" ht="15.75" customHeight="1" x14ac:dyDescent="0.3">
      <c r="A502" s="5" t="s">
        <v>1369</v>
      </c>
      <c r="B502" s="11">
        <v>45264</v>
      </c>
      <c r="C502" s="5" t="s">
        <v>477</v>
      </c>
      <c r="D502" s="5" t="s">
        <v>54</v>
      </c>
      <c r="E502" s="5" t="s">
        <v>29</v>
      </c>
      <c r="F502" s="5">
        <v>3</v>
      </c>
      <c r="G502" s="19">
        <v>0.05</v>
      </c>
      <c r="H502" s="5" t="s">
        <v>637</v>
      </c>
      <c r="I502" s="10">
        <f>IF(OR(D502="", F502=""), "", F502 * VLOOKUP(D502, Products!A:E, 5, FALSE) * (1 - G502))</f>
        <v>5283.2444999999989</v>
      </c>
      <c r="J502" s="10"/>
    </row>
    <row r="503" spans="1:10" ht="15.75" customHeight="1" x14ac:dyDescent="0.3">
      <c r="A503" s="5" t="s">
        <v>1370</v>
      </c>
      <c r="B503" s="11">
        <v>45856</v>
      </c>
      <c r="C503" s="5" t="s">
        <v>495</v>
      </c>
      <c r="D503" s="5" t="s">
        <v>221</v>
      </c>
      <c r="E503" s="5" t="s">
        <v>21</v>
      </c>
      <c r="F503" s="5">
        <v>1</v>
      </c>
      <c r="G503" s="19">
        <v>0</v>
      </c>
      <c r="H503" s="5" t="s">
        <v>637</v>
      </c>
      <c r="I503" s="10">
        <f>IF(OR(D503="", F503=""), "", F503 * VLOOKUP(D503, Products!A:E, 5, FALSE) * (1 - G503))</f>
        <v>1562.43</v>
      </c>
      <c r="J503" s="10"/>
    </row>
    <row r="504" spans="1:10" ht="15.75" customHeight="1" x14ac:dyDescent="0.3">
      <c r="A504" s="5" t="s">
        <v>1371</v>
      </c>
      <c r="B504" s="11">
        <v>45622</v>
      </c>
      <c r="C504" s="5" t="s">
        <v>100</v>
      </c>
      <c r="D504" s="5" t="s">
        <v>103</v>
      </c>
      <c r="E504" s="5" t="s">
        <v>21</v>
      </c>
      <c r="F504" s="5">
        <v>2</v>
      </c>
      <c r="G504" s="19">
        <v>0.15</v>
      </c>
      <c r="H504" s="5" t="s">
        <v>637</v>
      </c>
      <c r="I504" s="10">
        <f>IF(OR(D504="", F504=""), "", F504 * VLOOKUP(D504, Products!A:E, 5, FALSE) * (1 - G504))</f>
        <v>459.76499999999999</v>
      </c>
      <c r="J504" s="10"/>
    </row>
    <row r="505" spans="1:10" ht="15.75" customHeight="1" x14ac:dyDescent="0.3">
      <c r="A505" s="5" t="s">
        <v>1372</v>
      </c>
      <c r="B505" s="11">
        <v>45897</v>
      </c>
      <c r="C505" s="5" t="s">
        <v>16</v>
      </c>
      <c r="D505" s="5" t="s">
        <v>188</v>
      </c>
      <c r="E505" s="5" t="s">
        <v>33</v>
      </c>
      <c r="F505" s="5">
        <v>2</v>
      </c>
      <c r="G505" s="19">
        <v>0.05</v>
      </c>
      <c r="H505" s="5" t="s">
        <v>454</v>
      </c>
      <c r="I505" s="10">
        <f>IF(OR(D505="", F505=""), "", F505 * VLOOKUP(D505, Products!A:E, 5, FALSE) * (1 - G505))</f>
        <v>2821.5949999999998</v>
      </c>
      <c r="J505" s="10"/>
    </row>
    <row r="506" spans="1:10" ht="15.75" customHeight="1" x14ac:dyDescent="0.3">
      <c r="A506" s="5" t="s">
        <v>1373</v>
      </c>
      <c r="B506" s="11">
        <v>45772</v>
      </c>
      <c r="C506" s="5" t="s">
        <v>312</v>
      </c>
      <c r="D506" s="5" t="s">
        <v>269</v>
      </c>
      <c r="E506" s="5" t="s">
        <v>29</v>
      </c>
      <c r="F506" s="5">
        <v>1</v>
      </c>
      <c r="G506" s="19">
        <v>0.1</v>
      </c>
      <c r="H506" s="5" t="s">
        <v>454</v>
      </c>
      <c r="I506" s="10">
        <f>IF(OR(D506="", F506=""), "", F506 * VLOOKUP(D506, Products!A:E, 5, FALSE) * (1 - G506))</f>
        <v>1691.172</v>
      </c>
      <c r="J506" s="10"/>
    </row>
    <row r="507" spans="1:10" ht="15.75" customHeight="1" x14ac:dyDescent="0.3">
      <c r="A507" s="5" t="s">
        <v>1374</v>
      </c>
      <c r="B507" s="11">
        <v>45272</v>
      </c>
      <c r="C507" s="5" t="s">
        <v>203</v>
      </c>
      <c r="D507" s="5" t="s">
        <v>212</v>
      </c>
      <c r="E507" s="5" t="s">
        <v>29</v>
      </c>
      <c r="F507" s="5">
        <v>2</v>
      </c>
      <c r="G507" s="19">
        <v>0</v>
      </c>
      <c r="H507" s="5" t="s">
        <v>637</v>
      </c>
      <c r="I507" s="10">
        <f>IF(OR(D507="", F507=""), "", F507 * VLOOKUP(D507, Products!A:E, 5, FALSE) * (1 - G507))</f>
        <v>3597.94</v>
      </c>
      <c r="J507" s="10"/>
    </row>
    <row r="508" spans="1:10" ht="15.75" customHeight="1" x14ac:dyDescent="0.3">
      <c r="A508" s="5" t="s">
        <v>1375</v>
      </c>
      <c r="B508" s="11">
        <v>45688</v>
      </c>
      <c r="C508" s="5" t="s">
        <v>750</v>
      </c>
      <c r="D508" s="5" t="s">
        <v>269</v>
      </c>
      <c r="E508" s="5" t="s">
        <v>29</v>
      </c>
      <c r="F508" s="5">
        <v>2</v>
      </c>
      <c r="G508" s="19">
        <v>0.15</v>
      </c>
      <c r="H508" s="5" t="s">
        <v>776</v>
      </c>
      <c r="I508" s="10">
        <f>IF(OR(D508="", F508=""), "", F508 * VLOOKUP(D508, Products!A:E, 5, FALSE) * (1 - G508))</f>
        <v>3194.4359999999997</v>
      </c>
      <c r="J508" s="10"/>
    </row>
    <row r="509" spans="1:10" ht="15.75" customHeight="1" x14ac:dyDescent="0.3">
      <c r="A509" s="5" t="s">
        <v>1376</v>
      </c>
      <c r="B509" s="11">
        <v>45532</v>
      </c>
      <c r="C509" s="5" t="s">
        <v>815</v>
      </c>
      <c r="D509" s="5" t="s">
        <v>119</v>
      </c>
      <c r="E509" s="5" t="s">
        <v>21</v>
      </c>
      <c r="F509" s="5">
        <v>1</v>
      </c>
      <c r="G509" s="19">
        <v>0.05</v>
      </c>
      <c r="H509" s="5" t="s">
        <v>637</v>
      </c>
      <c r="I509" s="10">
        <f>IF(OR(D509="", F509=""), "", F509 * VLOOKUP(D509, Products!A:E, 5, FALSE) * (1 - G509))</f>
        <v>1025.8955000000001</v>
      </c>
      <c r="J509" s="10"/>
    </row>
    <row r="510" spans="1:10" ht="15.75" customHeight="1" x14ac:dyDescent="0.3">
      <c r="A510" s="5" t="s">
        <v>1377</v>
      </c>
      <c r="B510" s="11">
        <v>45841</v>
      </c>
      <c r="C510" s="5" t="s">
        <v>191</v>
      </c>
      <c r="D510" s="5" t="s">
        <v>188</v>
      </c>
      <c r="E510" s="5" t="s">
        <v>25</v>
      </c>
      <c r="F510" s="5">
        <v>5</v>
      </c>
      <c r="G510" s="19">
        <v>0.05</v>
      </c>
      <c r="H510" s="5" t="s">
        <v>637</v>
      </c>
      <c r="I510" s="10">
        <f>IF(OR(D510="", F510=""), "", F510 * VLOOKUP(D510, Products!A:E, 5, FALSE) * (1 - G510))</f>
        <v>7053.9874999999993</v>
      </c>
      <c r="J510" s="10"/>
    </row>
    <row r="511" spans="1:10" ht="15.75" customHeight="1" x14ac:dyDescent="0.3">
      <c r="A511" s="5" t="s">
        <v>1378</v>
      </c>
      <c r="B511" s="11">
        <v>45288</v>
      </c>
      <c r="C511" s="5" t="s">
        <v>81</v>
      </c>
      <c r="D511" s="5" t="s">
        <v>65</v>
      </c>
      <c r="E511" s="5" t="s">
        <v>21</v>
      </c>
      <c r="F511" s="5">
        <v>3</v>
      </c>
      <c r="G511" s="19">
        <v>0</v>
      </c>
      <c r="H511" s="5" t="s">
        <v>637</v>
      </c>
      <c r="I511" s="10">
        <f>IF(OR(D511="", F511=""), "", F511 * VLOOKUP(D511, Products!A:E, 5, FALSE) * (1 - G511))</f>
        <v>4422.3599999999997</v>
      </c>
      <c r="J511" s="10"/>
    </row>
    <row r="512" spans="1:10" ht="15.75" customHeight="1" x14ac:dyDescent="0.3">
      <c r="A512" s="5" t="s">
        <v>1379</v>
      </c>
      <c r="B512" s="11">
        <v>45338</v>
      </c>
      <c r="C512" s="5" t="s">
        <v>805</v>
      </c>
      <c r="D512" s="5" t="s">
        <v>77</v>
      </c>
      <c r="E512" s="5" t="s">
        <v>25</v>
      </c>
      <c r="F512" s="5">
        <v>4</v>
      </c>
      <c r="G512" s="19">
        <v>0</v>
      </c>
      <c r="H512" s="5" t="s">
        <v>697</v>
      </c>
      <c r="I512" s="10">
        <f>IF(OR(D512="", F512=""), "", F512 * VLOOKUP(D512, Products!A:E, 5, FALSE) * (1 - G512))</f>
        <v>994.28</v>
      </c>
      <c r="J512" s="10"/>
    </row>
    <row r="513" spans="1:10" ht="15.75" customHeight="1" x14ac:dyDescent="0.3">
      <c r="A513" s="5" t="s">
        <v>1380</v>
      </c>
      <c r="B513" s="11">
        <v>45294</v>
      </c>
      <c r="C513" s="5" t="s">
        <v>536</v>
      </c>
      <c r="D513" s="5" t="s">
        <v>122</v>
      </c>
      <c r="E513" s="5" t="s">
        <v>21</v>
      </c>
      <c r="F513" s="5">
        <v>1</v>
      </c>
      <c r="G513" s="19">
        <v>0</v>
      </c>
      <c r="H513" s="5" t="s">
        <v>454</v>
      </c>
      <c r="I513" s="10">
        <f>IF(OR(D513="", F513=""), "", F513 * VLOOKUP(D513, Products!A:E, 5, FALSE) * (1 - G513))</f>
        <v>1762.92</v>
      </c>
      <c r="J513" s="10"/>
    </row>
    <row r="514" spans="1:10" ht="15.75" customHeight="1" x14ac:dyDescent="0.3">
      <c r="A514" s="5" t="s">
        <v>1381</v>
      </c>
      <c r="B514" s="11">
        <v>45639</v>
      </c>
      <c r="C514" s="5" t="s">
        <v>522</v>
      </c>
      <c r="D514" s="5" t="s">
        <v>265</v>
      </c>
      <c r="E514" s="5" t="s">
        <v>29</v>
      </c>
      <c r="F514" s="5">
        <v>2</v>
      </c>
      <c r="G514" s="19">
        <v>0.15</v>
      </c>
      <c r="H514" s="5" t="s">
        <v>697</v>
      </c>
      <c r="I514" s="10">
        <f>IF(OR(D514="", F514=""), "", F514 * VLOOKUP(D514, Products!A:E, 5, FALSE) * (1 - G514))</f>
        <v>959.5139999999999</v>
      </c>
      <c r="J514" s="10"/>
    </row>
    <row r="515" spans="1:10" ht="15.75" customHeight="1" x14ac:dyDescent="0.3">
      <c r="A515" s="5" t="s">
        <v>1382</v>
      </c>
      <c r="B515" s="11">
        <v>45884</v>
      </c>
      <c r="C515" s="5" t="s">
        <v>762</v>
      </c>
      <c r="D515" s="5" t="s">
        <v>54</v>
      </c>
      <c r="E515" s="5" t="s">
        <v>25</v>
      </c>
      <c r="F515" s="5">
        <v>1</v>
      </c>
      <c r="G515" s="19">
        <v>0</v>
      </c>
      <c r="H515" s="5" t="s">
        <v>697</v>
      </c>
      <c r="I515" s="10">
        <f>IF(OR(D515="", F515=""), "", F515 * VLOOKUP(D515, Products!A:E, 5, FALSE) * (1 - G515))</f>
        <v>1853.77</v>
      </c>
      <c r="J515" s="10"/>
    </row>
    <row r="516" spans="1:10" ht="15.75" customHeight="1" x14ac:dyDescent="0.3">
      <c r="A516" s="5" t="s">
        <v>1383</v>
      </c>
      <c r="B516" s="11">
        <v>45658</v>
      </c>
      <c r="C516" s="5" t="s">
        <v>586</v>
      </c>
      <c r="D516" s="5" t="s">
        <v>47</v>
      </c>
      <c r="E516" s="5" t="s">
        <v>29</v>
      </c>
      <c r="F516" s="5">
        <v>2</v>
      </c>
      <c r="G516" s="19">
        <v>0.05</v>
      </c>
      <c r="H516" s="5" t="s">
        <v>637</v>
      </c>
      <c r="I516" s="10">
        <f>IF(OR(D516="", F516=""), "", F516 * VLOOKUP(D516, Products!A:E, 5, FALSE) * (1 - G516))</f>
        <v>1555.644</v>
      </c>
      <c r="J516" s="10"/>
    </row>
    <row r="517" spans="1:10" ht="15.75" customHeight="1" x14ac:dyDescent="0.3">
      <c r="A517" s="5" t="s">
        <v>1384</v>
      </c>
      <c r="B517" s="11">
        <v>45262</v>
      </c>
      <c r="C517" s="5" t="s">
        <v>740</v>
      </c>
      <c r="D517" s="5" t="s">
        <v>237</v>
      </c>
      <c r="E517" s="5" t="s">
        <v>33</v>
      </c>
      <c r="F517" s="5">
        <v>2</v>
      </c>
      <c r="G517" s="19">
        <v>0</v>
      </c>
      <c r="H517" s="5" t="s">
        <v>776</v>
      </c>
      <c r="I517" s="10">
        <f>IF(OR(D517="", F517=""), "", F517 * VLOOKUP(D517, Products!A:E, 5, FALSE) * (1 - G517))</f>
        <v>733.86</v>
      </c>
      <c r="J517" s="10"/>
    </row>
    <row r="518" spans="1:10" ht="15.75" customHeight="1" x14ac:dyDescent="0.3">
      <c r="A518" s="5" t="s">
        <v>1385</v>
      </c>
      <c r="B518" s="11">
        <v>45445</v>
      </c>
      <c r="C518" s="5" t="s">
        <v>292</v>
      </c>
      <c r="D518" s="5" t="s">
        <v>291</v>
      </c>
      <c r="E518" s="5" t="s">
        <v>21</v>
      </c>
      <c r="F518" s="5">
        <v>5</v>
      </c>
      <c r="G518" s="19">
        <v>0.15</v>
      </c>
      <c r="H518" s="5" t="s">
        <v>454</v>
      </c>
      <c r="I518" s="10">
        <f>IF(OR(D518="", F518=""), "", F518 * VLOOKUP(D518, Products!A:E, 5, FALSE) * (1 - G518))</f>
        <v>4439.72</v>
      </c>
      <c r="J518" s="10"/>
    </row>
    <row r="519" spans="1:10" ht="15.75" customHeight="1" x14ac:dyDescent="0.3">
      <c r="A519" s="5" t="s">
        <v>1386</v>
      </c>
      <c r="B519" s="11">
        <v>45486</v>
      </c>
      <c r="C519" s="5" t="s">
        <v>575</v>
      </c>
      <c r="D519" s="5" t="s">
        <v>147</v>
      </c>
      <c r="E519" s="5" t="s">
        <v>29</v>
      </c>
      <c r="F519" s="5">
        <v>2</v>
      </c>
      <c r="G519" s="19">
        <v>0.05</v>
      </c>
      <c r="H519" s="5" t="s">
        <v>454</v>
      </c>
      <c r="I519" s="10">
        <f>IF(OR(D519="", F519=""), "", F519 * VLOOKUP(D519, Products!A:E, 5, FALSE) * (1 - G519))</f>
        <v>3569.0929999999998</v>
      </c>
      <c r="J519" s="10"/>
    </row>
    <row r="520" spans="1:10" ht="15.75" customHeight="1" x14ac:dyDescent="0.3">
      <c r="A520" s="5" t="s">
        <v>1387</v>
      </c>
      <c r="B520" s="11">
        <v>45894</v>
      </c>
      <c r="C520" s="5" t="s">
        <v>766</v>
      </c>
      <c r="D520" s="5" t="s">
        <v>262</v>
      </c>
      <c r="E520" s="5" t="s">
        <v>21</v>
      </c>
      <c r="F520" s="5">
        <v>2</v>
      </c>
      <c r="G520" s="19">
        <v>0.1</v>
      </c>
      <c r="H520" s="5" t="s">
        <v>776</v>
      </c>
      <c r="I520" s="10">
        <f>IF(OR(D520="", F520=""), "", F520 * VLOOKUP(D520, Products!A:E, 5, FALSE) * (1 - G520))</f>
        <v>816.51600000000008</v>
      </c>
      <c r="J520" s="10"/>
    </row>
    <row r="521" spans="1:10" ht="15.75" customHeight="1" x14ac:dyDescent="0.3">
      <c r="A521" s="5" t="s">
        <v>1388</v>
      </c>
      <c r="B521" s="11">
        <v>45893</v>
      </c>
      <c r="C521" s="5" t="s">
        <v>773</v>
      </c>
      <c r="D521" s="5" t="s">
        <v>249</v>
      </c>
      <c r="E521" s="5" t="s">
        <v>29</v>
      </c>
      <c r="F521" s="5">
        <v>2</v>
      </c>
      <c r="G521" s="19">
        <v>0.05</v>
      </c>
      <c r="H521" s="5" t="s">
        <v>637</v>
      </c>
      <c r="I521" s="10">
        <f>IF(OR(D521="", F521=""), "", F521 * VLOOKUP(D521, Products!A:E, 5, FALSE) * (1 - G521))</f>
        <v>3316.6589999999997</v>
      </c>
      <c r="J521" s="10"/>
    </row>
    <row r="522" spans="1:10" ht="15.75" customHeight="1" x14ac:dyDescent="0.3">
      <c r="A522" s="5" t="s">
        <v>1389</v>
      </c>
      <c r="B522" s="11">
        <v>45536</v>
      </c>
      <c r="C522" s="5" t="s">
        <v>450</v>
      </c>
      <c r="D522" s="5" t="s">
        <v>180</v>
      </c>
      <c r="E522" s="5" t="s">
        <v>21</v>
      </c>
      <c r="F522" s="5">
        <v>2</v>
      </c>
      <c r="G522" s="19">
        <v>0.15</v>
      </c>
      <c r="H522" s="5" t="s">
        <v>637</v>
      </c>
      <c r="I522" s="10">
        <f>IF(OR(D522="", F522=""), "", F522 * VLOOKUP(D522, Products!A:E, 5, FALSE) * (1 - G522))</f>
        <v>1145.4259999999999</v>
      </c>
      <c r="J522" s="10"/>
    </row>
    <row r="523" spans="1:10" ht="15.75" customHeight="1" x14ac:dyDescent="0.3">
      <c r="A523" s="5" t="s">
        <v>1390</v>
      </c>
      <c r="B523" s="11">
        <v>45283</v>
      </c>
      <c r="C523" s="5" t="s">
        <v>245</v>
      </c>
      <c r="D523" s="5" t="s">
        <v>43</v>
      </c>
      <c r="E523" s="5" t="s">
        <v>25</v>
      </c>
      <c r="F523" s="5">
        <v>4</v>
      </c>
      <c r="G523" s="19">
        <v>0</v>
      </c>
      <c r="H523" s="5" t="s">
        <v>776</v>
      </c>
      <c r="I523" s="10">
        <f>IF(OR(D523="", F523=""), "", F523 * VLOOKUP(D523, Products!A:E, 5, FALSE) * (1 - G523))</f>
        <v>6694.76</v>
      </c>
      <c r="J523" s="10"/>
    </row>
    <row r="524" spans="1:10" ht="15.75" customHeight="1" x14ac:dyDescent="0.3">
      <c r="A524" s="5" t="s">
        <v>1391</v>
      </c>
      <c r="B524" s="11">
        <v>45881</v>
      </c>
      <c r="C524" s="5" t="s">
        <v>515</v>
      </c>
      <c r="D524" s="5" t="s">
        <v>272</v>
      </c>
      <c r="E524" s="5" t="s">
        <v>29</v>
      </c>
      <c r="F524" s="5">
        <v>2</v>
      </c>
      <c r="G524" s="19">
        <v>0.15</v>
      </c>
      <c r="H524" s="5" t="s">
        <v>637</v>
      </c>
      <c r="I524" s="10">
        <f>IF(OR(D524="", F524=""), "", F524 * VLOOKUP(D524, Products!A:E, 5, FALSE) * (1 - G524))</f>
        <v>1981.1289999999997</v>
      </c>
      <c r="J524" s="10"/>
    </row>
    <row r="525" spans="1:10" ht="15.75" customHeight="1" x14ac:dyDescent="0.3">
      <c r="A525" s="5" t="s">
        <v>1392</v>
      </c>
      <c r="B525" s="11">
        <v>45316</v>
      </c>
      <c r="C525" s="5" t="s">
        <v>519</v>
      </c>
      <c r="D525" s="5" t="s">
        <v>285</v>
      </c>
      <c r="E525" s="5" t="s">
        <v>37</v>
      </c>
      <c r="F525" s="5">
        <v>2</v>
      </c>
      <c r="G525" s="19">
        <v>0.15</v>
      </c>
      <c r="H525" s="5" t="s">
        <v>776</v>
      </c>
      <c r="I525" s="10">
        <f>IF(OR(D525="", F525=""), "", F525 * VLOOKUP(D525, Products!A:E, 5, FALSE) * (1 - G525))</f>
        <v>660.04199999999992</v>
      </c>
      <c r="J525" s="10"/>
    </row>
    <row r="526" spans="1:10" ht="15.75" customHeight="1" x14ac:dyDescent="0.3">
      <c r="A526" s="5" t="s">
        <v>1393</v>
      </c>
      <c r="B526" s="11">
        <v>45522</v>
      </c>
      <c r="C526" s="5" t="s">
        <v>100</v>
      </c>
      <c r="D526" s="5" t="s">
        <v>109</v>
      </c>
      <c r="E526" s="5" t="s">
        <v>37</v>
      </c>
      <c r="F526" s="5">
        <v>1</v>
      </c>
      <c r="G526" s="19">
        <v>0</v>
      </c>
      <c r="H526" s="5" t="s">
        <v>454</v>
      </c>
      <c r="I526" s="10">
        <f>IF(OR(D526="", F526=""), "", F526 * VLOOKUP(D526, Products!A:E, 5, FALSE) * (1 - G526))</f>
        <v>1858.75</v>
      </c>
      <c r="J526" s="10"/>
    </row>
    <row r="527" spans="1:10" ht="15.75" customHeight="1" x14ac:dyDescent="0.3">
      <c r="A527" s="5" t="s">
        <v>1394</v>
      </c>
      <c r="B527" s="11">
        <v>45586</v>
      </c>
      <c r="C527" s="5" t="s">
        <v>372</v>
      </c>
      <c r="D527" s="5" t="s">
        <v>74</v>
      </c>
      <c r="E527" s="5" t="s">
        <v>21</v>
      </c>
      <c r="F527" s="5">
        <v>1</v>
      </c>
      <c r="G527" s="19">
        <v>0.15</v>
      </c>
      <c r="H527" s="5" t="s">
        <v>454</v>
      </c>
      <c r="I527" s="10">
        <f>IF(OR(D527="", F527=""), "", F527 * VLOOKUP(D527, Products!A:E, 5, FALSE) * (1 - G527))</f>
        <v>1015.0019999999998</v>
      </c>
      <c r="J527" s="10"/>
    </row>
    <row r="528" spans="1:10" ht="15.75" customHeight="1" x14ac:dyDescent="0.3">
      <c r="A528" s="5" t="s">
        <v>1395</v>
      </c>
      <c r="B528" s="11">
        <v>45622</v>
      </c>
      <c r="C528" s="5" t="s">
        <v>750</v>
      </c>
      <c r="D528" s="5" t="s">
        <v>276</v>
      </c>
      <c r="E528" s="5" t="s">
        <v>37</v>
      </c>
      <c r="F528" s="5">
        <v>4</v>
      </c>
      <c r="G528" s="19">
        <v>0.15</v>
      </c>
      <c r="H528" s="5" t="s">
        <v>637</v>
      </c>
      <c r="I528" s="10">
        <f>IF(OR(D528="", F528=""), "", F528 * VLOOKUP(D528, Products!A:E, 5, FALSE) * (1 - G528))</f>
        <v>4070.4120000000003</v>
      </c>
      <c r="J528" s="10"/>
    </row>
    <row r="529" spans="1:10" ht="15.75" customHeight="1" x14ac:dyDescent="0.3">
      <c r="A529" s="5" t="s">
        <v>1396</v>
      </c>
      <c r="B529" s="11">
        <v>45440</v>
      </c>
      <c r="C529" s="5" t="s">
        <v>203</v>
      </c>
      <c r="D529" s="5" t="s">
        <v>276</v>
      </c>
      <c r="E529" s="5" t="s">
        <v>37</v>
      </c>
      <c r="F529" s="5">
        <v>5</v>
      </c>
      <c r="G529" s="19">
        <v>0.05</v>
      </c>
      <c r="H529" s="5" t="s">
        <v>454</v>
      </c>
      <c r="I529" s="10">
        <f>IF(OR(D529="", F529=""), "", F529 * VLOOKUP(D529, Products!A:E, 5, FALSE) * (1 - G529))</f>
        <v>5686.6050000000005</v>
      </c>
      <c r="J529" s="10"/>
    </row>
    <row r="530" spans="1:10" ht="15.75" customHeight="1" x14ac:dyDescent="0.3">
      <c r="A530" s="5" t="s">
        <v>1397</v>
      </c>
      <c r="B530" s="11">
        <v>45777</v>
      </c>
      <c r="C530" s="5" t="s">
        <v>203</v>
      </c>
      <c r="D530" s="5" t="s">
        <v>200</v>
      </c>
      <c r="E530" s="5" t="s">
        <v>29</v>
      </c>
      <c r="F530" s="5">
        <v>1</v>
      </c>
      <c r="G530" s="19">
        <v>0.05</v>
      </c>
      <c r="H530" s="5" t="s">
        <v>697</v>
      </c>
      <c r="I530" s="10">
        <f>IF(OR(D530="", F530=""), "", F530 * VLOOKUP(D530, Products!A:E, 5, FALSE) * (1 - G530))</f>
        <v>1040.934</v>
      </c>
      <c r="J530" s="10"/>
    </row>
    <row r="531" spans="1:10" ht="15.75" customHeight="1" x14ac:dyDescent="0.3">
      <c r="A531" s="5" t="s">
        <v>1398</v>
      </c>
      <c r="B531" s="11">
        <v>45791</v>
      </c>
      <c r="C531" s="5" t="s">
        <v>674</v>
      </c>
      <c r="D531" s="5" t="s">
        <v>95</v>
      </c>
      <c r="E531" s="5" t="s">
        <v>29</v>
      </c>
      <c r="F531" s="5">
        <v>4</v>
      </c>
      <c r="G531" s="19">
        <v>0</v>
      </c>
      <c r="H531" s="5" t="s">
        <v>454</v>
      </c>
      <c r="I531" s="10">
        <f>IF(OR(D531="", F531=""), "", F531 * VLOOKUP(D531, Products!A:E, 5, FALSE) * (1 - G531))</f>
        <v>5371</v>
      </c>
      <c r="J531" s="10"/>
    </row>
    <row r="532" spans="1:10" ht="15.75" customHeight="1" x14ac:dyDescent="0.3">
      <c r="A532" s="5" t="s">
        <v>1399</v>
      </c>
      <c r="B532" s="11">
        <v>45213</v>
      </c>
      <c r="C532" s="5" t="s">
        <v>808</v>
      </c>
      <c r="D532" s="5" t="s">
        <v>193</v>
      </c>
      <c r="E532" s="5" t="s">
        <v>33</v>
      </c>
      <c r="F532" s="5">
        <v>2</v>
      </c>
      <c r="G532" s="19">
        <v>0</v>
      </c>
      <c r="H532" s="5" t="s">
        <v>697</v>
      </c>
      <c r="I532" s="10">
        <f>IF(OR(D532="", F532=""), "", F532 * VLOOKUP(D532, Products!A:E, 5, FALSE) * (1 - G532))</f>
        <v>58.48</v>
      </c>
      <c r="J532" s="10"/>
    </row>
    <row r="533" spans="1:10" ht="15.75" customHeight="1" x14ac:dyDescent="0.3">
      <c r="A533" s="5" t="s">
        <v>1400</v>
      </c>
      <c r="B533" s="11">
        <v>45770</v>
      </c>
      <c r="C533" s="5" t="s">
        <v>209</v>
      </c>
      <c r="D533" s="5" t="s">
        <v>200</v>
      </c>
      <c r="E533" s="5" t="s">
        <v>33</v>
      </c>
      <c r="F533" s="5">
        <v>1</v>
      </c>
      <c r="G533" s="19">
        <v>0.15</v>
      </c>
      <c r="H533" s="5" t="s">
        <v>776</v>
      </c>
      <c r="I533" s="10">
        <f>IF(OR(D533="", F533=""), "", F533 * VLOOKUP(D533, Products!A:E, 5, FALSE) * (1 - G533))</f>
        <v>931.36199999999997</v>
      </c>
      <c r="J533" s="10"/>
    </row>
    <row r="534" spans="1:10" ht="15.75" customHeight="1" x14ac:dyDescent="0.3">
      <c r="A534" s="5" t="s">
        <v>1401</v>
      </c>
      <c r="B534" s="11">
        <v>45252</v>
      </c>
      <c r="C534" s="5" t="s">
        <v>466</v>
      </c>
      <c r="D534" s="5" t="s">
        <v>147</v>
      </c>
      <c r="E534" s="5" t="s">
        <v>25</v>
      </c>
      <c r="F534" s="5">
        <v>1</v>
      </c>
      <c r="G534" s="19">
        <v>0</v>
      </c>
      <c r="H534" s="5" t="s">
        <v>697</v>
      </c>
      <c r="I534" s="10">
        <f>IF(OR(D534="", F534=""), "", F534 * VLOOKUP(D534, Products!A:E, 5, FALSE) * (1 - G534))</f>
        <v>1878.47</v>
      </c>
      <c r="J534" s="10"/>
    </row>
    <row r="535" spans="1:10" ht="15.75" customHeight="1" x14ac:dyDescent="0.3">
      <c r="A535" s="5" t="s">
        <v>1402</v>
      </c>
      <c r="B535" s="11">
        <v>45838</v>
      </c>
      <c r="C535" s="5" t="s">
        <v>811</v>
      </c>
      <c r="D535" s="5" t="s">
        <v>280</v>
      </c>
      <c r="E535" s="5" t="s">
        <v>21</v>
      </c>
      <c r="F535" s="5">
        <v>2</v>
      </c>
      <c r="G535" s="19">
        <v>0.15</v>
      </c>
      <c r="H535" s="5" t="s">
        <v>454</v>
      </c>
      <c r="I535" s="10">
        <f>IF(OR(D535="", F535=""), "", F535 * VLOOKUP(D535, Products!A:E, 5, FALSE) * (1 - G535))</f>
        <v>2067.8119999999999</v>
      </c>
      <c r="J535" s="10"/>
    </row>
    <row r="536" spans="1:10" ht="15.75" customHeight="1" x14ac:dyDescent="0.3">
      <c r="A536" s="5" t="s">
        <v>1403</v>
      </c>
      <c r="B536" s="11">
        <v>45364</v>
      </c>
      <c r="C536" s="5" t="s">
        <v>661</v>
      </c>
      <c r="D536" s="5" t="s">
        <v>115</v>
      </c>
      <c r="E536" s="5" t="s">
        <v>37</v>
      </c>
      <c r="F536" s="5">
        <v>3</v>
      </c>
      <c r="G536" s="19">
        <v>0.05</v>
      </c>
      <c r="H536" s="5" t="s">
        <v>454</v>
      </c>
      <c r="I536" s="10">
        <f>IF(OR(D536="", F536=""), "", F536 * VLOOKUP(D536, Products!A:E, 5, FALSE) * (1 - G536))</f>
        <v>3551.4134999999997</v>
      </c>
      <c r="J536" s="10"/>
    </row>
    <row r="537" spans="1:10" ht="15.75" customHeight="1" x14ac:dyDescent="0.3">
      <c r="A537" s="5" t="s">
        <v>1404</v>
      </c>
      <c r="B537" s="11">
        <v>45185</v>
      </c>
      <c r="C537" s="5" t="s">
        <v>274</v>
      </c>
      <c r="D537" s="5" t="s">
        <v>276</v>
      </c>
      <c r="E537" s="5" t="s">
        <v>29</v>
      </c>
      <c r="F537" s="5">
        <v>1</v>
      </c>
      <c r="G537" s="19">
        <v>0</v>
      </c>
      <c r="H537" s="5" t="s">
        <v>454</v>
      </c>
      <c r="I537" s="10">
        <f>IF(OR(D537="", F537=""), "", F537 * VLOOKUP(D537, Products!A:E, 5, FALSE) * (1 - G537))</f>
        <v>1197.18</v>
      </c>
      <c r="J537" s="10"/>
    </row>
    <row r="538" spans="1:10" ht="15.75" customHeight="1" x14ac:dyDescent="0.3">
      <c r="A538" s="5" t="s">
        <v>1405</v>
      </c>
      <c r="B538" s="11">
        <v>45614</v>
      </c>
      <c r="C538" s="5" t="s">
        <v>575</v>
      </c>
      <c r="D538" s="5" t="s">
        <v>206</v>
      </c>
      <c r="E538" s="5" t="s">
        <v>29</v>
      </c>
      <c r="F538" s="5">
        <v>5</v>
      </c>
      <c r="G538" s="19">
        <v>0</v>
      </c>
      <c r="H538" s="5" t="s">
        <v>454</v>
      </c>
      <c r="I538" s="10">
        <f>IF(OR(D538="", F538=""), "", F538 * VLOOKUP(D538, Products!A:E, 5, FALSE) * (1 - G538))</f>
        <v>1523.55</v>
      </c>
      <c r="J538" s="10"/>
    </row>
    <row r="539" spans="1:10" ht="15.75" customHeight="1" x14ac:dyDescent="0.3">
      <c r="A539" s="5" t="s">
        <v>1406</v>
      </c>
      <c r="B539" s="11">
        <v>45801</v>
      </c>
      <c r="C539" s="5" t="s">
        <v>823</v>
      </c>
      <c r="D539" s="5" t="s">
        <v>168</v>
      </c>
      <c r="E539" s="5" t="s">
        <v>37</v>
      </c>
      <c r="F539" s="5">
        <v>1</v>
      </c>
      <c r="G539" s="19">
        <v>0.15</v>
      </c>
      <c r="H539" s="5" t="s">
        <v>637</v>
      </c>
      <c r="I539" s="10">
        <f>IF(OR(D539="", F539=""), "", F539 * VLOOKUP(D539, Products!A:E, 5, FALSE) * (1 - G539))</f>
        <v>863.39599999999996</v>
      </c>
      <c r="J539" s="10"/>
    </row>
    <row r="540" spans="1:10" ht="15.75" customHeight="1" x14ac:dyDescent="0.3">
      <c r="A540" s="5" t="s">
        <v>1407</v>
      </c>
      <c r="B540" s="11">
        <v>45869</v>
      </c>
      <c r="C540" s="5" t="s">
        <v>649</v>
      </c>
      <c r="D540" s="5" t="s">
        <v>70</v>
      </c>
      <c r="E540" s="5" t="s">
        <v>29</v>
      </c>
      <c r="F540" s="5">
        <v>1</v>
      </c>
      <c r="G540" s="19">
        <v>0.15</v>
      </c>
      <c r="H540" s="5" t="s">
        <v>697</v>
      </c>
      <c r="I540" s="10">
        <f>IF(OR(D540="", F540=""), "", F540 * VLOOKUP(D540, Products!A:E, 5, FALSE) * (1 - G540))</f>
        <v>104.7115</v>
      </c>
      <c r="J540" s="10"/>
    </row>
    <row r="541" spans="1:10" ht="15.75" customHeight="1" x14ac:dyDescent="0.3">
      <c r="A541" s="5" t="s">
        <v>1408</v>
      </c>
      <c r="B541" s="11">
        <v>45553</v>
      </c>
      <c r="C541" s="5" t="s">
        <v>522</v>
      </c>
      <c r="D541" s="5" t="s">
        <v>134</v>
      </c>
      <c r="E541" s="5" t="s">
        <v>25</v>
      </c>
      <c r="F541" s="5">
        <v>3</v>
      </c>
      <c r="G541" s="19">
        <v>0</v>
      </c>
      <c r="H541" s="5" t="s">
        <v>776</v>
      </c>
      <c r="I541" s="10">
        <f>IF(OR(D541="", F541=""), "", F541 * VLOOKUP(D541, Products!A:E, 5, FALSE) * (1 - G541))</f>
        <v>3681.7200000000003</v>
      </c>
      <c r="J541" s="10"/>
    </row>
    <row r="542" spans="1:10" ht="15.75" customHeight="1" x14ac:dyDescent="0.3">
      <c r="A542" s="5" t="s">
        <v>1409</v>
      </c>
      <c r="B542" s="11">
        <v>45527</v>
      </c>
      <c r="C542" s="5" t="s">
        <v>387</v>
      </c>
      <c r="D542" s="5" t="s">
        <v>153</v>
      </c>
      <c r="E542" s="5" t="s">
        <v>37</v>
      </c>
      <c r="F542" s="5">
        <v>1</v>
      </c>
      <c r="G542" s="19">
        <v>0</v>
      </c>
      <c r="H542" s="5" t="s">
        <v>776</v>
      </c>
      <c r="I542" s="10">
        <f>IF(OR(D542="", F542=""), "", F542 * VLOOKUP(D542, Products!A:E, 5, FALSE) * (1 - G542))</f>
        <v>1487.41</v>
      </c>
      <c r="J542" s="10"/>
    </row>
    <row r="543" spans="1:10" ht="15.75" customHeight="1" x14ac:dyDescent="0.3">
      <c r="A543" s="5" t="s">
        <v>1410</v>
      </c>
      <c r="B543" s="11">
        <v>45897</v>
      </c>
      <c r="C543" s="5" t="s">
        <v>401</v>
      </c>
      <c r="D543" s="5" t="s">
        <v>54</v>
      </c>
      <c r="E543" s="5" t="s">
        <v>21</v>
      </c>
      <c r="F543" s="5">
        <v>4</v>
      </c>
      <c r="G543" s="19">
        <v>0.1</v>
      </c>
      <c r="H543" s="5" t="s">
        <v>637</v>
      </c>
      <c r="I543" s="10">
        <f>IF(OR(D543="", F543=""), "", F543 * VLOOKUP(D543, Products!A:E, 5, FALSE) * (1 - G543))</f>
        <v>6673.5720000000001</v>
      </c>
      <c r="J543" s="10"/>
    </row>
    <row r="544" spans="1:10" ht="15.75" customHeight="1" x14ac:dyDescent="0.3">
      <c r="A544" s="5" t="s">
        <v>1411</v>
      </c>
      <c r="B544" s="11">
        <v>45359</v>
      </c>
      <c r="C544" s="5" t="s">
        <v>304</v>
      </c>
      <c r="D544" s="5" t="s">
        <v>67</v>
      </c>
      <c r="E544" s="5" t="s">
        <v>25</v>
      </c>
      <c r="F544" s="5">
        <v>1</v>
      </c>
      <c r="G544" s="19">
        <v>0.15</v>
      </c>
      <c r="H544" s="5" t="s">
        <v>697</v>
      </c>
      <c r="I544" s="10">
        <f>IF(OR(D544="", F544=""), "", F544 * VLOOKUP(D544, Products!A:E, 5, FALSE) * (1 - G544))</f>
        <v>93.313000000000002</v>
      </c>
      <c r="J544" s="10"/>
    </row>
    <row r="545" spans="1:10" ht="15.75" customHeight="1" x14ac:dyDescent="0.3">
      <c r="A545" s="5" t="s">
        <v>1412</v>
      </c>
      <c r="B545" s="11">
        <v>45228</v>
      </c>
      <c r="C545" s="5" t="s">
        <v>477</v>
      </c>
      <c r="D545" s="5" t="s">
        <v>243</v>
      </c>
      <c r="E545" s="5" t="s">
        <v>25</v>
      </c>
      <c r="F545" s="5">
        <v>4</v>
      </c>
      <c r="G545" s="19">
        <v>0.1</v>
      </c>
      <c r="H545" s="5" t="s">
        <v>454</v>
      </c>
      <c r="I545" s="10">
        <f>IF(OR(D545="", F545=""), "", F545 * VLOOKUP(D545, Products!A:E, 5, FALSE) * (1 - G545))</f>
        <v>1947.3840000000002</v>
      </c>
      <c r="J545" s="10"/>
    </row>
    <row r="546" spans="1:10" ht="15.75" customHeight="1" x14ac:dyDescent="0.3">
      <c r="A546" s="5" t="s">
        <v>1413</v>
      </c>
      <c r="B546" s="11">
        <v>45666</v>
      </c>
      <c r="C546" s="5" t="s">
        <v>191</v>
      </c>
      <c r="D546" s="5" t="s">
        <v>249</v>
      </c>
      <c r="E546" s="5" t="s">
        <v>37</v>
      </c>
      <c r="F546" s="5">
        <v>3</v>
      </c>
      <c r="G546" s="19">
        <v>0</v>
      </c>
      <c r="H546" s="5" t="s">
        <v>776</v>
      </c>
      <c r="I546" s="10">
        <f>IF(OR(D546="", F546=""), "", F546 * VLOOKUP(D546, Products!A:E, 5, FALSE) * (1 - G546))</f>
        <v>5236.83</v>
      </c>
      <c r="J546" s="10"/>
    </row>
    <row r="547" spans="1:10" ht="15.75" customHeight="1" x14ac:dyDescent="0.3">
      <c r="A547" s="5" t="s">
        <v>1414</v>
      </c>
      <c r="B547" s="11">
        <v>45823</v>
      </c>
      <c r="C547" s="5" t="s">
        <v>334</v>
      </c>
      <c r="D547" s="5" t="s">
        <v>61</v>
      </c>
      <c r="E547" s="5" t="s">
        <v>25</v>
      </c>
      <c r="F547" s="5">
        <v>5</v>
      </c>
      <c r="G547" s="19">
        <v>0</v>
      </c>
      <c r="H547" s="5" t="s">
        <v>637</v>
      </c>
      <c r="I547" s="10">
        <f>IF(OR(D547="", F547=""), "", F547 * VLOOKUP(D547, Products!A:E, 5, FALSE) * (1 - G547))</f>
        <v>1590.25</v>
      </c>
      <c r="J547" s="10"/>
    </row>
    <row r="548" spans="1:10" ht="15.75" customHeight="1" x14ac:dyDescent="0.3">
      <c r="A548" s="5" t="s">
        <v>1415</v>
      </c>
      <c r="B548" s="11">
        <v>45254</v>
      </c>
      <c r="C548" s="5" t="s">
        <v>181</v>
      </c>
      <c r="D548" s="5" t="s">
        <v>262</v>
      </c>
      <c r="E548" s="5" t="s">
        <v>33</v>
      </c>
      <c r="F548" s="5">
        <v>3</v>
      </c>
      <c r="G548" s="19">
        <v>0.1</v>
      </c>
      <c r="H548" s="5" t="s">
        <v>454</v>
      </c>
      <c r="I548" s="10">
        <f>IF(OR(D548="", F548=""), "", F548 * VLOOKUP(D548, Products!A:E, 5, FALSE) * (1 - G548))</f>
        <v>1224.7740000000001</v>
      </c>
      <c r="J548" s="10"/>
    </row>
    <row r="549" spans="1:10" ht="15.75" customHeight="1" x14ac:dyDescent="0.3">
      <c r="A549" s="5" t="s">
        <v>1416</v>
      </c>
      <c r="B549" s="11">
        <v>45187</v>
      </c>
      <c r="C549" s="5" t="s">
        <v>209</v>
      </c>
      <c r="D549" s="5" t="s">
        <v>276</v>
      </c>
      <c r="E549" s="5" t="s">
        <v>37</v>
      </c>
      <c r="F549" s="5">
        <v>4</v>
      </c>
      <c r="G549" s="19">
        <v>0</v>
      </c>
      <c r="H549" s="5" t="s">
        <v>454</v>
      </c>
      <c r="I549" s="10">
        <f>IF(OR(D549="", F549=""), "", F549 * VLOOKUP(D549, Products!A:E, 5, FALSE) * (1 - G549))</f>
        <v>4788.72</v>
      </c>
      <c r="J549" s="10"/>
    </row>
    <row r="550" spans="1:10" ht="15.75" customHeight="1" x14ac:dyDescent="0.3">
      <c r="A550" s="5" t="s">
        <v>1417</v>
      </c>
      <c r="B550" s="11">
        <v>45286</v>
      </c>
      <c r="C550" s="5" t="s">
        <v>357</v>
      </c>
      <c r="D550" s="5" t="s">
        <v>200</v>
      </c>
      <c r="E550" s="5" t="s">
        <v>29</v>
      </c>
      <c r="F550" s="5">
        <v>5</v>
      </c>
      <c r="G550" s="19">
        <v>0.1</v>
      </c>
      <c r="H550" s="5" t="s">
        <v>697</v>
      </c>
      <c r="I550" s="10">
        <f>IF(OR(D550="", F550=""), "", F550 * VLOOKUP(D550, Products!A:E, 5, FALSE) * (1 - G550))</f>
        <v>4930.7400000000007</v>
      </c>
      <c r="J550" s="10"/>
    </row>
    <row r="551" spans="1:10" ht="15.75" customHeight="1" x14ac:dyDescent="0.3">
      <c r="A551" s="5" t="s">
        <v>1418</v>
      </c>
      <c r="B551" s="11">
        <v>45642</v>
      </c>
      <c r="C551" s="5" t="s">
        <v>608</v>
      </c>
      <c r="D551" s="5" t="s">
        <v>276</v>
      </c>
      <c r="E551" s="5" t="s">
        <v>29</v>
      </c>
      <c r="F551" s="5">
        <v>5</v>
      </c>
      <c r="G551" s="19">
        <v>0.15</v>
      </c>
      <c r="H551" s="5" t="s">
        <v>697</v>
      </c>
      <c r="I551" s="10">
        <f>IF(OR(D551="", F551=""), "", F551 * VLOOKUP(D551, Products!A:E, 5, FALSE) * (1 - G551))</f>
        <v>5088.0150000000003</v>
      </c>
      <c r="J551" s="10"/>
    </row>
    <row r="552" spans="1:10" ht="15.75" customHeight="1" x14ac:dyDescent="0.3">
      <c r="A552" s="5" t="s">
        <v>1419</v>
      </c>
      <c r="B552" s="11">
        <v>45285</v>
      </c>
      <c r="C552" s="5" t="s">
        <v>840</v>
      </c>
      <c r="D552" s="5" t="s">
        <v>291</v>
      </c>
      <c r="E552" s="5" t="s">
        <v>37</v>
      </c>
      <c r="F552" s="5">
        <v>2</v>
      </c>
      <c r="G552" s="19">
        <v>0.05</v>
      </c>
      <c r="H552" s="5" t="s">
        <v>776</v>
      </c>
      <c r="I552" s="10">
        <f>IF(OR(D552="", F552=""), "", F552 * VLOOKUP(D552, Products!A:E, 5, FALSE) * (1 - G552))</f>
        <v>1984.816</v>
      </c>
      <c r="J552" s="10"/>
    </row>
    <row r="553" spans="1:10" ht="15.75" customHeight="1" x14ac:dyDescent="0.3">
      <c r="A553" s="5" t="s">
        <v>1420</v>
      </c>
      <c r="B553" s="11">
        <v>45702</v>
      </c>
      <c r="C553" s="5" t="s">
        <v>557</v>
      </c>
      <c r="D553" s="5" t="s">
        <v>70</v>
      </c>
      <c r="E553" s="5" t="s">
        <v>21</v>
      </c>
      <c r="F553" s="5">
        <v>2</v>
      </c>
      <c r="G553" s="19">
        <v>0.1</v>
      </c>
      <c r="H553" s="5" t="s">
        <v>776</v>
      </c>
      <c r="I553" s="10">
        <f>IF(OR(D553="", F553=""), "", F553 * VLOOKUP(D553, Products!A:E, 5, FALSE) * (1 - G553))</f>
        <v>221.74199999999999</v>
      </c>
      <c r="J553" s="10"/>
    </row>
    <row r="554" spans="1:10" ht="15.75" customHeight="1" x14ac:dyDescent="0.3">
      <c r="A554" s="5" t="s">
        <v>1421</v>
      </c>
      <c r="B554" s="11">
        <v>45575</v>
      </c>
      <c r="C554" s="5" t="s">
        <v>488</v>
      </c>
      <c r="D554" s="5" t="s">
        <v>200</v>
      </c>
      <c r="E554" s="5" t="s">
        <v>21</v>
      </c>
      <c r="F554" s="5">
        <v>4</v>
      </c>
      <c r="G554" s="19">
        <v>0.1</v>
      </c>
      <c r="H554" s="5" t="s">
        <v>776</v>
      </c>
      <c r="I554" s="10">
        <f>IF(OR(D554="", F554=""), "", F554 * VLOOKUP(D554, Products!A:E, 5, FALSE) * (1 - G554))</f>
        <v>3944.5920000000001</v>
      </c>
      <c r="J554" s="10"/>
    </row>
    <row r="555" spans="1:10" ht="15.75" customHeight="1" x14ac:dyDescent="0.3">
      <c r="A555" s="5" t="s">
        <v>1422</v>
      </c>
      <c r="B555" s="11">
        <v>45462</v>
      </c>
      <c r="C555" s="5" t="s">
        <v>361</v>
      </c>
      <c r="D555" s="5" t="s">
        <v>188</v>
      </c>
      <c r="E555" s="5" t="s">
        <v>37</v>
      </c>
      <c r="F555" s="5">
        <v>2</v>
      </c>
      <c r="G555" s="19">
        <v>0.15</v>
      </c>
      <c r="H555" s="5" t="s">
        <v>637</v>
      </c>
      <c r="I555" s="10">
        <f>IF(OR(D555="", F555=""), "", F555 * VLOOKUP(D555, Products!A:E, 5, FALSE) * (1 - G555))</f>
        <v>2524.585</v>
      </c>
      <c r="J555" s="10"/>
    </row>
    <row r="556" spans="1:10" ht="15.75" customHeight="1" x14ac:dyDescent="0.3">
      <c r="A556" s="5" t="s">
        <v>1423</v>
      </c>
      <c r="B556" s="11">
        <v>45706</v>
      </c>
      <c r="C556" s="5" t="s">
        <v>171</v>
      </c>
      <c r="D556" s="5" t="s">
        <v>272</v>
      </c>
      <c r="E556" s="5" t="s">
        <v>25</v>
      </c>
      <c r="F556" s="5">
        <v>3</v>
      </c>
      <c r="G556" s="19">
        <v>0</v>
      </c>
      <c r="H556" s="5" t="s">
        <v>776</v>
      </c>
      <c r="I556" s="10">
        <f>IF(OR(D556="", F556=""), "", F556 * VLOOKUP(D556, Products!A:E, 5, FALSE) * (1 - G556))</f>
        <v>3496.1099999999997</v>
      </c>
      <c r="J556" s="10"/>
    </row>
    <row r="557" spans="1:10" ht="15.75" customHeight="1" x14ac:dyDescent="0.3">
      <c r="A557" s="5" t="s">
        <v>1424</v>
      </c>
      <c r="B557" s="11">
        <v>45691</v>
      </c>
      <c r="C557" s="5" t="s">
        <v>389</v>
      </c>
      <c r="D557" s="5" t="s">
        <v>153</v>
      </c>
      <c r="E557" s="5" t="s">
        <v>37</v>
      </c>
      <c r="F557" s="5">
        <v>4</v>
      </c>
      <c r="G557" s="19">
        <v>0.1</v>
      </c>
      <c r="H557" s="5" t="s">
        <v>637</v>
      </c>
      <c r="I557" s="10">
        <f>IF(OR(D557="", F557=""), "", F557 * VLOOKUP(D557, Products!A:E, 5, FALSE) * (1 - G557))</f>
        <v>5354.6760000000004</v>
      </c>
      <c r="J557" s="10"/>
    </row>
    <row r="558" spans="1:10" ht="15.75" customHeight="1" x14ac:dyDescent="0.3">
      <c r="A558" s="5" t="s">
        <v>1425</v>
      </c>
      <c r="B558" s="11">
        <v>45578</v>
      </c>
      <c r="C558" s="5" t="s">
        <v>854</v>
      </c>
      <c r="D558" s="5" t="s">
        <v>269</v>
      </c>
      <c r="E558" s="5" t="s">
        <v>21</v>
      </c>
      <c r="F558" s="5">
        <v>5</v>
      </c>
      <c r="G558" s="19">
        <v>0</v>
      </c>
      <c r="H558" s="5" t="s">
        <v>697</v>
      </c>
      <c r="I558" s="10">
        <f>IF(OR(D558="", F558=""), "", F558 * VLOOKUP(D558, Products!A:E, 5, FALSE) * (1 - G558))</f>
        <v>9395.4</v>
      </c>
      <c r="J558" s="10"/>
    </row>
    <row r="559" spans="1:10" ht="15.75" customHeight="1" x14ac:dyDescent="0.3">
      <c r="A559" s="5" t="s">
        <v>1426</v>
      </c>
      <c r="B559" s="11">
        <v>45599</v>
      </c>
      <c r="C559" s="5" t="s">
        <v>758</v>
      </c>
      <c r="D559" s="5" t="s">
        <v>269</v>
      </c>
      <c r="E559" s="5" t="s">
        <v>33</v>
      </c>
      <c r="F559" s="5">
        <v>1</v>
      </c>
      <c r="G559" s="19">
        <v>0</v>
      </c>
      <c r="H559" s="5" t="s">
        <v>637</v>
      </c>
      <c r="I559" s="10">
        <f>IF(OR(D559="", F559=""), "", F559 * VLOOKUP(D559, Products!A:E, 5, FALSE) * (1 - G559))</f>
        <v>1879.08</v>
      </c>
      <c r="J559" s="10"/>
    </row>
    <row r="560" spans="1:10" ht="15.75" customHeight="1" x14ac:dyDescent="0.3">
      <c r="A560" s="5" t="s">
        <v>1427</v>
      </c>
      <c r="B560" s="11">
        <v>45316</v>
      </c>
      <c r="C560" s="5" t="s">
        <v>779</v>
      </c>
      <c r="D560" s="5" t="s">
        <v>54</v>
      </c>
      <c r="E560" s="5" t="s">
        <v>25</v>
      </c>
      <c r="F560" s="5">
        <v>2</v>
      </c>
      <c r="G560" s="19">
        <v>0.1</v>
      </c>
      <c r="H560" s="5" t="s">
        <v>454</v>
      </c>
      <c r="I560" s="10">
        <f>IF(OR(D560="", F560=""), "", F560 * VLOOKUP(D560, Products!A:E, 5, FALSE) * (1 - G560))</f>
        <v>3336.7860000000001</v>
      </c>
      <c r="J560" s="10"/>
    </row>
    <row r="561" spans="1:10" ht="15.75" customHeight="1" x14ac:dyDescent="0.3">
      <c r="A561" s="5" t="s">
        <v>1428</v>
      </c>
      <c r="B561" s="11">
        <v>45496</v>
      </c>
      <c r="C561" s="5" t="s">
        <v>470</v>
      </c>
      <c r="D561" s="5" t="s">
        <v>188</v>
      </c>
      <c r="E561" s="5" t="s">
        <v>33</v>
      </c>
      <c r="F561" s="5">
        <v>3</v>
      </c>
      <c r="G561" s="19">
        <v>0.1</v>
      </c>
      <c r="H561" s="5" t="s">
        <v>637</v>
      </c>
      <c r="I561" s="10">
        <f>IF(OR(D561="", F561=""), "", F561 * VLOOKUP(D561, Products!A:E, 5, FALSE) * (1 - G561))</f>
        <v>4009.6349999999998</v>
      </c>
      <c r="J561" s="10"/>
    </row>
    <row r="562" spans="1:10" ht="15.75" customHeight="1" x14ac:dyDescent="0.3">
      <c r="A562" s="5" t="s">
        <v>1429</v>
      </c>
      <c r="B562" s="11">
        <v>45616</v>
      </c>
      <c r="C562" s="5" t="s">
        <v>429</v>
      </c>
      <c r="D562" s="5" t="s">
        <v>291</v>
      </c>
      <c r="E562" s="5" t="s">
        <v>25</v>
      </c>
      <c r="F562" s="5">
        <v>1</v>
      </c>
      <c r="G562" s="19">
        <v>0.05</v>
      </c>
      <c r="H562" s="5" t="s">
        <v>697</v>
      </c>
      <c r="I562" s="10">
        <f>IF(OR(D562="", F562=""), "", F562 * VLOOKUP(D562, Products!A:E, 5, FALSE) * (1 - G562))</f>
        <v>992.40800000000002</v>
      </c>
      <c r="J562" s="10"/>
    </row>
    <row r="563" spans="1:10" ht="15.75" customHeight="1" x14ac:dyDescent="0.3">
      <c r="A563" s="5" t="s">
        <v>1430</v>
      </c>
      <c r="B563" s="11">
        <v>45183</v>
      </c>
      <c r="C563" s="5" t="s">
        <v>878</v>
      </c>
      <c r="D563" s="5" t="s">
        <v>226</v>
      </c>
      <c r="E563" s="5" t="s">
        <v>37</v>
      </c>
      <c r="F563" s="5">
        <v>1</v>
      </c>
      <c r="G563" s="19">
        <v>0.05</v>
      </c>
      <c r="H563" s="5" t="s">
        <v>776</v>
      </c>
      <c r="I563" s="10">
        <f>IF(OR(D563="", F563=""), "", F563 * VLOOKUP(D563, Products!A:E, 5, FALSE) * (1 - G563))</f>
        <v>1426.3869999999999</v>
      </c>
      <c r="J563" s="10"/>
    </row>
    <row r="564" spans="1:10" ht="15.75" customHeight="1" x14ac:dyDescent="0.3">
      <c r="A564" s="5" t="s">
        <v>1431</v>
      </c>
      <c r="B564" s="11">
        <v>45419</v>
      </c>
      <c r="C564" s="5" t="s">
        <v>322</v>
      </c>
      <c r="D564" s="5" t="s">
        <v>243</v>
      </c>
      <c r="E564" s="5" t="s">
        <v>33</v>
      </c>
      <c r="F564" s="5">
        <v>4</v>
      </c>
      <c r="G564" s="19">
        <v>0.1</v>
      </c>
      <c r="H564" s="5" t="s">
        <v>637</v>
      </c>
      <c r="I564" s="10">
        <f>IF(OR(D564="", F564=""), "", F564 * VLOOKUP(D564, Products!A:E, 5, FALSE) * (1 - G564))</f>
        <v>1947.3840000000002</v>
      </c>
      <c r="J564" s="10"/>
    </row>
    <row r="565" spans="1:10" ht="15.75" customHeight="1" x14ac:dyDescent="0.3">
      <c r="A565" s="5" t="s">
        <v>1432</v>
      </c>
      <c r="B565" s="11">
        <v>45389</v>
      </c>
      <c r="C565" s="5" t="s">
        <v>255</v>
      </c>
      <c r="D565" s="5" t="s">
        <v>285</v>
      </c>
      <c r="E565" s="5" t="s">
        <v>37</v>
      </c>
      <c r="F565" s="5">
        <v>3</v>
      </c>
      <c r="G565" s="19">
        <v>0.05</v>
      </c>
      <c r="H565" s="5" t="s">
        <v>637</v>
      </c>
      <c r="I565" s="10">
        <f>IF(OR(D565="", F565=""), "", F565 * VLOOKUP(D565, Products!A:E, 5, FALSE) * (1 - G565))</f>
        <v>1106.5409999999999</v>
      </c>
      <c r="J565" s="10"/>
    </row>
    <row r="566" spans="1:10" ht="15.75" customHeight="1" x14ac:dyDescent="0.3">
      <c r="A566" s="5" t="s">
        <v>1433</v>
      </c>
      <c r="B566" s="11">
        <v>45855</v>
      </c>
      <c r="C566" s="5" t="s">
        <v>462</v>
      </c>
      <c r="D566" s="5" t="s">
        <v>226</v>
      </c>
      <c r="E566" s="5" t="s">
        <v>33</v>
      </c>
      <c r="F566" s="5">
        <v>3</v>
      </c>
      <c r="G566" s="19">
        <v>0</v>
      </c>
      <c r="H566" s="5" t="s">
        <v>776</v>
      </c>
      <c r="I566" s="10">
        <f>IF(OR(D566="", F566=""), "", F566 * VLOOKUP(D566, Products!A:E, 5, FALSE) * (1 - G566))</f>
        <v>4504.38</v>
      </c>
      <c r="J566" s="10"/>
    </row>
    <row r="567" spans="1:10" ht="15.75" customHeight="1" x14ac:dyDescent="0.3">
      <c r="A567" s="5" t="s">
        <v>1434</v>
      </c>
      <c r="B567" s="11">
        <v>45367</v>
      </c>
      <c r="C567" s="5" t="s">
        <v>312</v>
      </c>
      <c r="D567" s="5" t="s">
        <v>61</v>
      </c>
      <c r="E567" s="5" t="s">
        <v>29</v>
      </c>
      <c r="F567" s="5">
        <v>5</v>
      </c>
      <c r="G567" s="19">
        <v>0</v>
      </c>
      <c r="H567" s="5" t="s">
        <v>697</v>
      </c>
      <c r="I567" s="10">
        <f>IF(OR(D567="", F567=""), "", F567 * VLOOKUP(D567, Products!A:E, 5, FALSE) * (1 - G567))</f>
        <v>1590.25</v>
      </c>
      <c r="J567" s="10"/>
    </row>
    <row r="568" spans="1:10" ht="15.75" customHeight="1" x14ac:dyDescent="0.3">
      <c r="A568" s="5" t="s">
        <v>1435</v>
      </c>
      <c r="B568" s="11">
        <v>45374</v>
      </c>
      <c r="C568" s="5" t="s">
        <v>481</v>
      </c>
      <c r="D568" s="5" t="s">
        <v>200</v>
      </c>
      <c r="E568" s="5" t="s">
        <v>25</v>
      </c>
      <c r="F568" s="5">
        <v>1</v>
      </c>
      <c r="G568" s="19">
        <v>0.05</v>
      </c>
      <c r="H568" s="5" t="s">
        <v>454</v>
      </c>
      <c r="I568" s="10">
        <f>IF(OR(D568="", F568=""), "", F568 * VLOOKUP(D568, Products!A:E, 5, FALSE) * (1 - G568))</f>
        <v>1040.934</v>
      </c>
      <c r="J568" s="10"/>
    </row>
    <row r="569" spans="1:10" ht="15.75" customHeight="1" x14ac:dyDescent="0.3">
      <c r="A569" s="5" t="s">
        <v>1436</v>
      </c>
      <c r="B569" s="11">
        <v>45748</v>
      </c>
      <c r="C569" s="5" t="s">
        <v>546</v>
      </c>
      <c r="D569" s="5" t="s">
        <v>269</v>
      </c>
      <c r="E569" s="5" t="s">
        <v>37</v>
      </c>
      <c r="F569" s="5">
        <v>1</v>
      </c>
      <c r="G569" s="19">
        <v>0.1</v>
      </c>
      <c r="H569" s="5" t="s">
        <v>454</v>
      </c>
      <c r="I569" s="10">
        <f>IF(OR(D569="", F569=""), "", F569 * VLOOKUP(D569, Products!A:E, 5, FALSE) * (1 - G569))</f>
        <v>1691.172</v>
      </c>
      <c r="J569" s="10"/>
    </row>
    <row r="570" spans="1:10" ht="15.75" customHeight="1" x14ac:dyDescent="0.3">
      <c r="A570" s="5" t="s">
        <v>1437</v>
      </c>
      <c r="B570" s="11">
        <v>45500</v>
      </c>
      <c r="C570" s="5" t="s">
        <v>330</v>
      </c>
      <c r="D570" s="5" t="s">
        <v>232</v>
      </c>
      <c r="E570" s="5" t="s">
        <v>21</v>
      </c>
      <c r="F570" s="5">
        <v>4</v>
      </c>
      <c r="G570" s="19">
        <v>0.15</v>
      </c>
      <c r="H570" s="5" t="s">
        <v>697</v>
      </c>
      <c r="I570" s="10">
        <f>IF(OR(D570="", F570=""), "", F570 * VLOOKUP(D570, Products!A:E, 5, FALSE) * (1 - G570))</f>
        <v>6639.01</v>
      </c>
      <c r="J570" s="10"/>
    </row>
    <row r="571" spans="1:10" ht="15.75" customHeight="1" x14ac:dyDescent="0.3">
      <c r="A571" s="5" t="s">
        <v>1438</v>
      </c>
      <c r="B571" s="11">
        <v>45362</v>
      </c>
      <c r="C571" s="5" t="s">
        <v>223</v>
      </c>
      <c r="D571" s="5" t="s">
        <v>77</v>
      </c>
      <c r="E571" s="5" t="s">
        <v>33</v>
      </c>
      <c r="F571" s="5">
        <v>1</v>
      </c>
      <c r="G571" s="19">
        <v>0.05</v>
      </c>
      <c r="H571" s="5" t="s">
        <v>776</v>
      </c>
      <c r="I571" s="10">
        <f>IF(OR(D571="", F571=""), "", F571 * VLOOKUP(D571, Products!A:E, 5, FALSE) * (1 - G571))</f>
        <v>236.14149999999998</v>
      </c>
      <c r="J571" s="10"/>
    </row>
    <row r="572" spans="1:10" ht="15.75" customHeight="1" x14ac:dyDescent="0.3">
      <c r="A572" s="5" t="s">
        <v>1439</v>
      </c>
      <c r="B572" s="11">
        <v>45276</v>
      </c>
      <c r="C572" s="5" t="s">
        <v>91</v>
      </c>
      <c r="D572" s="5" t="s">
        <v>50</v>
      </c>
      <c r="E572" s="5" t="s">
        <v>21</v>
      </c>
      <c r="F572" s="5">
        <v>2</v>
      </c>
      <c r="G572" s="19">
        <v>0.05</v>
      </c>
      <c r="H572" s="5" t="s">
        <v>697</v>
      </c>
      <c r="I572" s="10">
        <f>IF(OR(D572="", F572=""), "", F572 * VLOOKUP(D572, Products!A:E, 5, FALSE) * (1 - G572))</f>
        <v>641.49699999999996</v>
      </c>
      <c r="J572" s="10"/>
    </row>
    <row r="573" spans="1:10" ht="15.75" customHeight="1" x14ac:dyDescent="0.3">
      <c r="A573" s="5" t="s">
        <v>1440</v>
      </c>
      <c r="B573" s="11">
        <v>45868</v>
      </c>
      <c r="C573" s="5" t="s">
        <v>550</v>
      </c>
      <c r="D573" s="5" t="s">
        <v>291</v>
      </c>
      <c r="E573" s="5" t="s">
        <v>29</v>
      </c>
      <c r="F573" s="5">
        <v>1</v>
      </c>
      <c r="G573" s="19">
        <v>0.1</v>
      </c>
      <c r="H573" s="5" t="s">
        <v>776</v>
      </c>
      <c r="I573" s="10">
        <f>IF(OR(D573="", F573=""), "", F573 * VLOOKUP(D573, Products!A:E, 5, FALSE) * (1 - G573))</f>
        <v>940.17600000000016</v>
      </c>
      <c r="J573" s="10"/>
    </row>
    <row r="574" spans="1:10" ht="15.75" customHeight="1" x14ac:dyDescent="0.3">
      <c r="A574" s="5" t="s">
        <v>1441</v>
      </c>
      <c r="B574" s="11">
        <v>45850</v>
      </c>
      <c r="C574" s="5" t="s">
        <v>106</v>
      </c>
      <c r="D574" s="5" t="s">
        <v>82</v>
      </c>
      <c r="E574" s="5" t="s">
        <v>21</v>
      </c>
      <c r="F574" s="5">
        <v>2</v>
      </c>
      <c r="G574" s="19">
        <v>0.15</v>
      </c>
      <c r="H574" s="5" t="s">
        <v>697</v>
      </c>
      <c r="I574" s="10">
        <f>IF(OR(D574="", F574=""), "", F574 * VLOOKUP(D574, Products!A:E, 5, FALSE) * (1 - G574))</f>
        <v>2028.2529999999997</v>
      </c>
      <c r="J574" s="10"/>
    </row>
    <row r="575" spans="1:10" ht="15.75" customHeight="1" x14ac:dyDescent="0.3">
      <c r="A575" s="5" t="s">
        <v>1442</v>
      </c>
      <c r="B575" s="11">
        <v>45267</v>
      </c>
      <c r="C575" s="5" t="s">
        <v>215</v>
      </c>
      <c r="D575" s="5" t="s">
        <v>95</v>
      </c>
      <c r="E575" s="5" t="s">
        <v>29</v>
      </c>
      <c r="F575" s="5">
        <v>1</v>
      </c>
      <c r="G575" s="19">
        <v>0</v>
      </c>
      <c r="H575" s="5" t="s">
        <v>637</v>
      </c>
      <c r="I575" s="10">
        <f>IF(OR(D575="", F575=""), "", F575 * VLOOKUP(D575, Products!A:E, 5, FALSE) * (1 - G575))</f>
        <v>1342.75</v>
      </c>
      <c r="J575" s="10"/>
    </row>
    <row r="576" spans="1:10" ht="15.75" customHeight="1" x14ac:dyDescent="0.3">
      <c r="A576" s="5" t="s">
        <v>1443</v>
      </c>
      <c r="B576" s="11">
        <v>45745</v>
      </c>
      <c r="C576" s="5" t="s">
        <v>155</v>
      </c>
      <c r="D576" s="5" t="s">
        <v>128</v>
      </c>
      <c r="E576" s="5" t="s">
        <v>25</v>
      </c>
      <c r="F576" s="5">
        <v>5</v>
      </c>
      <c r="G576" s="19">
        <v>0.15</v>
      </c>
      <c r="H576" s="5" t="s">
        <v>637</v>
      </c>
      <c r="I576" s="10">
        <f>IF(OR(D576="", F576=""), "", F576 * VLOOKUP(D576, Products!A:E, 5, FALSE) * (1 - G576))</f>
        <v>1376.66</v>
      </c>
      <c r="J576" s="10"/>
    </row>
    <row r="577" spans="1:10" ht="15.75" customHeight="1" x14ac:dyDescent="0.3">
      <c r="A577" s="5" t="s">
        <v>1444</v>
      </c>
      <c r="B577" s="11">
        <v>45485</v>
      </c>
      <c r="C577" s="5" t="s">
        <v>638</v>
      </c>
      <c r="D577" s="5" t="s">
        <v>285</v>
      </c>
      <c r="E577" s="5" t="s">
        <v>21</v>
      </c>
      <c r="F577" s="5">
        <v>4</v>
      </c>
      <c r="G577" s="19">
        <v>0.15</v>
      </c>
      <c r="H577" s="5" t="s">
        <v>697</v>
      </c>
      <c r="I577" s="10">
        <f>IF(OR(D577="", F577=""), "", F577 * VLOOKUP(D577, Products!A:E, 5, FALSE) * (1 - G577))</f>
        <v>1320.0839999999998</v>
      </c>
      <c r="J577" s="10"/>
    </row>
    <row r="578" spans="1:10" ht="15.75" customHeight="1" x14ac:dyDescent="0.3">
      <c r="A578" s="5" t="s">
        <v>1445</v>
      </c>
      <c r="B578" s="11">
        <v>45662</v>
      </c>
      <c r="C578" s="5" t="s">
        <v>507</v>
      </c>
      <c r="D578" s="5" t="s">
        <v>232</v>
      </c>
      <c r="E578" s="5" t="s">
        <v>25</v>
      </c>
      <c r="F578" s="5">
        <v>2</v>
      </c>
      <c r="G578" s="19">
        <v>0.1</v>
      </c>
      <c r="H578" s="5" t="s">
        <v>454</v>
      </c>
      <c r="I578" s="10">
        <f>IF(OR(D578="", F578=""), "", F578 * VLOOKUP(D578, Products!A:E, 5, FALSE) * (1 - G578))</f>
        <v>3514.7700000000004</v>
      </c>
      <c r="J578" s="10"/>
    </row>
    <row r="579" spans="1:10" ht="15.75" customHeight="1" x14ac:dyDescent="0.3">
      <c r="A579" s="5" t="s">
        <v>1446</v>
      </c>
      <c r="B579" s="11">
        <v>45645</v>
      </c>
      <c r="C579" s="5" t="s">
        <v>593</v>
      </c>
      <c r="D579" s="5" t="s">
        <v>180</v>
      </c>
      <c r="E579" s="5" t="s">
        <v>25</v>
      </c>
      <c r="F579" s="5">
        <v>1</v>
      </c>
      <c r="G579" s="19">
        <v>0.05</v>
      </c>
      <c r="H579" s="5" t="s">
        <v>454</v>
      </c>
      <c r="I579" s="10">
        <f>IF(OR(D579="", F579=""), "", F579 * VLOOKUP(D579, Products!A:E, 5, FALSE) * (1 - G579))</f>
        <v>640.09099999999989</v>
      </c>
      <c r="J579" s="10"/>
    </row>
    <row r="580" spans="1:10" ht="15.75" customHeight="1" x14ac:dyDescent="0.3">
      <c r="A580" s="5" t="s">
        <v>1447</v>
      </c>
      <c r="B580" s="11">
        <v>45300</v>
      </c>
      <c r="C580" s="5" t="s">
        <v>638</v>
      </c>
      <c r="D580" s="5" t="s">
        <v>119</v>
      </c>
      <c r="E580" s="5" t="s">
        <v>33</v>
      </c>
      <c r="F580" s="5">
        <v>5</v>
      </c>
      <c r="G580" s="19">
        <v>0.15</v>
      </c>
      <c r="H580" s="5" t="s">
        <v>776</v>
      </c>
      <c r="I580" s="10">
        <f>IF(OR(D580="", F580=""), "", F580 * VLOOKUP(D580, Products!A:E, 5, FALSE) * (1 - G580))</f>
        <v>4589.5325000000003</v>
      </c>
      <c r="J580" s="10"/>
    </row>
    <row r="581" spans="1:10" ht="15.75" customHeight="1" x14ac:dyDescent="0.3">
      <c r="A581" s="5" t="s">
        <v>1448</v>
      </c>
      <c r="B581" s="11">
        <v>45199</v>
      </c>
      <c r="C581" s="5" t="s">
        <v>209</v>
      </c>
      <c r="D581" s="5" t="s">
        <v>272</v>
      </c>
      <c r="E581" s="5" t="s">
        <v>29</v>
      </c>
      <c r="F581" s="5">
        <v>4</v>
      </c>
      <c r="G581" s="19">
        <v>0.05</v>
      </c>
      <c r="H581" s="5" t="s">
        <v>637</v>
      </c>
      <c r="I581" s="10">
        <f>IF(OR(D581="", F581=""), "", F581 * VLOOKUP(D581, Products!A:E, 5, FALSE) * (1 - G581))</f>
        <v>4428.405999999999</v>
      </c>
      <c r="J581" s="10"/>
    </row>
    <row r="582" spans="1:10" ht="15.75" customHeight="1" x14ac:dyDescent="0.3">
      <c r="A582" s="5" t="s">
        <v>1449</v>
      </c>
      <c r="B582" s="11">
        <v>45658</v>
      </c>
      <c r="C582" s="5" t="s">
        <v>357</v>
      </c>
      <c r="D582" s="5" t="s">
        <v>162</v>
      </c>
      <c r="E582" s="5" t="s">
        <v>37</v>
      </c>
      <c r="F582" s="5">
        <v>2</v>
      </c>
      <c r="G582" s="19">
        <v>0</v>
      </c>
      <c r="H582" s="5" t="s">
        <v>637</v>
      </c>
      <c r="I582" s="10">
        <f>IF(OR(D582="", F582=""), "", F582 * VLOOKUP(D582, Products!A:E, 5, FALSE) * (1 - G582))</f>
        <v>858.3</v>
      </c>
      <c r="J582" s="10"/>
    </row>
    <row r="583" spans="1:10" ht="15.75" customHeight="1" x14ac:dyDescent="0.3">
      <c r="A583" s="5" t="s">
        <v>1450</v>
      </c>
      <c r="B583" s="11">
        <v>45839</v>
      </c>
      <c r="C583" s="5" t="s">
        <v>823</v>
      </c>
      <c r="D583" s="5" t="s">
        <v>276</v>
      </c>
      <c r="E583" s="5" t="s">
        <v>29</v>
      </c>
      <c r="F583" s="5">
        <v>4</v>
      </c>
      <c r="G583" s="19">
        <v>0.15</v>
      </c>
      <c r="H583" s="5" t="s">
        <v>454</v>
      </c>
      <c r="I583" s="10">
        <f>IF(OR(D583="", F583=""), "", F583 * VLOOKUP(D583, Products!A:E, 5, FALSE) * (1 - G583))</f>
        <v>4070.4120000000003</v>
      </c>
      <c r="J583" s="10"/>
    </row>
    <row r="584" spans="1:10" ht="15.75" customHeight="1" x14ac:dyDescent="0.3">
      <c r="A584" s="5" t="s">
        <v>1451</v>
      </c>
      <c r="B584" s="11">
        <v>45772</v>
      </c>
      <c r="C584" s="5" t="s">
        <v>699</v>
      </c>
      <c r="D584" s="5" t="s">
        <v>276</v>
      </c>
      <c r="E584" s="5" t="s">
        <v>37</v>
      </c>
      <c r="F584" s="5">
        <v>3</v>
      </c>
      <c r="G584" s="19">
        <v>0.15</v>
      </c>
      <c r="H584" s="5" t="s">
        <v>454</v>
      </c>
      <c r="I584" s="10">
        <f>IF(OR(D584="", F584=""), "", F584 * VLOOKUP(D584, Products!A:E, 5, FALSE) * (1 - G584))</f>
        <v>3052.8089999999997</v>
      </c>
      <c r="J584" s="10"/>
    </row>
    <row r="585" spans="1:10" ht="15.75" customHeight="1" x14ac:dyDescent="0.3">
      <c r="A585" s="5" t="s">
        <v>1452</v>
      </c>
      <c r="B585" s="11">
        <v>45566</v>
      </c>
      <c r="C585" s="5" t="s">
        <v>338</v>
      </c>
      <c r="D585" s="5" t="s">
        <v>291</v>
      </c>
      <c r="E585" s="5" t="s">
        <v>21</v>
      </c>
      <c r="F585" s="5">
        <v>3</v>
      </c>
      <c r="G585" s="19">
        <v>0.05</v>
      </c>
      <c r="H585" s="5" t="s">
        <v>776</v>
      </c>
      <c r="I585" s="10">
        <f>IF(OR(D585="", F585=""), "", F585 * VLOOKUP(D585, Products!A:E, 5, FALSE) * (1 - G585))</f>
        <v>2977.2239999999997</v>
      </c>
      <c r="J585" s="10"/>
    </row>
    <row r="586" spans="1:10" ht="15.75" customHeight="1" x14ac:dyDescent="0.3">
      <c r="A586" s="5" t="s">
        <v>1453</v>
      </c>
      <c r="B586" s="11">
        <v>45372</v>
      </c>
      <c r="C586" s="5" t="s">
        <v>878</v>
      </c>
      <c r="D586" s="5" t="s">
        <v>175</v>
      </c>
      <c r="E586" s="5" t="s">
        <v>29</v>
      </c>
      <c r="F586" s="5">
        <v>1</v>
      </c>
      <c r="G586" s="19">
        <v>0.15</v>
      </c>
      <c r="H586" s="5" t="s">
        <v>454</v>
      </c>
      <c r="I586" s="10">
        <f>IF(OR(D586="", F586=""), "", F586 * VLOOKUP(D586, Products!A:E, 5, FALSE) * (1 - G586))</f>
        <v>1081.3955000000001</v>
      </c>
      <c r="J586" s="10"/>
    </row>
    <row r="587" spans="1:10" ht="15.75" customHeight="1" x14ac:dyDescent="0.3">
      <c r="A587" s="5" t="s">
        <v>1454</v>
      </c>
      <c r="B587" s="11">
        <v>45324</v>
      </c>
      <c r="C587" s="5" t="s">
        <v>869</v>
      </c>
      <c r="D587" s="5" t="s">
        <v>243</v>
      </c>
      <c r="E587" s="5" t="s">
        <v>37</v>
      </c>
      <c r="F587" s="5">
        <v>2</v>
      </c>
      <c r="G587" s="19">
        <v>0.05</v>
      </c>
      <c r="H587" s="5" t="s">
        <v>776</v>
      </c>
      <c r="I587" s="10">
        <f>IF(OR(D587="", F587=""), "", F587 * VLOOKUP(D587, Products!A:E, 5, FALSE) * (1 - G587))</f>
        <v>1027.7860000000001</v>
      </c>
      <c r="J587" s="10"/>
    </row>
    <row r="588" spans="1:10" ht="15.75" customHeight="1" x14ac:dyDescent="0.3">
      <c r="A588" s="5" t="s">
        <v>1455</v>
      </c>
      <c r="B588" s="11">
        <v>45426</v>
      </c>
      <c r="C588" s="5" t="s">
        <v>405</v>
      </c>
      <c r="D588" s="5" t="s">
        <v>115</v>
      </c>
      <c r="E588" s="5" t="s">
        <v>25</v>
      </c>
      <c r="F588" s="5">
        <v>3</v>
      </c>
      <c r="G588" s="19">
        <v>0</v>
      </c>
      <c r="H588" s="5" t="s">
        <v>697</v>
      </c>
      <c r="I588" s="10">
        <f>IF(OR(D588="", F588=""), "", F588 * VLOOKUP(D588, Products!A:E, 5, FALSE) * (1 - G588))</f>
        <v>3738.33</v>
      </c>
      <c r="J588" s="10"/>
    </row>
    <row r="589" spans="1:10" ht="15.75" customHeight="1" x14ac:dyDescent="0.3">
      <c r="A589" s="5" t="s">
        <v>1456</v>
      </c>
      <c r="B589" s="11">
        <v>45304</v>
      </c>
      <c r="C589" s="5" t="s">
        <v>708</v>
      </c>
      <c r="D589" s="5" t="s">
        <v>122</v>
      </c>
      <c r="E589" s="5" t="s">
        <v>33</v>
      </c>
      <c r="F589" s="5">
        <v>3</v>
      </c>
      <c r="G589" s="19">
        <v>0.05</v>
      </c>
      <c r="H589" s="5" t="s">
        <v>697</v>
      </c>
      <c r="I589" s="10">
        <f>IF(OR(D589="", F589=""), "", F589 * VLOOKUP(D589, Products!A:E, 5, FALSE) * (1 - G589))</f>
        <v>5024.3220000000001</v>
      </c>
      <c r="J589" s="10"/>
    </row>
    <row r="590" spans="1:10" ht="15.75" customHeight="1" x14ac:dyDescent="0.3">
      <c r="A590" s="5" t="s">
        <v>1457</v>
      </c>
      <c r="B590" s="11">
        <v>45749</v>
      </c>
      <c r="C590" s="5" t="s">
        <v>393</v>
      </c>
      <c r="D590" s="5" t="s">
        <v>162</v>
      </c>
      <c r="E590" s="5" t="s">
        <v>37</v>
      </c>
      <c r="F590" s="5">
        <v>3</v>
      </c>
      <c r="G590" s="19">
        <v>0.1</v>
      </c>
      <c r="H590" s="5" t="s">
        <v>776</v>
      </c>
      <c r="I590" s="10">
        <f>IF(OR(D590="", F590=""), "", F590 * VLOOKUP(D590, Products!A:E, 5, FALSE) * (1 - G590))</f>
        <v>1158.7049999999999</v>
      </c>
      <c r="J590" s="10"/>
    </row>
    <row r="591" spans="1:10" ht="15.75" customHeight="1" x14ac:dyDescent="0.3">
      <c r="A591" s="5" t="s">
        <v>1458</v>
      </c>
      <c r="B591" s="11">
        <v>45635</v>
      </c>
      <c r="C591" s="5" t="s">
        <v>815</v>
      </c>
      <c r="D591" s="5" t="s">
        <v>276</v>
      </c>
      <c r="E591" s="5" t="s">
        <v>29</v>
      </c>
      <c r="F591" s="5">
        <v>5</v>
      </c>
      <c r="G591" s="19">
        <v>0.05</v>
      </c>
      <c r="H591" s="5" t="s">
        <v>697</v>
      </c>
      <c r="I591" s="10">
        <f>IF(OR(D591="", F591=""), "", F591 * VLOOKUP(D591, Products!A:E, 5, FALSE) * (1 - G591))</f>
        <v>5686.6050000000005</v>
      </c>
      <c r="J591" s="10"/>
    </row>
    <row r="592" spans="1:10" ht="15.75" customHeight="1" x14ac:dyDescent="0.3">
      <c r="A592" s="5" t="s">
        <v>1459</v>
      </c>
      <c r="B592" s="11">
        <v>45416</v>
      </c>
      <c r="C592" s="5" t="s">
        <v>634</v>
      </c>
      <c r="D592" s="5" t="s">
        <v>77</v>
      </c>
      <c r="E592" s="5" t="s">
        <v>37</v>
      </c>
      <c r="F592" s="5">
        <v>3</v>
      </c>
      <c r="G592" s="19">
        <v>0.05</v>
      </c>
      <c r="H592" s="5" t="s">
        <v>637</v>
      </c>
      <c r="I592" s="10">
        <f>IF(OR(D592="", F592=""), "", F592 * VLOOKUP(D592, Products!A:E, 5, FALSE) * (1 - G592))</f>
        <v>708.42449999999997</v>
      </c>
      <c r="J592" s="10"/>
    </row>
    <row r="593" spans="1:10" ht="15.75" customHeight="1" x14ac:dyDescent="0.3">
      <c r="A593" s="5" t="s">
        <v>1460</v>
      </c>
      <c r="B593" s="11">
        <v>45325</v>
      </c>
      <c r="C593" s="5" t="s">
        <v>137</v>
      </c>
      <c r="D593" s="5" t="s">
        <v>57</v>
      </c>
      <c r="E593" s="5" t="s">
        <v>21</v>
      </c>
      <c r="F593" s="5">
        <v>1</v>
      </c>
      <c r="G593" s="19">
        <v>0.05</v>
      </c>
      <c r="H593" s="5" t="s">
        <v>697</v>
      </c>
      <c r="I593" s="10">
        <f>IF(OR(D593="", F593=""), "", F593 * VLOOKUP(D593, Products!A:E, 5, FALSE) * (1 - G593))</f>
        <v>1326.4089999999999</v>
      </c>
      <c r="J593" s="10"/>
    </row>
    <row r="594" spans="1:10" ht="15.75" customHeight="1" x14ac:dyDescent="0.3">
      <c r="A594" s="5" t="s">
        <v>1461</v>
      </c>
      <c r="B594" s="11">
        <v>45747</v>
      </c>
      <c r="C594" s="5" t="s">
        <v>106</v>
      </c>
      <c r="D594" s="5" t="s">
        <v>103</v>
      </c>
      <c r="E594" s="5" t="s">
        <v>37</v>
      </c>
      <c r="F594" s="5">
        <v>4</v>
      </c>
      <c r="G594" s="19">
        <v>0</v>
      </c>
      <c r="H594" s="5" t="s">
        <v>454</v>
      </c>
      <c r="I594" s="10">
        <f>IF(OR(D594="", F594=""), "", F594 * VLOOKUP(D594, Products!A:E, 5, FALSE) * (1 - G594))</f>
        <v>1081.8</v>
      </c>
      <c r="J594" s="10"/>
    </row>
    <row r="595" spans="1:10" ht="15.75" customHeight="1" x14ac:dyDescent="0.3">
      <c r="A595" s="5" t="s">
        <v>1462</v>
      </c>
      <c r="B595" s="11">
        <v>45854</v>
      </c>
      <c r="C595" s="5" t="s">
        <v>740</v>
      </c>
      <c r="D595" s="5" t="s">
        <v>153</v>
      </c>
      <c r="E595" s="5" t="s">
        <v>25</v>
      </c>
      <c r="F595" s="5">
        <v>2</v>
      </c>
      <c r="G595" s="19">
        <v>0.1</v>
      </c>
      <c r="H595" s="5" t="s">
        <v>697</v>
      </c>
      <c r="I595" s="10">
        <f>IF(OR(D595="", F595=""), "", F595 * VLOOKUP(D595, Products!A:E, 5, FALSE) * (1 - G595))</f>
        <v>2677.3380000000002</v>
      </c>
      <c r="J595" s="10"/>
    </row>
    <row r="596" spans="1:10" ht="15.75" customHeight="1" x14ac:dyDescent="0.3">
      <c r="A596" s="5" t="s">
        <v>1463</v>
      </c>
      <c r="B596" s="11">
        <v>45181</v>
      </c>
      <c r="C596" s="5" t="s">
        <v>477</v>
      </c>
      <c r="D596" s="5" t="s">
        <v>180</v>
      </c>
      <c r="E596" s="5" t="s">
        <v>21</v>
      </c>
      <c r="F596" s="5">
        <v>1</v>
      </c>
      <c r="G596" s="19">
        <v>0.05</v>
      </c>
      <c r="H596" s="5" t="s">
        <v>697</v>
      </c>
      <c r="I596" s="10">
        <f>IF(OR(D596="", F596=""), "", F596 * VLOOKUP(D596, Products!A:E, 5, FALSE) * (1 - G596))</f>
        <v>640.09099999999989</v>
      </c>
      <c r="J596" s="10"/>
    </row>
    <row r="597" spans="1:10" ht="15.75" customHeight="1" x14ac:dyDescent="0.3">
      <c r="A597" s="5" t="s">
        <v>1464</v>
      </c>
      <c r="B597" s="11">
        <v>45632</v>
      </c>
      <c r="C597" s="5" t="s">
        <v>876</v>
      </c>
      <c r="D597" s="5" t="s">
        <v>67</v>
      </c>
      <c r="E597" s="5" t="s">
        <v>21</v>
      </c>
      <c r="F597" s="5">
        <v>5</v>
      </c>
      <c r="G597" s="19">
        <v>0.1</v>
      </c>
      <c r="H597" s="5" t="s">
        <v>776</v>
      </c>
      <c r="I597" s="10">
        <f>IF(OR(D597="", F597=""), "", F597 * VLOOKUP(D597, Products!A:E, 5, FALSE) * (1 - G597))</f>
        <v>494.01</v>
      </c>
      <c r="J597" s="10"/>
    </row>
    <row r="598" spans="1:10" ht="15.75" customHeight="1" x14ac:dyDescent="0.3">
      <c r="A598" s="5" t="s">
        <v>1465</v>
      </c>
      <c r="B598" s="11">
        <v>45524</v>
      </c>
      <c r="C598" s="5" t="s">
        <v>526</v>
      </c>
      <c r="D598" s="5" t="s">
        <v>243</v>
      </c>
      <c r="E598" s="5" t="s">
        <v>33</v>
      </c>
      <c r="F598" s="5">
        <v>5</v>
      </c>
      <c r="G598" s="19">
        <v>0</v>
      </c>
      <c r="H598" s="5" t="s">
        <v>454</v>
      </c>
      <c r="I598" s="10">
        <f>IF(OR(D598="", F598=""), "", F598 * VLOOKUP(D598, Products!A:E, 5, FALSE) * (1 - G598))</f>
        <v>2704.7000000000003</v>
      </c>
      <c r="J598" s="10"/>
    </row>
    <row r="599" spans="1:10" ht="15.75" customHeight="1" x14ac:dyDescent="0.3">
      <c r="A599" s="5" t="s">
        <v>1466</v>
      </c>
      <c r="B599" s="11">
        <v>45653</v>
      </c>
      <c r="C599" s="5" t="s">
        <v>458</v>
      </c>
      <c r="D599" s="5" t="s">
        <v>265</v>
      </c>
      <c r="E599" s="5" t="s">
        <v>29</v>
      </c>
      <c r="F599" s="5">
        <v>2</v>
      </c>
      <c r="G599" s="19">
        <v>0.05</v>
      </c>
      <c r="H599" s="5" t="s">
        <v>637</v>
      </c>
      <c r="I599" s="10">
        <f>IF(OR(D599="", F599=""), "", F599 * VLOOKUP(D599, Products!A:E, 5, FALSE) * (1 - G599))</f>
        <v>1072.3979999999999</v>
      </c>
      <c r="J599" s="10"/>
    </row>
    <row r="600" spans="1:10" ht="15.75" customHeight="1" x14ac:dyDescent="0.3">
      <c r="A600" s="5" t="s">
        <v>1467</v>
      </c>
      <c r="B600" s="11">
        <v>45380</v>
      </c>
      <c r="C600" s="5" t="s">
        <v>758</v>
      </c>
      <c r="D600" s="5" t="s">
        <v>249</v>
      </c>
      <c r="E600" s="5" t="s">
        <v>33</v>
      </c>
      <c r="F600" s="5">
        <v>3</v>
      </c>
      <c r="G600" s="19">
        <v>0.05</v>
      </c>
      <c r="H600" s="5" t="s">
        <v>454</v>
      </c>
      <c r="I600" s="10">
        <f>IF(OR(D600="", F600=""), "", F600 * VLOOKUP(D600, Products!A:E, 5, FALSE) * (1 - G600))</f>
        <v>4974.9884999999995</v>
      </c>
      <c r="J600" s="10"/>
    </row>
    <row r="601" spans="1:10" ht="15.75" customHeight="1" x14ac:dyDescent="0.3">
      <c r="A601" s="5" t="s">
        <v>1468</v>
      </c>
      <c r="B601" s="11">
        <v>45885</v>
      </c>
      <c r="C601" s="5" t="s">
        <v>380</v>
      </c>
      <c r="D601" s="5" t="s">
        <v>291</v>
      </c>
      <c r="E601" s="5" t="s">
        <v>37</v>
      </c>
      <c r="F601" s="5">
        <v>2</v>
      </c>
      <c r="G601" s="19">
        <v>0.15</v>
      </c>
      <c r="H601" s="5" t="s">
        <v>454</v>
      </c>
      <c r="I601" s="10">
        <f>IF(OR(D601="", F601=""), "", F601 * VLOOKUP(D601, Products!A:E, 5, FALSE) * (1 - G601))</f>
        <v>1775.8880000000001</v>
      </c>
      <c r="J601" s="10"/>
    </row>
    <row r="602" spans="1:10" ht="15.75" customHeight="1" x14ac:dyDescent="0.3">
      <c r="A602" s="5" t="s">
        <v>1469</v>
      </c>
      <c r="B602" s="11">
        <v>45818</v>
      </c>
      <c r="C602" s="5" t="s">
        <v>840</v>
      </c>
      <c r="D602" s="5" t="s">
        <v>109</v>
      </c>
      <c r="E602" s="5" t="s">
        <v>29</v>
      </c>
      <c r="F602" s="5">
        <v>2</v>
      </c>
      <c r="G602" s="19">
        <v>0.05</v>
      </c>
      <c r="H602" s="5" t="s">
        <v>776</v>
      </c>
      <c r="I602" s="10">
        <f>IF(OR(D602="", F602=""), "", F602 * VLOOKUP(D602, Products!A:E, 5, FALSE) * (1 - G602))</f>
        <v>3531.625</v>
      </c>
      <c r="J602" s="10"/>
    </row>
    <row r="603" spans="1:10" ht="15.75" customHeight="1" x14ac:dyDescent="0.3">
      <c r="A603" s="5" t="s">
        <v>1470</v>
      </c>
      <c r="B603" s="11">
        <v>45448</v>
      </c>
      <c r="C603" s="5" t="s">
        <v>811</v>
      </c>
      <c r="D603" s="5" t="s">
        <v>128</v>
      </c>
      <c r="E603" s="5" t="s">
        <v>37</v>
      </c>
      <c r="F603" s="5">
        <v>4</v>
      </c>
      <c r="G603" s="19">
        <v>0</v>
      </c>
      <c r="H603" s="5" t="s">
        <v>697</v>
      </c>
      <c r="I603" s="10">
        <f>IF(OR(D603="", F603=""), "", F603 * VLOOKUP(D603, Products!A:E, 5, FALSE) * (1 - G603))</f>
        <v>1295.68</v>
      </c>
      <c r="J603" s="10"/>
    </row>
    <row r="604" spans="1:10" ht="15.75" customHeight="1" x14ac:dyDescent="0.3">
      <c r="A604" s="5" t="s">
        <v>1471</v>
      </c>
      <c r="B604" s="11">
        <v>45468</v>
      </c>
      <c r="C604" s="5" t="s">
        <v>729</v>
      </c>
      <c r="D604" s="5" t="s">
        <v>70</v>
      </c>
      <c r="E604" s="5" t="s">
        <v>29</v>
      </c>
      <c r="F604" s="5">
        <v>5</v>
      </c>
      <c r="G604" s="19">
        <v>0.05</v>
      </c>
      <c r="H604" s="5" t="s">
        <v>776</v>
      </c>
      <c r="I604" s="10">
        <f>IF(OR(D604="", F604=""), "", F604 * VLOOKUP(D604, Products!A:E, 5, FALSE) * (1 - G604))</f>
        <v>585.15250000000003</v>
      </c>
      <c r="J604" s="10"/>
    </row>
    <row r="605" spans="1:10" ht="15.75" customHeight="1" x14ac:dyDescent="0.3">
      <c r="A605" s="5" t="s">
        <v>1472</v>
      </c>
      <c r="B605" s="11">
        <v>45256</v>
      </c>
      <c r="C605" s="5" t="s">
        <v>638</v>
      </c>
      <c r="D605" s="5" t="s">
        <v>206</v>
      </c>
      <c r="E605" s="5" t="s">
        <v>25</v>
      </c>
      <c r="F605" s="5">
        <v>3</v>
      </c>
      <c r="G605" s="19">
        <v>0</v>
      </c>
      <c r="H605" s="5" t="s">
        <v>697</v>
      </c>
      <c r="I605" s="10">
        <f>IF(OR(D605="", F605=""), "", F605 * VLOOKUP(D605, Products!A:E, 5, FALSE) * (1 - G605))</f>
        <v>914.12999999999988</v>
      </c>
      <c r="J605" s="10"/>
    </row>
    <row r="606" spans="1:10" ht="15.75" customHeight="1" x14ac:dyDescent="0.3">
      <c r="A606" s="5" t="s">
        <v>1473</v>
      </c>
      <c r="B606" s="11">
        <v>45474</v>
      </c>
      <c r="C606" s="5" t="s">
        <v>499</v>
      </c>
      <c r="D606" s="5" t="s">
        <v>50</v>
      </c>
      <c r="E606" s="5" t="s">
        <v>29</v>
      </c>
      <c r="F606" s="5">
        <v>2</v>
      </c>
      <c r="G606" s="19">
        <v>0</v>
      </c>
      <c r="H606" s="5" t="s">
        <v>454</v>
      </c>
      <c r="I606" s="10">
        <f>IF(OR(D606="", F606=""), "", F606 * VLOOKUP(D606, Products!A:E, 5, FALSE) * (1 - G606))</f>
        <v>675.26</v>
      </c>
      <c r="J606" s="10"/>
    </row>
    <row r="607" spans="1:10" ht="15.75" customHeight="1" x14ac:dyDescent="0.3">
      <c r="A607" s="5" t="s">
        <v>1474</v>
      </c>
      <c r="B607" s="11">
        <v>45355</v>
      </c>
      <c r="C607" s="5" t="s">
        <v>593</v>
      </c>
      <c r="D607" s="5" t="s">
        <v>226</v>
      </c>
      <c r="E607" s="5" t="s">
        <v>21</v>
      </c>
      <c r="F607" s="5">
        <v>3</v>
      </c>
      <c r="G607" s="19">
        <v>0.05</v>
      </c>
      <c r="H607" s="5" t="s">
        <v>697</v>
      </c>
      <c r="I607" s="10">
        <f>IF(OR(D607="", F607=""), "", F607 * VLOOKUP(D607, Products!A:E, 5, FALSE) * (1 - G607))</f>
        <v>4279.1610000000001</v>
      </c>
      <c r="J607" s="10"/>
    </row>
    <row r="608" spans="1:10" ht="15.75" customHeight="1" x14ac:dyDescent="0.3">
      <c r="A608" s="5" t="s">
        <v>1475</v>
      </c>
      <c r="B608" s="11">
        <v>45805</v>
      </c>
      <c r="C608" s="5" t="s">
        <v>805</v>
      </c>
      <c r="D608" s="5" t="s">
        <v>103</v>
      </c>
      <c r="E608" s="5" t="s">
        <v>21</v>
      </c>
      <c r="F608" s="5">
        <v>3</v>
      </c>
      <c r="G608" s="19">
        <v>0.1</v>
      </c>
      <c r="H608" s="5" t="s">
        <v>776</v>
      </c>
      <c r="I608" s="10">
        <f>IF(OR(D608="", F608=""), "", F608 * VLOOKUP(D608, Products!A:E, 5, FALSE) * (1 - G608))</f>
        <v>730.21499999999992</v>
      </c>
      <c r="J608" s="10"/>
    </row>
    <row r="609" spans="1:10" ht="15.75" customHeight="1" x14ac:dyDescent="0.3">
      <c r="A609" s="5" t="s">
        <v>1476</v>
      </c>
      <c r="B609" s="11">
        <v>45448</v>
      </c>
      <c r="C609" s="5" t="s">
        <v>829</v>
      </c>
      <c r="D609" s="5" t="s">
        <v>50</v>
      </c>
      <c r="E609" s="5" t="s">
        <v>21</v>
      </c>
      <c r="F609" s="5">
        <v>1</v>
      </c>
      <c r="G609" s="19">
        <v>0.15</v>
      </c>
      <c r="H609" s="5" t="s">
        <v>637</v>
      </c>
      <c r="I609" s="10">
        <f>IF(OR(D609="", F609=""), "", F609 * VLOOKUP(D609, Products!A:E, 5, FALSE) * (1 - G609))</f>
        <v>286.9855</v>
      </c>
      <c r="J609" s="10"/>
    </row>
    <row r="610" spans="1:10" ht="15.75" customHeight="1" x14ac:dyDescent="0.3">
      <c r="A610" s="5" t="s">
        <v>1477</v>
      </c>
      <c r="B610" s="11">
        <v>45194</v>
      </c>
      <c r="C610" s="5" t="s">
        <v>840</v>
      </c>
      <c r="D610" s="5" t="s">
        <v>267</v>
      </c>
      <c r="E610" s="5" t="s">
        <v>33</v>
      </c>
      <c r="F610" s="5">
        <v>2</v>
      </c>
      <c r="G610" s="19">
        <v>0.15</v>
      </c>
      <c r="H610" s="5" t="s">
        <v>637</v>
      </c>
      <c r="I610" s="10">
        <f>IF(OR(D610="", F610=""), "", F610 * VLOOKUP(D610, Products!A:E, 5, FALSE) * (1 - G610))</f>
        <v>2187.1349999999998</v>
      </c>
      <c r="J610" s="10"/>
    </row>
    <row r="611" spans="1:10" ht="15.75" customHeight="1" x14ac:dyDescent="0.3">
      <c r="A611" s="5" t="s">
        <v>1478</v>
      </c>
      <c r="B611" s="11">
        <v>45387</v>
      </c>
      <c r="C611" s="5" t="s">
        <v>528</v>
      </c>
      <c r="D611" s="5" t="s">
        <v>168</v>
      </c>
      <c r="E611" s="5" t="s">
        <v>29</v>
      </c>
      <c r="F611" s="5">
        <v>5</v>
      </c>
      <c r="G611" s="19">
        <v>0.15</v>
      </c>
      <c r="H611" s="5" t="s">
        <v>776</v>
      </c>
      <c r="I611" s="10">
        <f>IF(OR(D611="", F611=""), "", F611 * VLOOKUP(D611, Products!A:E, 5, FALSE) * (1 - G611))</f>
        <v>4316.9800000000005</v>
      </c>
      <c r="J611" s="10"/>
    </row>
    <row r="612" spans="1:10" ht="15.75" customHeight="1" x14ac:dyDescent="0.3">
      <c r="A612" s="5" t="s">
        <v>1479</v>
      </c>
      <c r="B612" s="11">
        <v>45789</v>
      </c>
      <c r="C612" s="5" t="s">
        <v>620</v>
      </c>
      <c r="D612" s="5" t="s">
        <v>74</v>
      </c>
      <c r="E612" s="5" t="s">
        <v>37</v>
      </c>
      <c r="F612" s="5">
        <v>2</v>
      </c>
      <c r="G612" s="19">
        <v>0.05</v>
      </c>
      <c r="H612" s="5" t="s">
        <v>637</v>
      </c>
      <c r="I612" s="10">
        <f>IF(OR(D612="", F612=""), "", F612 * VLOOKUP(D612, Products!A:E, 5, FALSE) * (1 - G612))</f>
        <v>2268.8279999999995</v>
      </c>
      <c r="J612" s="10"/>
    </row>
    <row r="613" spans="1:10" ht="15.75" customHeight="1" x14ac:dyDescent="0.3">
      <c r="A613" s="5" t="s">
        <v>1480</v>
      </c>
      <c r="B613" s="11">
        <v>45408</v>
      </c>
      <c r="C613" s="5" t="s">
        <v>185</v>
      </c>
      <c r="D613" s="5" t="s">
        <v>193</v>
      </c>
      <c r="E613" s="5" t="s">
        <v>21</v>
      </c>
      <c r="F613" s="5">
        <v>3</v>
      </c>
      <c r="G613" s="19">
        <v>0</v>
      </c>
      <c r="H613" s="5" t="s">
        <v>454</v>
      </c>
      <c r="I613" s="10">
        <f>IF(OR(D613="", F613=""), "", F613 * VLOOKUP(D613, Products!A:E, 5, FALSE) * (1 - G613))</f>
        <v>87.72</v>
      </c>
      <c r="J613" s="10"/>
    </row>
    <row r="614" spans="1:10" ht="15.75" customHeight="1" x14ac:dyDescent="0.3">
      <c r="A614" s="5" t="s">
        <v>1481</v>
      </c>
      <c r="B614" s="11">
        <v>45900</v>
      </c>
      <c r="C614" s="5" t="s">
        <v>416</v>
      </c>
      <c r="D614" s="5" t="s">
        <v>89</v>
      </c>
      <c r="E614" s="5" t="s">
        <v>21</v>
      </c>
      <c r="F614" s="5">
        <v>1</v>
      </c>
      <c r="G614" s="19">
        <v>0.1</v>
      </c>
      <c r="H614" s="5" t="s">
        <v>697</v>
      </c>
      <c r="I614" s="10">
        <f>IF(OR(D614="", F614=""), "", F614 * VLOOKUP(D614, Products!A:E, 5, FALSE) * (1 - G614))</f>
        <v>1021.3199999999999</v>
      </c>
      <c r="J614" s="10"/>
    </row>
    <row r="615" spans="1:10" ht="15.75" customHeight="1" x14ac:dyDescent="0.3">
      <c r="A615" s="5" t="s">
        <v>1482</v>
      </c>
      <c r="B615" s="11">
        <v>45867</v>
      </c>
      <c r="C615" s="5" t="s">
        <v>528</v>
      </c>
      <c r="D615" s="5" t="s">
        <v>162</v>
      </c>
      <c r="E615" s="5" t="s">
        <v>25</v>
      </c>
      <c r="F615" s="5">
        <v>1</v>
      </c>
      <c r="G615" s="19">
        <v>0</v>
      </c>
      <c r="H615" s="5" t="s">
        <v>454</v>
      </c>
      <c r="I615" s="10">
        <f>IF(OR(D615="", F615=""), "", F615 * VLOOKUP(D615, Products!A:E, 5, FALSE) * (1 - G615))</f>
        <v>429.15</v>
      </c>
      <c r="J615" s="10"/>
    </row>
    <row r="616" spans="1:10" ht="15.75" customHeight="1" x14ac:dyDescent="0.3">
      <c r="A616" s="5" t="s">
        <v>1483</v>
      </c>
      <c r="B616" s="11">
        <v>45350</v>
      </c>
      <c r="C616" s="5" t="s">
        <v>724</v>
      </c>
      <c r="D616" s="5" t="s">
        <v>212</v>
      </c>
      <c r="E616" s="5" t="s">
        <v>37</v>
      </c>
      <c r="F616" s="5">
        <v>4</v>
      </c>
      <c r="G616" s="19">
        <v>0</v>
      </c>
      <c r="H616" s="5" t="s">
        <v>637</v>
      </c>
      <c r="I616" s="10">
        <f>IF(OR(D616="", F616=""), "", F616 * VLOOKUP(D616, Products!A:E, 5, FALSE) * (1 - G616))</f>
        <v>7195.88</v>
      </c>
      <c r="J616" s="10"/>
    </row>
    <row r="617" spans="1:10" ht="15.75" customHeight="1" x14ac:dyDescent="0.3">
      <c r="A617" s="5" t="s">
        <v>1484</v>
      </c>
      <c r="B617" s="11">
        <v>45667</v>
      </c>
      <c r="C617" s="5" t="s">
        <v>774</v>
      </c>
      <c r="D617" s="5" t="s">
        <v>147</v>
      </c>
      <c r="E617" s="5" t="s">
        <v>25</v>
      </c>
      <c r="F617" s="5">
        <v>5</v>
      </c>
      <c r="G617" s="19">
        <v>0.15</v>
      </c>
      <c r="H617" s="5" t="s">
        <v>697</v>
      </c>
      <c r="I617" s="10">
        <f>IF(OR(D617="", F617=""), "", F617 * VLOOKUP(D617, Products!A:E, 5, FALSE) * (1 - G617))</f>
        <v>7983.4975000000004</v>
      </c>
      <c r="J617" s="10"/>
    </row>
    <row r="618" spans="1:10" ht="15.75" customHeight="1" x14ac:dyDescent="0.3">
      <c r="A618" s="5" t="s">
        <v>1485</v>
      </c>
      <c r="B618" s="11">
        <v>45314</v>
      </c>
      <c r="C618" s="5" t="s">
        <v>159</v>
      </c>
      <c r="D618" s="5" t="s">
        <v>65</v>
      </c>
      <c r="E618" s="5" t="s">
        <v>21</v>
      </c>
      <c r="F618" s="5">
        <v>3</v>
      </c>
      <c r="G618" s="19">
        <v>0.05</v>
      </c>
      <c r="H618" s="5" t="s">
        <v>697</v>
      </c>
      <c r="I618" s="10">
        <f>IF(OR(D618="", F618=""), "", F618 * VLOOKUP(D618, Products!A:E, 5, FALSE) * (1 - G618))</f>
        <v>4201.2419999999993</v>
      </c>
      <c r="J618" s="10"/>
    </row>
    <row r="619" spans="1:10" ht="15.75" customHeight="1" x14ac:dyDescent="0.3">
      <c r="A619" s="5" t="s">
        <v>1486</v>
      </c>
      <c r="B619" s="11">
        <v>45877</v>
      </c>
      <c r="C619" s="5" t="s">
        <v>557</v>
      </c>
      <c r="D619" s="5" t="s">
        <v>226</v>
      </c>
      <c r="E619" s="5" t="s">
        <v>37</v>
      </c>
      <c r="F619" s="5">
        <v>5</v>
      </c>
      <c r="G619" s="19">
        <v>0.1</v>
      </c>
      <c r="H619" s="5" t="s">
        <v>454</v>
      </c>
      <c r="I619" s="10">
        <f>IF(OR(D619="", F619=""), "", F619 * VLOOKUP(D619, Products!A:E, 5, FALSE) * (1 - G619))</f>
        <v>6756.5700000000006</v>
      </c>
      <c r="J619" s="10"/>
    </row>
    <row r="620" spans="1:10" ht="15.75" customHeight="1" x14ac:dyDescent="0.3">
      <c r="A620" s="5" t="s">
        <v>1487</v>
      </c>
      <c r="B620" s="11">
        <v>45475</v>
      </c>
      <c r="C620" s="5" t="s">
        <v>455</v>
      </c>
      <c r="D620" s="5" t="s">
        <v>115</v>
      </c>
      <c r="E620" s="5" t="s">
        <v>25</v>
      </c>
      <c r="F620" s="5">
        <v>1</v>
      </c>
      <c r="G620" s="19">
        <v>0</v>
      </c>
      <c r="H620" s="5" t="s">
        <v>637</v>
      </c>
      <c r="I620" s="10">
        <f>IF(OR(D620="", F620=""), "", F620 * VLOOKUP(D620, Products!A:E, 5, FALSE) * (1 - G620))</f>
        <v>1246.1099999999999</v>
      </c>
      <c r="J620" s="10"/>
    </row>
    <row r="621" spans="1:10" ht="15.75" customHeight="1" x14ac:dyDescent="0.3">
      <c r="A621" s="5" t="s">
        <v>1488</v>
      </c>
      <c r="B621" s="11">
        <v>45525</v>
      </c>
      <c r="C621" s="5" t="s">
        <v>705</v>
      </c>
      <c r="D621" s="5" t="s">
        <v>217</v>
      </c>
      <c r="E621" s="5" t="s">
        <v>37</v>
      </c>
      <c r="F621" s="5">
        <v>4</v>
      </c>
      <c r="G621" s="19">
        <v>0.05</v>
      </c>
      <c r="H621" s="5" t="s">
        <v>776</v>
      </c>
      <c r="I621" s="10">
        <f>IF(OR(D621="", F621=""), "", F621 * VLOOKUP(D621, Products!A:E, 5, FALSE) * (1 - G621))</f>
        <v>1626.59</v>
      </c>
      <c r="J621" s="10"/>
    </row>
    <row r="622" spans="1:10" ht="15.75" customHeight="1" x14ac:dyDescent="0.3">
      <c r="A622" s="5" t="s">
        <v>1489</v>
      </c>
      <c r="B622" s="11">
        <v>45531</v>
      </c>
      <c r="C622" s="5" t="s">
        <v>515</v>
      </c>
      <c r="D622" s="5" t="s">
        <v>249</v>
      </c>
      <c r="E622" s="5" t="s">
        <v>21</v>
      </c>
      <c r="F622" s="5">
        <v>4</v>
      </c>
      <c r="G622" s="19">
        <v>0</v>
      </c>
      <c r="H622" s="5" t="s">
        <v>454</v>
      </c>
      <c r="I622" s="10">
        <f>IF(OR(D622="", F622=""), "", F622 * VLOOKUP(D622, Products!A:E, 5, FALSE) * (1 - G622))</f>
        <v>6982.44</v>
      </c>
      <c r="J622" s="10"/>
    </row>
    <row r="623" spans="1:10" ht="15.75" customHeight="1" x14ac:dyDescent="0.3">
      <c r="A623" s="5" t="s">
        <v>1490</v>
      </c>
      <c r="B623" s="11">
        <v>45357</v>
      </c>
      <c r="C623" s="5" t="s">
        <v>779</v>
      </c>
      <c r="D623" s="5" t="s">
        <v>109</v>
      </c>
      <c r="E623" s="5" t="s">
        <v>37</v>
      </c>
      <c r="F623" s="5">
        <v>4</v>
      </c>
      <c r="G623" s="19">
        <v>0.05</v>
      </c>
      <c r="H623" s="5" t="s">
        <v>776</v>
      </c>
      <c r="I623" s="10">
        <f>IF(OR(D623="", F623=""), "", F623 * VLOOKUP(D623, Products!A:E, 5, FALSE) * (1 - G623))</f>
        <v>7063.25</v>
      </c>
      <c r="J623" s="10"/>
    </row>
    <row r="624" spans="1:10" ht="15.75" customHeight="1" x14ac:dyDescent="0.3">
      <c r="A624" s="5" t="s">
        <v>1491</v>
      </c>
      <c r="B624" s="11">
        <v>45728</v>
      </c>
      <c r="C624" s="5" t="s">
        <v>113</v>
      </c>
      <c r="D624" s="5" t="s">
        <v>128</v>
      </c>
      <c r="E624" s="5" t="s">
        <v>25</v>
      </c>
      <c r="F624" s="5">
        <v>2</v>
      </c>
      <c r="G624" s="19">
        <v>0.1</v>
      </c>
      <c r="H624" s="5" t="s">
        <v>776</v>
      </c>
      <c r="I624" s="10">
        <f>IF(OR(D624="", F624=""), "", F624 * VLOOKUP(D624, Products!A:E, 5, FALSE) * (1 - G624))</f>
        <v>583.05600000000004</v>
      </c>
      <c r="J624" s="10"/>
    </row>
    <row r="625" spans="1:10" ht="15.75" customHeight="1" x14ac:dyDescent="0.3">
      <c r="A625" s="5" t="s">
        <v>1492</v>
      </c>
      <c r="B625" s="11">
        <v>45556</v>
      </c>
      <c r="C625" s="5" t="s">
        <v>618</v>
      </c>
      <c r="D625" s="5" t="s">
        <v>128</v>
      </c>
      <c r="E625" s="5" t="s">
        <v>21</v>
      </c>
      <c r="F625" s="5">
        <v>3</v>
      </c>
      <c r="G625" s="19">
        <v>0.15</v>
      </c>
      <c r="H625" s="5" t="s">
        <v>637</v>
      </c>
      <c r="I625" s="10">
        <f>IF(OR(D625="", F625=""), "", F625 * VLOOKUP(D625, Products!A:E, 5, FALSE) * (1 - G625))</f>
        <v>825.99599999999998</v>
      </c>
      <c r="J625" s="10"/>
    </row>
    <row r="626" spans="1:10" ht="15.75" customHeight="1" x14ac:dyDescent="0.3">
      <c r="A626" s="5" t="s">
        <v>1493</v>
      </c>
      <c r="B626" s="11">
        <v>45267</v>
      </c>
      <c r="C626" s="5" t="s">
        <v>631</v>
      </c>
      <c r="D626" s="5" t="s">
        <v>237</v>
      </c>
      <c r="E626" s="5" t="s">
        <v>29</v>
      </c>
      <c r="F626" s="5">
        <v>1</v>
      </c>
      <c r="G626" s="19">
        <v>0.15</v>
      </c>
      <c r="H626" s="5" t="s">
        <v>697</v>
      </c>
      <c r="I626" s="10">
        <f>IF(OR(D626="", F626=""), "", F626 * VLOOKUP(D626, Products!A:E, 5, FALSE) * (1 - G626))</f>
        <v>311.89049999999997</v>
      </c>
      <c r="J626" s="10"/>
    </row>
    <row r="627" spans="1:10" ht="15.75" customHeight="1" x14ac:dyDescent="0.3">
      <c r="A627" s="5" t="s">
        <v>1494</v>
      </c>
      <c r="B627" s="11">
        <v>45247</v>
      </c>
      <c r="C627" s="5" t="s">
        <v>522</v>
      </c>
      <c r="D627" s="5" t="s">
        <v>128</v>
      </c>
      <c r="E627" s="5" t="s">
        <v>33</v>
      </c>
      <c r="F627" s="5">
        <v>3</v>
      </c>
      <c r="G627" s="19">
        <v>0.05</v>
      </c>
      <c r="H627" s="5" t="s">
        <v>637</v>
      </c>
      <c r="I627" s="10">
        <f>IF(OR(D627="", F627=""), "", F627 * VLOOKUP(D627, Products!A:E, 5, FALSE) * (1 - G627))</f>
        <v>923.17199999999991</v>
      </c>
      <c r="J627" s="10"/>
    </row>
    <row r="628" spans="1:10" ht="15.75" customHeight="1" x14ac:dyDescent="0.3">
      <c r="A628" s="5" t="s">
        <v>1495</v>
      </c>
      <c r="B628" s="11">
        <v>45832</v>
      </c>
      <c r="C628" s="5" t="s">
        <v>149</v>
      </c>
      <c r="D628" s="5" t="s">
        <v>109</v>
      </c>
      <c r="E628" s="5" t="s">
        <v>29</v>
      </c>
      <c r="F628" s="5">
        <v>4</v>
      </c>
      <c r="G628" s="19">
        <v>0.15</v>
      </c>
      <c r="H628" s="5" t="s">
        <v>454</v>
      </c>
      <c r="I628" s="10">
        <f>IF(OR(D628="", F628=""), "", F628 * VLOOKUP(D628, Products!A:E, 5, FALSE) * (1 - G628))</f>
        <v>6319.75</v>
      </c>
      <c r="J628" s="10"/>
    </row>
    <row r="629" spans="1:10" ht="15.75" customHeight="1" x14ac:dyDescent="0.3">
      <c r="A629" s="5" t="s">
        <v>1496</v>
      </c>
      <c r="B629" s="11">
        <v>45572</v>
      </c>
      <c r="C629" s="5" t="s">
        <v>380</v>
      </c>
      <c r="D629" s="5" t="s">
        <v>256</v>
      </c>
      <c r="E629" s="5" t="s">
        <v>29</v>
      </c>
      <c r="F629" s="5">
        <v>5</v>
      </c>
      <c r="G629" s="19">
        <v>0</v>
      </c>
      <c r="H629" s="5" t="s">
        <v>697</v>
      </c>
      <c r="I629" s="10">
        <f>IF(OR(D629="", F629=""), "", F629 * VLOOKUP(D629, Products!A:E, 5, FALSE) * (1 - G629))</f>
        <v>8175.05</v>
      </c>
      <c r="J629" s="10"/>
    </row>
    <row r="630" spans="1:10" ht="15.75" customHeight="1" x14ac:dyDescent="0.3">
      <c r="A630" s="5" t="s">
        <v>1497</v>
      </c>
      <c r="B630" s="11">
        <v>45679</v>
      </c>
      <c r="C630" s="5" t="s">
        <v>799</v>
      </c>
      <c r="D630" s="5" t="s">
        <v>200</v>
      </c>
      <c r="E630" s="5" t="s">
        <v>21</v>
      </c>
      <c r="F630" s="5">
        <v>1</v>
      </c>
      <c r="G630" s="19">
        <v>0.1</v>
      </c>
      <c r="H630" s="5" t="s">
        <v>637</v>
      </c>
      <c r="I630" s="10">
        <f>IF(OR(D630="", F630=""), "", F630 * VLOOKUP(D630, Products!A:E, 5, FALSE) * (1 - G630))</f>
        <v>986.14800000000002</v>
      </c>
      <c r="J630" s="10"/>
    </row>
    <row r="631" spans="1:10" ht="15.75" customHeight="1" x14ac:dyDescent="0.3">
      <c r="A631" s="5" t="s">
        <v>1498</v>
      </c>
      <c r="B631" s="11">
        <v>45355</v>
      </c>
      <c r="C631" s="5" t="s">
        <v>859</v>
      </c>
      <c r="D631" s="5" t="s">
        <v>119</v>
      </c>
      <c r="E631" s="5" t="s">
        <v>37</v>
      </c>
      <c r="F631" s="5">
        <v>2</v>
      </c>
      <c r="G631" s="19">
        <v>0</v>
      </c>
      <c r="H631" s="5" t="s">
        <v>637</v>
      </c>
      <c r="I631" s="10">
        <f>IF(OR(D631="", F631=""), "", F631 * VLOOKUP(D631, Products!A:E, 5, FALSE) * (1 - G631))</f>
        <v>2159.7800000000002</v>
      </c>
      <c r="J631" s="10"/>
    </row>
    <row r="632" spans="1:10" ht="15.75" customHeight="1" x14ac:dyDescent="0.3">
      <c r="A632" s="5" t="s">
        <v>1499</v>
      </c>
      <c r="B632" s="11">
        <v>45242</v>
      </c>
      <c r="C632" s="5" t="s">
        <v>661</v>
      </c>
      <c r="D632" s="5" t="s">
        <v>67</v>
      </c>
      <c r="E632" s="5" t="s">
        <v>33</v>
      </c>
      <c r="F632" s="5">
        <v>5</v>
      </c>
      <c r="G632" s="19">
        <v>0.15</v>
      </c>
      <c r="H632" s="5" t="s">
        <v>697</v>
      </c>
      <c r="I632" s="10">
        <f>IF(OR(D632="", F632=""), "", F632 * VLOOKUP(D632, Products!A:E, 5, FALSE) * (1 - G632))</f>
        <v>466.56499999999994</v>
      </c>
      <c r="J632" s="10"/>
    </row>
    <row r="633" spans="1:10" ht="15.75" customHeight="1" x14ac:dyDescent="0.3">
      <c r="A633" s="5" t="s">
        <v>1500</v>
      </c>
      <c r="B633" s="11">
        <v>45534</v>
      </c>
      <c r="C633" s="5" t="s">
        <v>618</v>
      </c>
      <c r="D633" s="5" t="s">
        <v>200</v>
      </c>
      <c r="E633" s="5" t="s">
        <v>29</v>
      </c>
      <c r="F633" s="5">
        <v>1</v>
      </c>
      <c r="G633" s="19">
        <v>0.15</v>
      </c>
      <c r="H633" s="5" t="s">
        <v>776</v>
      </c>
      <c r="I633" s="10">
        <f>IF(OR(D633="", F633=""), "", F633 * VLOOKUP(D633, Products!A:E, 5, FALSE) * (1 - G633))</f>
        <v>931.36199999999997</v>
      </c>
      <c r="J633" s="10"/>
    </row>
    <row r="634" spans="1:10" ht="15.75" customHeight="1" x14ac:dyDescent="0.3">
      <c r="A634" s="5" t="s">
        <v>1501</v>
      </c>
      <c r="B634" s="11">
        <v>45854</v>
      </c>
      <c r="C634" s="5" t="s">
        <v>641</v>
      </c>
      <c r="D634" s="5" t="s">
        <v>74</v>
      </c>
      <c r="E634" s="5" t="s">
        <v>37</v>
      </c>
      <c r="F634" s="5">
        <v>5</v>
      </c>
      <c r="G634" s="19">
        <v>0.05</v>
      </c>
      <c r="H634" s="5" t="s">
        <v>776</v>
      </c>
      <c r="I634" s="10">
        <f>IF(OR(D634="", F634=""), "", F634 * VLOOKUP(D634, Products!A:E, 5, FALSE) * (1 - G634))</f>
        <v>5672.0699999999988</v>
      </c>
      <c r="J634" s="10"/>
    </row>
    <row r="635" spans="1:10" ht="15.75" customHeight="1" x14ac:dyDescent="0.3">
      <c r="A635" s="5" t="s">
        <v>1502</v>
      </c>
      <c r="B635" s="11">
        <v>45650</v>
      </c>
      <c r="C635" s="5" t="s">
        <v>859</v>
      </c>
      <c r="D635" s="5" t="s">
        <v>280</v>
      </c>
      <c r="E635" s="5" t="s">
        <v>33</v>
      </c>
      <c r="F635" s="5">
        <v>2</v>
      </c>
      <c r="G635" s="19">
        <v>0.05</v>
      </c>
      <c r="H635" s="5" t="s">
        <v>697</v>
      </c>
      <c r="I635" s="10">
        <f>IF(OR(D635="", F635=""), "", F635 * VLOOKUP(D635, Products!A:E, 5, FALSE) * (1 - G635))</f>
        <v>2311.0839999999998</v>
      </c>
      <c r="J635" s="10"/>
    </row>
    <row r="636" spans="1:10" ht="15.75" customHeight="1" x14ac:dyDescent="0.3">
      <c r="A636" s="5" t="s">
        <v>1503</v>
      </c>
      <c r="B636" s="11">
        <v>45309</v>
      </c>
      <c r="C636" s="5" t="s">
        <v>350</v>
      </c>
      <c r="D636" s="5" t="s">
        <v>267</v>
      </c>
      <c r="E636" s="5" t="s">
        <v>25</v>
      </c>
      <c r="F636" s="5">
        <v>1</v>
      </c>
      <c r="G636" s="19">
        <v>0.15</v>
      </c>
      <c r="H636" s="5" t="s">
        <v>776</v>
      </c>
      <c r="I636" s="10">
        <f>IF(OR(D636="", F636=""), "", F636 * VLOOKUP(D636, Products!A:E, 5, FALSE) * (1 - G636))</f>
        <v>1093.5674999999999</v>
      </c>
      <c r="J636" s="10"/>
    </row>
    <row r="637" spans="1:10" ht="15.75" customHeight="1" x14ac:dyDescent="0.3">
      <c r="A637" s="5" t="s">
        <v>1504</v>
      </c>
      <c r="B637" s="11">
        <v>45643</v>
      </c>
      <c r="C637" s="5" t="s">
        <v>795</v>
      </c>
      <c r="D637" s="5" t="s">
        <v>77</v>
      </c>
      <c r="E637" s="5" t="s">
        <v>33</v>
      </c>
      <c r="F637" s="5">
        <v>2</v>
      </c>
      <c r="G637" s="19">
        <v>0.05</v>
      </c>
      <c r="H637" s="5" t="s">
        <v>454</v>
      </c>
      <c r="I637" s="10">
        <f>IF(OR(D637="", F637=""), "", F637 * VLOOKUP(D637, Products!A:E, 5, FALSE) * (1 - G637))</f>
        <v>472.28299999999996</v>
      </c>
      <c r="J637" s="10"/>
    </row>
    <row r="638" spans="1:10" ht="15.75" customHeight="1" x14ac:dyDescent="0.3">
      <c r="A638" s="5" t="s">
        <v>1505</v>
      </c>
      <c r="B638" s="11">
        <v>45179</v>
      </c>
      <c r="C638" s="5" t="s">
        <v>474</v>
      </c>
      <c r="D638" s="5" t="s">
        <v>67</v>
      </c>
      <c r="E638" s="5" t="s">
        <v>21</v>
      </c>
      <c r="F638" s="5">
        <v>1</v>
      </c>
      <c r="G638" s="19">
        <v>0.15</v>
      </c>
      <c r="H638" s="5" t="s">
        <v>637</v>
      </c>
      <c r="I638" s="10">
        <f>IF(OR(D638="", F638=""), "", F638 * VLOOKUP(D638, Products!A:E, 5, FALSE) * (1 - G638))</f>
        <v>93.313000000000002</v>
      </c>
      <c r="J638" s="10"/>
    </row>
    <row r="639" spans="1:10" ht="15.75" customHeight="1" x14ac:dyDescent="0.3">
      <c r="A639" s="5" t="s">
        <v>1506</v>
      </c>
      <c r="B639" s="11">
        <v>45555</v>
      </c>
      <c r="C639" s="5" t="s">
        <v>635</v>
      </c>
      <c r="D639" s="5" t="s">
        <v>67</v>
      </c>
      <c r="E639" s="5" t="s">
        <v>29</v>
      </c>
      <c r="F639" s="5">
        <v>3</v>
      </c>
      <c r="G639" s="19">
        <v>0.15</v>
      </c>
      <c r="H639" s="5" t="s">
        <v>776</v>
      </c>
      <c r="I639" s="10">
        <f>IF(OR(D639="", F639=""), "", F639 * VLOOKUP(D639, Products!A:E, 5, FALSE) * (1 - G639))</f>
        <v>279.93900000000002</v>
      </c>
      <c r="J639" s="10"/>
    </row>
    <row r="640" spans="1:10" ht="15.75" customHeight="1" x14ac:dyDescent="0.3">
      <c r="A640" s="5" t="s">
        <v>1507</v>
      </c>
      <c r="B640" s="11">
        <v>45385</v>
      </c>
      <c r="C640" s="5" t="s">
        <v>811</v>
      </c>
      <c r="D640" s="5" t="s">
        <v>119</v>
      </c>
      <c r="E640" s="5" t="s">
        <v>37</v>
      </c>
      <c r="F640" s="5">
        <v>5</v>
      </c>
      <c r="G640" s="19">
        <v>0.15</v>
      </c>
      <c r="H640" s="5" t="s">
        <v>776</v>
      </c>
      <c r="I640" s="10">
        <f>IF(OR(D640="", F640=""), "", F640 * VLOOKUP(D640, Products!A:E, 5, FALSE) * (1 - G640))</f>
        <v>4589.5325000000003</v>
      </c>
      <c r="J640" s="10"/>
    </row>
    <row r="641" spans="1:10" ht="15.75" customHeight="1" x14ac:dyDescent="0.3">
      <c r="A641" s="5" t="s">
        <v>1508</v>
      </c>
      <c r="B641" s="11">
        <v>45283</v>
      </c>
      <c r="C641" s="5" t="s">
        <v>563</v>
      </c>
      <c r="D641" s="5" t="s">
        <v>243</v>
      </c>
      <c r="E641" s="5" t="s">
        <v>25</v>
      </c>
      <c r="F641" s="5">
        <v>2</v>
      </c>
      <c r="G641" s="19">
        <v>0</v>
      </c>
      <c r="H641" s="5" t="s">
        <v>776</v>
      </c>
      <c r="I641" s="10">
        <f>IF(OR(D641="", F641=""), "", F641 * VLOOKUP(D641, Products!A:E, 5, FALSE) * (1 - G641))</f>
        <v>1081.8800000000001</v>
      </c>
      <c r="J641" s="10"/>
    </row>
    <row r="642" spans="1:10" ht="15.75" customHeight="1" x14ac:dyDescent="0.3">
      <c r="A642" s="5" t="s">
        <v>1509</v>
      </c>
      <c r="B642" s="11">
        <v>45336</v>
      </c>
      <c r="C642" s="5" t="s">
        <v>699</v>
      </c>
      <c r="D642" s="5" t="s">
        <v>237</v>
      </c>
      <c r="E642" s="5" t="s">
        <v>21</v>
      </c>
      <c r="F642" s="5">
        <v>3</v>
      </c>
      <c r="G642" s="19">
        <v>0.1</v>
      </c>
      <c r="H642" s="5" t="s">
        <v>637</v>
      </c>
      <c r="I642" s="10">
        <f>IF(OR(D642="", F642=""), "", F642 * VLOOKUP(D642, Products!A:E, 5, FALSE) * (1 - G642))</f>
        <v>990.71100000000001</v>
      </c>
      <c r="J642" s="10"/>
    </row>
    <row r="643" spans="1:10" ht="15.75" customHeight="1" x14ac:dyDescent="0.3">
      <c r="A643" s="5" t="s">
        <v>1510</v>
      </c>
      <c r="B643" s="11">
        <v>45383</v>
      </c>
      <c r="C643" s="5" t="s">
        <v>420</v>
      </c>
      <c r="D643" s="5" t="s">
        <v>232</v>
      </c>
      <c r="E643" s="5" t="s">
        <v>33</v>
      </c>
      <c r="F643" s="5">
        <v>4</v>
      </c>
      <c r="G643" s="19">
        <v>0.15</v>
      </c>
      <c r="H643" s="5" t="s">
        <v>776</v>
      </c>
      <c r="I643" s="10">
        <f>IF(OR(D643="", F643=""), "", F643 * VLOOKUP(D643, Products!A:E, 5, FALSE) * (1 - G643))</f>
        <v>6639.01</v>
      </c>
      <c r="J643" s="10"/>
    </row>
    <row r="644" spans="1:10" ht="15.75" customHeight="1" x14ac:dyDescent="0.3">
      <c r="A644" s="5" t="s">
        <v>1511</v>
      </c>
      <c r="B644" s="11">
        <v>45334</v>
      </c>
      <c r="C644" s="5" t="s">
        <v>330</v>
      </c>
      <c r="D644" s="5" t="s">
        <v>265</v>
      </c>
      <c r="E644" s="5" t="s">
        <v>29</v>
      </c>
      <c r="F644" s="5">
        <v>4</v>
      </c>
      <c r="G644" s="19">
        <v>0.05</v>
      </c>
      <c r="H644" s="5" t="s">
        <v>637</v>
      </c>
      <c r="I644" s="10">
        <f>IF(OR(D644="", F644=""), "", F644 * VLOOKUP(D644, Products!A:E, 5, FALSE) * (1 - G644))</f>
        <v>2144.7959999999998</v>
      </c>
      <c r="J644" s="10"/>
    </row>
    <row r="645" spans="1:10" ht="15.75" customHeight="1" x14ac:dyDescent="0.3">
      <c r="A645" s="5" t="s">
        <v>1512</v>
      </c>
      <c r="B645" s="11">
        <v>45408</v>
      </c>
      <c r="C645" s="5" t="s">
        <v>137</v>
      </c>
      <c r="D645" s="5" t="s">
        <v>95</v>
      </c>
      <c r="E645" s="5" t="s">
        <v>33</v>
      </c>
      <c r="F645" s="5">
        <v>3</v>
      </c>
      <c r="G645" s="19">
        <v>0.05</v>
      </c>
      <c r="H645" s="5" t="s">
        <v>776</v>
      </c>
      <c r="I645" s="10">
        <f>IF(OR(D645="", F645=""), "", F645 * VLOOKUP(D645, Products!A:E, 5, FALSE) * (1 - G645))</f>
        <v>3826.8374999999996</v>
      </c>
      <c r="J645" s="10"/>
    </row>
    <row r="646" spans="1:10" ht="15.75" customHeight="1" x14ac:dyDescent="0.3">
      <c r="A646" s="5" t="s">
        <v>1513</v>
      </c>
      <c r="B646" s="11">
        <v>45342</v>
      </c>
      <c r="C646" s="5" t="s">
        <v>850</v>
      </c>
      <c r="D646" s="5" t="s">
        <v>256</v>
      </c>
      <c r="E646" s="5" t="s">
        <v>33</v>
      </c>
      <c r="F646" s="5">
        <v>3</v>
      </c>
      <c r="G646" s="19">
        <v>0.1</v>
      </c>
      <c r="H646" s="5" t="s">
        <v>776</v>
      </c>
      <c r="I646" s="10">
        <f>IF(OR(D646="", F646=""), "", F646 * VLOOKUP(D646, Products!A:E, 5, FALSE) * (1 - G646))</f>
        <v>4414.527</v>
      </c>
      <c r="J646" s="10"/>
    </row>
    <row r="647" spans="1:10" ht="15.75" customHeight="1" x14ac:dyDescent="0.3">
      <c r="A647" s="5" t="s">
        <v>1514</v>
      </c>
      <c r="B647" s="11">
        <v>45734</v>
      </c>
      <c r="C647" s="5" t="s">
        <v>491</v>
      </c>
      <c r="D647" s="5" t="s">
        <v>232</v>
      </c>
      <c r="E647" s="5" t="s">
        <v>29</v>
      </c>
      <c r="F647" s="5">
        <v>3</v>
      </c>
      <c r="G647" s="19">
        <v>0.1</v>
      </c>
      <c r="H647" s="5" t="s">
        <v>637</v>
      </c>
      <c r="I647" s="10">
        <f>IF(OR(D647="", F647=""), "", F647 * VLOOKUP(D647, Products!A:E, 5, FALSE) * (1 - G647))</f>
        <v>5272.1550000000007</v>
      </c>
      <c r="J647" s="10"/>
    </row>
    <row r="648" spans="1:10" ht="15.75" customHeight="1" x14ac:dyDescent="0.3">
      <c r="A648" s="5" t="s">
        <v>1515</v>
      </c>
      <c r="B648" s="11">
        <v>45264</v>
      </c>
      <c r="C648" s="5" t="s">
        <v>808</v>
      </c>
      <c r="D648" s="5" t="s">
        <v>256</v>
      </c>
      <c r="E648" s="5" t="s">
        <v>21</v>
      </c>
      <c r="F648" s="5">
        <v>2</v>
      </c>
      <c r="G648" s="19">
        <v>0.05</v>
      </c>
      <c r="H648" s="5" t="s">
        <v>454</v>
      </c>
      <c r="I648" s="10">
        <f>IF(OR(D648="", F648=""), "", F648 * VLOOKUP(D648, Products!A:E, 5, FALSE) * (1 - G648))</f>
        <v>3106.5189999999998</v>
      </c>
      <c r="J648" s="10"/>
    </row>
    <row r="649" spans="1:10" ht="15.75" customHeight="1" x14ac:dyDescent="0.3">
      <c r="A649" s="5" t="s">
        <v>1516</v>
      </c>
      <c r="B649" s="11">
        <v>45675</v>
      </c>
      <c r="C649" s="5" t="s">
        <v>850</v>
      </c>
      <c r="D649" s="5" t="s">
        <v>212</v>
      </c>
      <c r="E649" s="5" t="s">
        <v>33</v>
      </c>
      <c r="F649" s="5">
        <v>3</v>
      </c>
      <c r="G649" s="19">
        <v>0.1</v>
      </c>
      <c r="H649" s="5" t="s">
        <v>637</v>
      </c>
      <c r="I649" s="10">
        <f>IF(OR(D649="", F649=""), "", F649 * VLOOKUP(D649, Products!A:E, 5, FALSE) * (1 - G649))</f>
        <v>4857.2190000000001</v>
      </c>
      <c r="J649" s="10"/>
    </row>
    <row r="650" spans="1:10" ht="15.75" customHeight="1" x14ac:dyDescent="0.3">
      <c r="A650" s="5" t="s">
        <v>1517</v>
      </c>
      <c r="B650" s="11">
        <v>45902</v>
      </c>
      <c r="C650" s="5" t="s">
        <v>729</v>
      </c>
      <c r="D650" s="5" t="s">
        <v>265</v>
      </c>
      <c r="E650" s="5" t="s">
        <v>21</v>
      </c>
      <c r="F650" s="5">
        <v>2</v>
      </c>
      <c r="G650" s="19">
        <v>0.15</v>
      </c>
      <c r="H650" s="5" t="s">
        <v>697</v>
      </c>
      <c r="I650" s="10">
        <f>IF(OR(D650="", F650=""), "", F650 * VLOOKUP(D650, Products!A:E, 5, FALSE) * (1 - G650))</f>
        <v>959.5139999999999</v>
      </c>
      <c r="J650" s="10"/>
    </row>
    <row r="651" spans="1:10" ht="15.75" customHeight="1" x14ac:dyDescent="0.3">
      <c r="A651" s="5" t="s">
        <v>1518</v>
      </c>
      <c r="B651" s="11">
        <v>45843</v>
      </c>
      <c r="C651" s="5" t="s">
        <v>557</v>
      </c>
      <c r="D651" s="5" t="s">
        <v>109</v>
      </c>
      <c r="E651" s="5" t="s">
        <v>33</v>
      </c>
      <c r="F651" s="5">
        <v>5</v>
      </c>
      <c r="G651" s="19">
        <v>0.1</v>
      </c>
      <c r="H651" s="5" t="s">
        <v>776</v>
      </c>
      <c r="I651" s="10">
        <f>IF(OR(D651="", F651=""), "", F651 * VLOOKUP(D651, Products!A:E, 5, FALSE) * (1 - G651))</f>
        <v>8364.375</v>
      </c>
      <c r="J651" s="10"/>
    </row>
    <row r="652" spans="1:10" ht="15.75" customHeight="1" x14ac:dyDescent="0.3">
      <c r="A652" s="5" t="s">
        <v>1519</v>
      </c>
      <c r="B652" s="11">
        <v>45238</v>
      </c>
      <c r="C652" s="5" t="s">
        <v>652</v>
      </c>
      <c r="D652" s="5" t="s">
        <v>269</v>
      </c>
      <c r="E652" s="5" t="s">
        <v>25</v>
      </c>
      <c r="F652" s="5">
        <v>1</v>
      </c>
      <c r="G652" s="19">
        <v>0.1</v>
      </c>
      <c r="H652" s="5" t="s">
        <v>637</v>
      </c>
      <c r="I652" s="10">
        <f>IF(OR(D652="", F652=""), "", F652 * VLOOKUP(D652, Products!A:E, 5, FALSE) * (1 - G652))</f>
        <v>1691.172</v>
      </c>
      <c r="J652" s="10"/>
    </row>
    <row r="653" spans="1:10" ht="15.75" customHeight="1" x14ac:dyDescent="0.3">
      <c r="A653" s="5" t="s">
        <v>1520</v>
      </c>
      <c r="B653" s="11">
        <v>45407</v>
      </c>
      <c r="C653" s="5" t="s">
        <v>286</v>
      </c>
      <c r="D653" s="5" t="s">
        <v>162</v>
      </c>
      <c r="E653" s="5" t="s">
        <v>37</v>
      </c>
      <c r="F653" s="5">
        <v>5</v>
      </c>
      <c r="G653" s="19">
        <v>0</v>
      </c>
      <c r="H653" s="5" t="s">
        <v>697</v>
      </c>
      <c r="I653" s="10">
        <f>IF(OR(D653="", F653=""), "", F653 * VLOOKUP(D653, Products!A:E, 5, FALSE) * (1 - G653))</f>
        <v>2145.75</v>
      </c>
      <c r="J653" s="10"/>
    </row>
    <row r="654" spans="1:10" ht="15.75" customHeight="1" x14ac:dyDescent="0.3">
      <c r="A654" s="5" t="s">
        <v>1521</v>
      </c>
      <c r="B654" s="11">
        <v>45459</v>
      </c>
      <c r="C654" s="5" t="s">
        <v>350</v>
      </c>
      <c r="D654" s="5" t="s">
        <v>267</v>
      </c>
      <c r="E654" s="5" t="s">
        <v>25</v>
      </c>
      <c r="F654" s="5">
        <v>1</v>
      </c>
      <c r="G654" s="19">
        <v>0.05</v>
      </c>
      <c r="H654" s="5" t="s">
        <v>776</v>
      </c>
      <c r="I654" s="10">
        <f>IF(OR(D654="", F654=""), "", F654 * VLOOKUP(D654, Products!A:E, 5, FALSE) * (1 - G654))</f>
        <v>1222.2224999999999</v>
      </c>
      <c r="J654" s="10"/>
    </row>
    <row r="655" spans="1:10" ht="15.75" customHeight="1" x14ac:dyDescent="0.3">
      <c r="A655" s="5" t="s">
        <v>1522</v>
      </c>
      <c r="B655" s="11">
        <v>45374</v>
      </c>
      <c r="C655" s="5" t="s">
        <v>600</v>
      </c>
      <c r="D655" s="5" t="s">
        <v>269</v>
      </c>
      <c r="E655" s="5" t="s">
        <v>21</v>
      </c>
      <c r="F655" s="5">
        <v>3</v>
      </c>
      <c r="G655" s="19">
        <v>0.05</v>
      </c>
      <c r="H655" s="5" t="s">
        <v>454</v>
      </c>
      <c r="I655" s="10">
        <f>IF(OR(D655="", F655=""), "", F655 * VLOOKUP(D655, Products!A:E, 5, FALSE) * (1 - G655))</f>
        <v>5355.3779999999997</v>
      </c>
      <c r="J655" s="10"/>
    </row>
    <row r="656" spans="1:10" ht="15.75" customHeight="1" x14ac:dyDescent="0.3">
      <c r="A656" s="5" t="s">
        <v>1523</v>
      </c>
      <c r="B656" s="11">
        <v>45666</v>
      </c>
      <c r="C656" s="5" t="s">
        <v>522</v>
      </c>
      <c r="D656" s="5" t="s">
        <v>134</v>
      </c>
      <c r="E656" s="5" t="s">
        <v>33</v>
      </c>
      <c r="F656" s="5">
        <v>5</v>
      </c>
      <c r="G656" s="19">
        <v>0.15</v>
      </c>
      <c r="H656" s="5" t="s">
        <v>776</v>
      </c>
      <c r="I656" s="10">
        <f>IF(OR(D656="", F656=""), "", F656 * VLOOKUP(D656, Products!A:E, 5, FALSE) * (1 - G656))</f>
        <v>5215.7699999999995</v>
      </c>
      <c r="J656" s="10"/>
    </row>
    <row r="657" spans="1:10" ht="15.75" customHeight="1" x14ac:dyDescent="0.3">
      <c r="A657" s="5" t="s">
        <v>1524</v>
      </c>
      <c r="B657" s="11">
        <v>45623</v>
      </c>
      <c r="C657" s="5" t="s">
        <v>795</v>
      </c>
      <c r="D657" s="5" t="s">
        <v>70</v>
      </c>
      <c r="E657" s="5" t="s">
        <v>21</v>
      </c>
      <c r="F657" s="5">
        <v>2</v>
      </c>
      <c r="G657" s="19">
        <v>0.1</v>
      </c>
      <c r="H657" s="5" t="s">
        <v>637</v>
      </c>
      <c r="I657" s="10">
        <f>IF(OR(D657="", F657=""), "", F657 * VLOOKUP(D657, Products!A:E, 5, FALSE) * (1 - G657))</f>
        <v>221.74199999999999</v>
      </c>
      <c r="J657" s="10"/>
    </row>
    <row r="658" spans="1:10" ht="15.75" customHeight="1" x14ac:dyDescent="0.3">
      <c r="A658" s="5" t="s">
        <v>1525</v>
      </c>
      <c r="B658" s="11">
        <v>45593</v>
      </c>
      <c r="C658" s="5" t="s">
        <v>724</v>
      </c>
      <c r="D658" s="5" t="s">
        <v>103</v>
      </c>
      <c r="E658" s="5" t="s">
        <v>33</v>
      </c>
      <c r="F658" s="5">
        <v>2</v>
      </c>
      <c r="G658" s="19">
        <v>0.15</v>
      </c>
      <c r="H658" s="5" t="s">
        <v>454</v>
      </c>
      <c r="I658" s="10">
        <f>IF(OR(D658="", F658=""), "", F658 * VLOOKUP(D658, Products!A:E, 5, FALSE) * (1 - G658))</f>
        <v>459.76499999999999</v>
      </c>
      <c r="J658" s="10"/>
    </row>
    <row r="659" spans="1:10" ht="15.75" customHeight="1" x14ac:dyDescent="0.3">
      <c r="A659" s="5" t="s">
        <v>1526</v>
      </c>
      <c r="B659" s="11">
        <v>45640</v>
      </c>
      <c r="C659" s="5" t="s">
        <v>499</v>
      </c>
      <c r="D659" s="5" t="s">
        <v>272</v>
      </c>
      <c r="E659" s="5" t="s">
        <v>25</v>
      </c>
      <c r="F659" s="5">
        <v>3</v>
      </c>
      <c r="G659" s="19">
        <v>0</v>
      </c>
      <c r="H659" s="5" t="s">
        <v>454</v>
      </c>
      <c r="I659" s="10">
        <f>IF(OR(D659="", F659=""), "", F659 * VLOOKUP(D659, Products!A:E, 5, FALSE) * (1 - G659))</f>
        <v>3496.1099999999997</v>
      </c>
      <c r="J659" s="10"/>
    </row>
    <row r="660" spans="1:10" ht="15.75" customHeight="1" x14ac:dyDescent="0.3">
      <c r="A660" s="5" t="s">
        <v>1527</v>
      </c>
      <c r="B660" s="11">
        <v>45516</v>
      </c>
      <c r="C660" s="5" t="s">
        <v>121</v>
      </c>
      <c r="D660" s="5" t="s">
        <v>226</v>
      </c>
      <c r="E660" s="5" t="s">
        <v>33</v>
      </c>
      <c r="F660" s="5">
        <v>1</v>
      </c>
      <c r="G660" s="19">
        <v>0.05</v>
      </c>
      <c r="H660" s="5" t="s">
        <v>697</v>
      </c>
      <c r="I660" s="10">
        <f>IF(OR(D660="", F660=""), "", F660 * VLOOKUP(D660, Products!A:E, 5, FALSE) * (1 - G660))</f>
        <v>1426.3869999999999</v>
      </c>
      <c r="J660" s="10"/>
    </row>
    <row r="661" spans="1:10" ht="15.75" customHeight="1" x14ac:dyDescent="0.3">
      <c r="A661" s="5" t="s">
        <v>1528</v>
      </c>
      <c r="B661" s="11">
        <v>45265</v>
      </c>
      <c r="C661" s="5" t="s">
        <v>376</v>
      </c>
      <c r="D661" s="5" t="s">
        <v>147</v>
      </c>
      <c r="E661" s="5" t="s">
        <v>25</v>
      </c>
      <c r="F661" s="5">
        <v>2</v>
      </c>
      <c r="G661" s="19">
        <v>0.1</v>
      </c>
      <c r="H661" s="5" t="s">
        <v>637</v>
      </c>
      <c r="I661" s="10">
        <f>IF(OR(D661="", F661=""), "", F661 * VLOOKUP(D661, Products!A:E, 5, FALSE) * (1 - G661))</f>
        <v>3381.2460000000001</v>
      </c>
      <c r="J661" s="10"/>
    </row>
    <row r="662" spans="1:10" ht="15.75" customHeight="1" x14ac:dyDescent="0.3">
      <c r="A662" s="5" t="s">
        <v>1529</v>
      </c>
      <c r="B662" s="11">
        <v>45569</v>
      </c>
      <c r="C662" s="5" t="s">
        <v>652</v>
      </c>
      <c r="D662" s="5" t="s">
        <v>153</v>
      </c>
      <c r="E662" s="5" t="s">
        <v>21</v>
      </c>
      <c r="F662" s="5">
        <v>1</v>
      </c>
      <c r="G662" s="19">
        <v>0.15</v>
      </c>
      <c r="H662" s="5" t="s">
        <v>697</v>
      </c>
      <c r="I662" s="10">
        <f>IF(OR(D662="", F662=""), "", F662 * VLOOKUP(D662, Products!A:E, 5, FALSE) * (1 - G662))</f>
        <v>1264.2985000000001</v>
      </c>
      <c r="J662" s="10"/>
    </row>
    <row r="663" spans="1:10" ht="15.75" customHeight="1" x14ac:dyDescent="0.3">
      <c r="A663" s="5" t="s">
        <v>1530</v>
      </c>
      <c r="B663" s="11">
        <v>45449</v>
      </c>
      <c r="C663" s="5" t="s">
        <v>766</v>
      </c>
      <c r="D663" s="5" t="s">
        <v>95</v>
      </c>
      <c r="E663" s="5" t="s">
        <v>25</v>
      </c>
      <c r="F663" s="5">
        <v>5</v>
      </c>
      <c r="G663" s="19">
        <v>0</v>
      </c>
      <c r="H663" s="5" t="s">
        <v>697</v>
      </c>
      <c r="I663" s="10">
        <f>IF(OR(D663="", F663=""), "", F663 * VLOOKUP(D663, Products!A:E, 5, FALSE) * (1 - G663))</f>
        <v>6713.75</v>
      </c>
      <c r="J663" s="10"/>
    </row>
    <row r="664" spans="1:10" ht="15.75" customHeight="1" x14ac:dyDescent="0.3">
      <c r="A664" s="5" t="s">
        <v>1531</v>
      </c>
      <c r="B664" s="11">
        <v>45343</v>
      </c>
      <c r="C664" s="5" t="s">
        <v>409</v>
      </c>
      <c r="D664" s="5" t="s">
        <v>54</v>
      </c>
      <c r="E664" s="5" t="s">
        <v>37</v>
      </c>
      <c r="F664" s="5">
        <v>3</v>
      </c>
      <c r="G664" s="19">
        <v>0.1</v>
      </c>
      <c r="H664" s="5" t="s">
        <v>637</v>
      </c>
      <c r="I664" s="10">
        <f>IF(OR(D664="", F664=""), "", F664 * VLOOKUP(D664, Products!A:E, 5, FALSE) * (1 - G664))</f>
        <v>5005.1790000000001</v>
      </c>
      <c r="J664" s="10"/>
    </row>
    <row r="665" spans="1:10" ht="15.75" customHeight="1" x14ac:dyDescent="0.3">
      <c r="A665" s="5" t="s">
        <v>1532</v>
      </c>
      <c r="B665" s="11">
        <v>45737</v>
      </c>
      <c r="C665" s="5" t="s">
        <v>528</v>
      </c>
      <c r="D665" s="5" t="s">
        <v>206</v>
      </c>
      <c r="E665" s="5" t="s">
        <v>29</v>
      </c>
      <c r="F665" s="5">
        <v>4</v>
      </c>
      <c r="G665" s="19">
        <v>0.1</v>
      </c>
      <c r="H665" s="5" t="s">
        <v>697</v>
      </c>
      <c r="I665" s="10">
        <f>IF(OR(D665="", F665=""), "", F665 * VLOOKUP(D665, Products!A:E, 5, FALSE) * (1 - G665))</f>
        <v>1096.9559999999999</v>
      </c>
      <c r="J665" s="10"/>
    </row>
    <row r="666" spans="1:10" ht="15.75" customHeight="1" x14ac:dyDescent="0.3">
      <c r="A666" s="5" t="s">
        <v>1533</v>
      </c>
      <c r="B666" s="11">
        <v>45758</v>
      </c>
      <c r="C666" s="5" t="s">
        <v>611</v>
      </c>
      <c r="D666" s="5" t="s">
        <v>50</v>
      </c>
      <c r="E666" s="5" t="s">
        <v>29</v>
      </c>
      <c r="F666" s="5">
        <v>5</v>
      </c>
      <c r="G666" s="19">
        <v>0.15</v>
      </c>
      <c r="H666" s="5" t="s">
        <v>776</v>
      </c>
      <c r="I666" s="10">
        <f>IF(OR(D666="", F666=""), "", F666 * VLOOKUP(D666, Products!A:E, 5, FALSE) * (1 - G666))</f>
        <v>1434.9275</v>
      </c>
      <c r="J666" s="10"/>
    </row>
    <row r="667" spans="1:10" ht="15.75" customHeight="1" x14ac:dyDescent="0.3">
      <c r="A667" s="5" t="s">
        <v>1534</v>
      </c>
      <c r="B667" s="11">
        <v>45318</v>
      </c>
      <c r="C667" s="5" t="s">
        <v>69</v>
      </c>
      <c r="D667" s="5" t="s">
        <v>119</v>
      </c>
      <c r="E667" s="5" t="s">
        <v>37</v>
      </c>
      <c r="F667" s="5">
        <v>3</v>
      </c>
      <c r="G667" s="19">
        <v>0.1</v>
      </c>
      <c r="H667" s="5" t="s">
        <v>454</v>
      </c>
      <c r="I667" s="10">
        <f>IF(OR(D667="", F667=""), "", F667 * VLOOKUP(D667, Products!A:E, 5, FALSE) * (1 - G667))</f>
        <v>2915.703</v>
      </c>
      <c r="J667" s="10"/>
    </row>
    <row r="668" spans="1:10" ht="15.75" customHeight="1" x14ac:dyDescent="0.3">
      <c r="A668" s="5" t="s">
        <v>1535</v>
      </c>
      <c r="B668" s="11">
        <v>45850</v>
      </c>
      <c r="C668" s="5" t="s">
        <v>800</v>
      </c>
      <c r="D668" s="5" t="s">
        <v>134</v>
      </c>
      <c r="E668" s="5" t="s">
        <v>21</v>
      </c>
      <c r="F668" s="5">
        <v>4</v>
      </c>
      <c r="G668" s="19">
        <v>0</v>
      </c>
      <c r="H668" s="5" t="s">
        <v>454</v>
      </c>
      <c r="I668" s="10">
        <f>IF(OR(D668="", F668=""), "", F668 * VLOOKUP(D668, Products!A:E, 5, FALSE) * (1 - G668))</f>
        <v>4908.96</v>
      </c>
      <c r="J668" s="10"/>
    </row>
    <row r="669" spans="1:10" ht="15.75" customHeight="1" x14ac:dyDescent="0.3">
      <c r="A669" s="5" t="s">
        <v>1536</v>
      </c>
      <c r="B669" s="11">
        <v>45253</v>
      </c>
      <c r="C669" s="5" t="s">
        <v>433</v>
      </c>
      <c r="D669" s="5" t="s">
        <v>280</v>
      </c>
      <c r="E669" s="5" t="s">
        <v>29</v>
      </c>
      <c r="F669" s="5">
        <v>3</v>
      </c>
      <c r="G669" s="19">
        <v>0.1</v>
      </c>
      <c r="H669" s="5" t="s">
        <v>454</v>
      </c>
      <c r="I669" s="10">
        <f>IF(OR(D669="", F669=""), "", F669 * VLOOKUP(D669, Products!A:E, 5, FALSE) * (1 - G669))</f>
        <v>3284.172</v>
      </c>
      <c r="J669" s="10"/>
    </row>
    <row r="670" spans="1:10" ht="15.75" customHeight="1" x14ac:dyDescent="0.3">
      <c r="A670" s="5" t="s">
        <v>1537</v>
      </c>
      <c r="B670" s="11">
        <v>45261</v>
      </c>
      <c r="C670" s="5" t="s">
        <v>346</v>
      </c>
      <c r="D670" s="5" t="s">
        <v>206</v>
      </c>
      <c r="E670" s="5" t="s">
        <v>25</v>
      </c>
      <c r="F670" s="5">
        <v>5</v>
      </c>
      <c r="G670" s="19">
        <v>0.05</v>
      </c>
      <c r="H670" s="5" t="s">
        <v>776</v>
      </c>
      <c r="I670" s="10">
        <f>IF(OR(D670="", F670=""), "", F670 * VLOOKUP(D670, Products!A:E, 5, FALSE) * (1 - G670))</f>
        <v>1447.3724999999999</v>
      </c>
      <c r="J670" s="10"/>
    </row>
    <row r="671" spans="1:10" ht="15.75" customHeight="1" x14ac:dyDescent="0.3">
      <c r="A671" s="5" t="s">
        <v>1538</v>
      </c>
      <c r="B671" s="11">
        <v>45606</v>
      </c>
      <c r="C671" s="5" t="s">
        <v>727</v>
      </c>
      <c r="D671" s="5" t="s">
        <v>43</v>
      </c>
      <c r="E671" s="5" t="s">
        <v>33</v>
      </c>
      <c r="F671" s="5">
        <v>3</v>
      </c>
      <c r="G671" s="19">
        <v>0.05</v>
      </c>
      <c r="H671" s="5" t="s">
        <v>776</v>
      </c>
      <c r="I671" s="10">
        <f>IF(OR(D671="", F671=""), "", F671 * VLOOKUP(D671, Products!A:E, 5, FALSE) * (1 - G671))</f>
        <v>4770.0164999999997</v>
      </c>
      <c r="J671" s="10"/>
    </row>
    <row r="672" spans="1:10" ht="15.75" customHeight="1" x14ac:dyDescent="0.3">
      <c r="A672" s="5" t="s">
        <v>1539</v>
      </c>
      <c r="B672" s="11">
        <v>45509</v>
      </c>
      <c r="C672" s="5" t="s">
        <v>774</v>
      </c>
      <c r="D672" s="5" t="s">
        <v>74</v>
      </c>
      <c r="E672" s="5" t="s">
        <v>33</v>
      </c>
      <c r="F672" s="5">
        <v>3</v>
      </c>
      <c r="G672" s="19">
        <v>0.1</v>
      </c>
      <c r="H672" s="5" t="s">
        <v>637</v>
      </c>
      <c r="I672" s="10">
        <f>IF(OR(D672="", F672=""), "", F672 * VLOOKUP(D672, Products!A:E, 5, FALSE) * (1 - G672))</f>
        <v>3224.1239999999998</v>
      </c>
      <c r="J672" s="10"/>
    </row>
    <row r="673" spans="1:10" ht="15.75" customHeight="1" x14ac:dyDescent="0.3">
      <c r="A673" s="5" t="s">
        <v>1540</v>
      </c>
      <c r="B673" s="11">
        <v>45300</v>
      </c>
      <c r="C673" s="5" t="s">
        <v>554</v>
      </c>
      <c r="D673" s="5" t="s">
        <v>147</v>
      </c>
      <c r="E673" s="5" t="s">
        <v>33</v>
      </c>
      <c r="F673" s="5">
        <v>1</v>
      </c>
      <c r="G673" s="19">
        <v>0.05</v>
      </c>
      <c r="H673" s="5" t="s">
        <v>454</v>
      </c>
      <c r="I673" s="10">
        <f>IF(OR(D673="", F673=""), "", F673 * VLOOKUP(D673, Products!A:E, 5, FALSE) * (1 - G673))</f>
        <v>1784.5464999999999</v>
      </c>
      <c r="J673" s="10"/>
    </row>
    <row r="674" spans="1:10" ht="15.75" customHeight="1" x14ac:dyDescent="0.3">
      <c r="A674" s="5" t="s">
        <v>1541</v>
      </c>
      <c r="B674" s="11">
        <v>45367</v>
      </c>
      <c r="C674" s="5" t="s">
        <v>833</v>
      </c>
      <c r="D674" s="5" t="s">
        <v>237</v>
      </c>
      <c r="E674" s="5" t="s">
        <v>25</v>
      </c>
      <c r="F674" s="5">
        <v>5</v>
      </c>
      <c r="G674" s="19">
        <v>0.15</v>
      </c>
      <c r="H674" s="5" t="s">
        <v>454</v>
      </c>
      <c r="I674" s="10">
        <f>IF(OR(D674="", F674=""), "", F674 * VLOOKUP(D674, Products!A:E, 5, FALSE) * (1 - G674))</f>
        <v>1559.4525000000001</v>
      </c>
      <c r="J674" s="10"/>
    </row>
    <row r="675" spans="1:10" ht="15.75" customHeight="1" x14ac:dyDescent="0.3">
      <c r="A675" s="5" t="s">
        <v>1542</v>
      </c>
      <c r="B675" s="11">
        <v>45763</v>
      </c>
      <c r="C675" s="5" t="s">
        <v>645</v>
      </c>
      <c r="D675" s="5" t="s">
        <v>134</v>
      </c>
      <c r="E675" s="5" t="s">
        <v>29</v>
      </c>
      <c r="F675" s="5">
        <v>2</v>
      </c>
      <c r="G675" s="19">
        <v>0.05</v>
      </c>
      <c r="H675" s="5" t="s">
        <v>454</v>
      </c>
      <c r="I675" s="10">
        <f>IF(OR(D675="", F675=""), "", F675 * VLOOKUP(D675, Products!A:E, 5, FALSE) * (1 - G675))</f>
        <v>2331.7559999999999</v>
      </c>
      <c r="J675" s="10"/>
    </row>
    <row r="676" spans="1:10" ht="15.75" customHeight="1" x14ac:dyDescent="0.3">
      <c r="A676" s="5" t="s">
        <v>1543</v>
      </c>
      <c r="B676" s="11">
        <v>45610</v>
      </c>
      <c r="C676" s="5" t="s">
        <v>223</v>
      </c>
      <c r="D676" s="5" t="s">
        <v>226</v>
      </c>
      <c r="E676" s="5" t="s">
        <v>33</v>
      </c>
      <c r="F676" s="5">
        <v>2</v>
      </c>
      <c r="G676" s="19">
        <v>0.1</v>
      </c>
      <c r="H676" s="5" t="s">
        <v>697</v>
      </c>
      <c r="I676" s="10">
        <f>IF(OR(D676="", F676=""), "", F676 * VLOOKUP(D676, Products!A:E, 5, FALSE) * (1 - G676))</f>
        <v>2702.6280000000002</v>
      </c>
      <c r="J676" s="10"/>
    </row>
    <row r="677" spans="1:10" ht="15.75" customHeight="1" x14ac:dyDescent="0.3">
      <c r="A677" s="5" t="s">
        <v>1544</v>
      </c>
      <c r="B677" s="11">
        <v>45454</v>
      </c>
      <c r="C677" s="5" t="s">
        <v>795</v>
      </c>
      <c r="D677" s="5" t="s">
        <v>175</v>
      </c>
      <c r="E677" s="5" t="s">
        <v>29</v>
      </c>
      <c r="F677" s="5">
        <v>1</v>
      </c>
      <c r="G677" s="19">
        <v>0.05</v>
      </c>
      <c r="H677" s="5" t="s">
        <v>454</v>
      </c>
      <c r="I677" s="10">
        <f>IF(OR(D677="", F677=""), "", F677 * VLOOKUP(D677, Products!A:E, 5, FALSE) * (1 - G677))</f>
        <v>1208.6185</v>
      </c>
      <c r="J677" s="10"/>
    </row>
    <row r="678" spans="1:10" ht="15.75" customHeight="1" x14ac:dyDescent="0.3">
      <c r="A678" s="5" t="s">
        <v>1545</v>
      </c>
      <c r="B678" s="11">
        <v>45247</v>
      </c>
      <c r="C678" s="5" t="s">
        <v>380</v>
      </c>
      <c r="D678" s="5" t="s">
        <v>188</v>
      </c>
      <c r="E678" s="5" t="s">
        <v>29</v>
      </c>
      <c r="F678" s="5">
        <v>4</v>
      </c>
      <c r="G678" s="19">
        <v>0.1</v>
      </c>
      <c r="H678" s="5" t="s">
        <v>454</v>
      </c>
      <c r="I678" s="10">
        <f>IF(OR(D678="", F678=""), "", F678 * VLOOKUP(D678, Products!A:E, 5, FALSE) * (1 - G678))</f>
        <v>5346.18</v>
      </c>
      <c r="J678" s="10"/>
    </row>
    <row r="679" spans="1:10" ht="15.75" customHeight="1" x14ac:dyDescent="0.3">
      <c r="A679" s="5" t="s">
        <v>1546</v>
      </c>
      <c r="B679" s="11">
        <v>45577</v>
      </c>
      <c r="C679" s="5" t="s">
        <v>416</v>
      </c>
      <c r="D679" s="5" t="s">
        <v>67</v>
      </c>
      <c r="E679" s="5" t="s">
        <v>37</v>
      </c>
      <c r="F679" s="5">
        <v>3</v>
      </c>
      <c r="G679" s="19">
        <v>0.15</v>
      </c>
      <c r="H679" s="5" t="s">
        <v>776</v>
      </c>
      <c r="I679" s="10">
        <f>IF(OR(D679="", F679=""), "", F679 * VLOOKUP(D679, Products!A:E, 5, FALSE) * (1 - G679))</f>
        <v>279.93900000000002</v>
      </c>
      <c r="J679" s="10"/>
    </row>
    <row r="680" spans="1:10" ht="15.75" customHeight="1" x14ac:dyDescent="0.3">
      <c r="A680" s="5" t="s">
        <v>1547</v>
      </c>
      <c r="B680" s="11">
        <v>45340</v>
      </c>
      <c r="C680" s="5" t="s">
        <v>615</v>
      </c>
      <c r="D680" s="5" t="s">
        <v>175</v>
      </c>
      <c r="E680" s="5" t="s">
        <v>21</v>
      </c>
      <c r="F680" s="5">
        <v>5</v>
      </c>
      <c r="G680" s="19">
        <v>0</v>
      </c>
      <c r="H680" s="5" t="s">
        <v>637</v>
      </c>
      <c r="I680" s="10">
        <f>IF(OR(D680="", F680=""), "", F680 * VLOOKUP(D680, Products!A:E, 5, FALSE) * (1 - G680))</f>
        <v>6361.15</v>
      </c>
      <c r="J680" s="10"/>
    </row>
    <row r="681" spans="1:10" ht="15.75" customHeight="1" x14ac:dyDescent="0.3">
      <c r="A681" s="5" t="s">
        <v>1548</v>
      </c>
      <c r="B681" s="11">
        <v>45876</v>
      </c>
      <c r="C681" s="5" t="s">
        <v>350</v>
      </c>
      <c r="D681" s="5" t="s">
        <v>243</v>
      </c>
      <c r="E681" s="5" t="s">
        <v>37</v>
      </c>
      <c r="F681" s="5">
        <v>1</v>
      </c>
      <c r="G681" s="19">
        <v>0.15</v>
      </c>
      <c r="H681" s="5" t="s">
        <v>454</v>
      </c>
      <c r="I681" s="10">
        <f>IF(OR(D681="", F681=""), "", F681 * VLOOKUP(D681, Products!A:E, 5, FALSE) * (1 - G681))</f>
        <v>459.79900000000004</v>
      </c>
      <c r="J681" s="10"/>
    </row>
    <row r="682" spans="1:10" ht="15.75" customHeight="1" x14ac:dyDescent="0.3">
      <c r="A682" s="5" t="s">
        <v>1549</v>
      </c>
      <c r="B682" s="11">
        <v>45400</v>
      </c>
      <c r="C682" s="5" t="s">
        <v>560</v>
      </c>
      <c r="D682" s="5" t="s">
        <v>128</v>
      </c>
      <c r="E682" s="5" t="s">
        <v>21</v>
      </c>
      <c r="F682" s="5">
        <v>2</v>
      </c>
      <c r="G682" s="19">
        <v>0.05</v>
      </c>
      <c r="H682" s="5" t="s">
        <v>697</v>
      </c>
      <c r="I682" s="10">
        <f>IF(OR(D682="", F682=""), "", F682 * VLOOKUP(D682, Products!A:E, 5, FALSE) * (1 - G682))</f>
        <v>615.44799999999998</v>
      </c>
      <c r="J682" s="10"/>
    </row>
    <row r="683" spans="1:10" ht="15.75" customHeight="1" x14ac:dyDescent="0.3">
      <c r="A683" s="5" t="s">
        <v>1550</v>
      </c>
      <c r="B683" s="11">
        <v>45185</v>
      </c>
      <c r="C683" s="5" t="s">
        <v>495</v>
      </c>
      <c r="D683" s="5" t="s">
        <v>89</v>
      </c>
      <c r="E683" s="5" t="s">
        <v>33</v>
      </c>
      <c r="F683" s="5">
        <v>5</v>
      </c>
      <c r="G683" s="19">
        <v>0.15</v>
      </c>
      <c r="H683" s="5" t="s">
        <v>697</v>
      </c>
      <c r="I683" s="10">
        <f>IF(OR(D683="", F683=""), "", F683 * VLOOKUP(D683, Products!A:E, 5, FALSE) * (1 - G683))</f>
        <v>4822.8999999999996</v>
      </c>
      <c r="J683" s="10"/>
    </row>
    <row r="684" spans="1:10" ht="15.75" customHeight="1" x14ac:dyDescent="0.3">
      <c r="A684" s="5" t="s">
        <v>1551</v>
      </c>
      <c r="B684" s="11">
        <v>45842</v>
      </c>
      <c r="C684" s="5" t="s">
        <v>470</v>
      </c>
      <c r="D684" s="5" t="s">
        <v>193</v>
      </c>
      <c r="E684" s="5" t="s">
        <v>25</v>
      </c>
      <c r="F684" s="5">
        <v>1</v>
      </c>
      <c r="G684" s="19">
        <v>0.15</v>
      </c>
      <c r="H684" s="5" t="s">
        <v>454</v>
      </c>
      <c r="I684" s="10">
        <f>IF(OR(D684="", F684=""), "", F684 * VLOOKUP(D684, Products!A:E, 5, FALSE) * (1 - G684))</f>
        <v>24.853999999999999</v>
      </c>
      <c r="J684" s="10"/>
    </row>
    <row r="685" spans="1:10" ht="15.75" customHeight="1" x14ac:dyDescent="0.3">
      <c r="A685" s="5" t="s">
        <v>1552</v>
      </c>
      <c r="B685" s="11">
        <v>45537</v>
      </c>
      <c r="C685" s="5" t="s">
        <v>752</v>
      </c>
      <c r="D685" s="5" t="s">
        <v>67</v>
      </c>
      <c r="E685" s="5" t="s">
        <v>25</v>
      </c>
      <c r="F685" s="5">
        <v>3</v>
      </c>
      <c r="G685" s="19">
        <v>0</v>
      </c>
      <c r="H685" s="5" t="s">
        <v>776</v>
      </c>
      <c r="I685" s="10">
        <f>IF(OR(D685="", F685=""), "", F685 * VLOOKUP(D685, Products!A:E, 5, FALSE) * (1 - G685))</f>
        <v>329.34000000000003</v>
      </c>
      <c r="J685" s="10"/>
    </row>
    <row r="686" spans="1:10" ht="15.75" customHeight="1" x14ac:dyDescent="0.3">
      <c r="A686" s="5" t="s">
        <v>1553</v>
      </c>
      <c r="B686" s="11">
        <v>45549</v>
      </c>
      <c r="C686" s="5" t="s">
        <v>597</v>
      </c>
      <c r="D686" s="5" t="s">
        <v>291</v>
      </c>
      <c r="E686" s="5" t="s">
        <v>29</v>
      </c>
      <c r="F686" s="5">
        <v>2</v>
      </c>
      <c r="G686" s="19">
        <v>0.05</v>
      </c>
      <c r="H686" s="5" t="s">
        <v>697</v>
      </c>
      <c r="I686" s="10">
        <f>IF(OR(D686="", F686=""), "", F686 * VLOOKUP(D686, Products!A:E, 5, FALSE) * (1 - G686))</f>
        <v>1984.816</v>
      </c>
      <c r="J686" s="10"/>
    </row>
    <row r="687" spans="1:10" ht="15.75" customHeight="1" x14ac:dyDescent="0.3">
      <c r="A687" s="5" t="s">
        <v>1554</v>
      </c>
      <c r="B687" s="11">
        <v>45198</v>
      </c>
      <c r="C687" s="5" t="s">
        <v>631</v>
      </c>
      <c r="D687" s="5" t="s">
        <v>95</v>
      </c>
      <c r="E687" s="5" t="s">
        <v>21</v>
      </c>
      <c r="F687" s="5">
        <v>2</v>
      </c>
      <c r="G687" s="19">
        <v>0.15</v>
      </c>
      <c r="H687" s="5" t="s">
        <v>637</v>
      </c>
      <c r="I687" s="10">
        <f>IF(OR(D687="", F687=""), "", F687 * VLOOKUP(D687, Products!A:E, 5, FALSE) * (1 - G687))</f>
        <v>2282.6749999999997</v>
      </c>
      <c r="J687" s="10"/>
    </row>
    <row r="688" spans="1:10" ht="15.75" customHeight="1" x14ac:dyDescent="0.3">
      <c r="A688" s="5" t="s">
        <v>1555</v>
      </c>
      <c r="B688" s="11">
        <v>45867</v>
      </c>
      <c r="C688" s="5" t="s">
        <v>554</v>
      </c>
      <c r="D688" s="5" t="s">
        <v>206</v>
      </c>
      <c r="E688" s="5" t="s">
        <v>33</v>
      </c>
      <c r="F688" s="5">
        <v>4</v>
      </c>
      <c r="G688" s="19">
        <v>0.15</v>
      </c>
      <c r="H688" s="5" t="s">
        <v>776</v>
      </c>
      <c r="I688" s="10">
        <f>IF(OR(D688="", F688=""), "", F688 * VLOOKUP(D688, Products!A:E, 5, FALSE) * (1 - G688))</f>
        <v>1036.0139999999999</v>
      </c>
      <c r="J688" s="10"/>
    </row>
    <row r="689" spans="1:10" ht="15.75" customHeight="1" x14ac:dyDescent="0.3">
      <c r="A689" s="5" t="s">
        <v>1556</v>
      </c>
      <c r="B689" s="11">
        <v>45825</v>
      </c>
      <c r="C689" s="5" t="s">
        <v>137</v>
      </c>
      <c r="D689" s="5" t="s">
        <v>256</v>
      </c>
      <c r="E689" s="5" t="s">
        <v>37</v>
      </c>
      <c r="F689" s="5">
        <v>2</v>
      </c>
      <c r="G689" s="19">
        <v>0.1</v>
      </c>
      <c r="H689" s="5" t="s">
        <v>776</v>
      </c>
      <c r="I689" s="10">
        <f>IF(OR(D689="", F689=""), "", F689 * VLOOKUP(D689, Products!A:E, 5, FALSE) * (1 - G689))</f>
        <v>2943.018</v>
      </c>
      <c r="J689" s="10"/>
    </row>
    <row r="690" spans="1:10" ht="15.75" customHeight="1" x14ac:dyDescent="0.3">
      <c r="A690" s="5" t="s">
        <v>1557</v>
      </c>
      <c r="B690" s="11">
        <v>45309</v>
      </c>
      <c r="C690" s="5" t="s">
        <v>477</v>
      </c>
      <c r="D690" s="5" t="s">
        <v>180</v>
      </c>
      <c r="E690" s="5" t="s">
        <v>37</v>
      </c>
      <c r="F690" s="5">
        <v>2</v>
      </c>
      <c r="G690" s="19">
        <v>0</v>
      </c>
      <c r="H690" s="5" t="s">
        <v>776</v>
      </c>
      <c r="I690" s="10">
        <f>IF(OR(D690="", F690=""), "", F690 * VLOOKUP(D690, Products!A:E, 5, FALSE) * (1 - G690))</f>
        <v>1347.56</v>
      </c>
      <c r="J690" s="10"/>
    </row>
    <row r="691" spans="1:10" ht="15.75" customHeight="1" x14ac:dyDescent="0.3">
      <c r="A691" s="5" t="s">
        <v>1558</v>
      </c>
      <c r="B691" s="11">
        <v>45427</v>
      </c>
      <c r="C691" s="5" t="s">
        <v>750</v>
      </c>
      <c r="D691" s="5" t="s">
        <v>200</v>
      </c>
      <c r="E691" s="5" t="s">
        <v>25</v>
      </c>
      <c r="F691" s="5">
        <v>2</v>
      </c>
      <c r="G691" s="19">
        <v>0.1</v>
      </c>
      <c r="H691" s="5" t="s">
        <v>454</v>
      </c>
      <c r="I691" s="10">
        <f>IF(OR(D691="", F691=""), "", F691 * VLOOKUP(D691, Products!A:E, 5, FALSE) * (1 - G691))</f>
        <v>1972.296</v>
      </c>
      <c r="J691" s="10"/>
    </row>
    <row r="692" spans="1:10" ht="15.75" customHeight="1" x14ac:dyDescent="0.3">
      <c r="A692" s="5" t="s">
        <v>1559</v>
      </c>
      <c r="B692" s="11">
        <v>45632</v>
      </c>
      <c r="C692" s="5" t="s">
        <v>281</v>
      </c>
      <c r="D692" s="5" t="s">
        <v>109</v>
      </c>
      <c r="E692" s="5" t="s">
        <v>21</v>
      </c>
      <c r="F692" s="5">
        <v>4</v>
      </c>
      <c r="G692" s="19">
        <v>0.1</v>
      </c>
      <c r="H692" s="5" t="s">
        <v>697</v>
      </c>
      <c r="I692" s="10">
        <f>IF(OR(D692="", F692=""), "", F692 * VLOOKUP(D692, Products!A:E, 5, FALSE) * (1 - G692))</f>
        <v>6691.5</v>
      </c>
      <c r="J692" s="10"/>
    </row>
    <row r="693" spans="1:10" ht="15.75" customHeight="1" x14ac:dyDescent="0.3">
      <c r="A693" s="5" t="s">
        <v>1560</v>
      </c>
      <c r="B693" s="11">
        <v>45827</v>
      </c>
      <c r="C693" s="5" t="s">
        <v>177</v>
      </c>
      <c r="D693" s="5" t="s">
        <v>212</v>
      </c>
      <c r="E693" s="5" t="s">
        <v>21</v>
      </c>
      <c r="F693" s="5">
        <v>3</v>
      </c>
      <c r="G693" s="19">
        <v>0.1</v>
      </c>
      <c r="H693" s="5" t="s">
        <v>637</v>
      </c>
      <c r="I693" s="10">
        <f>IF(OR(D693="", F693=""), "", F693 * VLOOKUP(D693, Products!A:E, 5, FALSE) * (1 - G693))</f>
        <v>4857.2190000000001</v>
      </c>
      <c r="J693" s="10"/>
    </row>
    <row r="694" spans="1:10" ht="15.75" customHeight="1" x14ac:dyDescent="0.3">
      <c r="A694" s="5" t="s">
        <v>1561</v>
      </c>
      <c r="B694" s="11">
        <v>45229</v>
      </c>
      <c r="C694" s="5" t="s">
        <v>837</v>
      </c>
      <c r="D694" s="5" t="s">
        <v>153</v>
      </c>
      <c r="E694" s="5" t="s">
        <v>37</v>
      </c>
      <c r="F694" s="5">
        <v>5</v>
      </c>
      <c r="G694" s="19">
        <v>0.1</v>
      </c>
      <c r="H694" s="5" t="s">
        <v>637</v>
      </c>
      <c r="I694" s="10">
        <f>IF(OR(D694="", F694=""), "", F694 * VLOOKUP(D694, Products!A:E, 5, FALSE) * (1 - G694))</f>
        <v>6693.3450000000003</v>
      </c>
      <c r="J694" s="10"/>
    </row>
    <row r="695" spans="1:10" ht="15.75" customHeight="1" x14ac:dyDescent="0.3">
      <c r="A695" s="5" t="s">
        <v>1562</v>
      </c>
      <c r="B695" s="11">
        <v>45832</v>
      </c>
      <c r="C695" s="5" t="s">
        <v>800</v>
      </c>
      <c r="D695" s="5" t="s">
        <v>122</v>
      </c>
      <c r="E695" s="5" t="s">
        <v>25</v>
      </c>
      <c r="F695" s="5">
        <v>3</v>
      </c>
      <c r="G695" s="19">
        <v>0.15</v>
      </c>
      <c r="H695" s="5" t="s">
        <v>454</v>
      </c>
      <c r="I695" s="10">
        <f>IF(OR(D695="", F695=""), "", F695 * VLOOKUP(D695, Products!A:E, 5, FALSE) * (1 - G695))</f>
        <v>4495.4459999999999</v>
      </c>
      <c r="J695" s="10"/>
    </row>
    <row r="696" spans="1:10" ht="15.75" customHeight="1" x14ac:dyDescent="0.3">
      <c r="A696" s="5" t="s">
        <v>1563</v>
      </c>
      <c r="B696" s="11">
        <v>45473</v>
      </c>
      <c r="C696" s="5" t="s">
        <v>799</v>
      </c>
      <c r="D696" s="5" t="s">
        <v>291</v>
      </c>
      <c r="E696" s="5" t="s">
        <v>25</v>
      </c>
      <c r="F696" s="5">
        <v>2</v>
      </c>
      <c r="G696" s="19">
        <v>0.15</v>
      </c>
      <c r="H696" s="5" t="s">
        <v>776</v>
      </c>
      <c r="I696" s="10">
        <f>IF(OR(D696="", F696=""), "", F696 * VLOOKUP(D696, Products!A:E, 5, FALSE) * (1 - G696))</f>
        <v>1775.8880000000001</v>
      </c>
      <c r="J696" s="10"/>
    </row>
    <row r="697" spans="1:10" ht="15.75" customHeight="1" x14ac:dyDescent="0.3">
      <c r="A697" s="5" t="s">
        <v>1564</v>
      </c>
      <c r="B697" s="11">
        <v>45197</v>
      </c>
      <c r="C697" s="5" t="s">
        <v>387</v>
      </c>
      <c r="D697" s="5" t="s">
        <v>291</v>
      </c>
      <c r="E697" s="5" t="s">
        <v>25</v>
      </c>
      <c r="F697" s="5">
        <v>2</v>
      </c>
      <c r="G697" s="19">
        <v>0.05</v>
      </c>
      <c r="H697" s="5" t="s">
        <v>776</v>
      </c>
      <c r="I697" s="10">
        <f>IF(OR(D697="", F697=""), "", F697 * VLOOKUP(D697, Products!A:E, 5, FALSE) * (1 - G697))</f>
        <v>1984.816</v>
      </c>
      <c r="J697" s="10"/>
    </row>
    <row r="698" spans="1:10" ht="15.75" customHeight="1" x14ac:dyDescent="0.3">
      <c r="A698" s="5" t="s">
        <v>1565</v>
      </c>
      <c r="B698" s="11">
        <v>45363</v>
      </c>
      <c r="C698" s="5" t="s">
        <v>718</v>
      </c>
      <c r="D698" s="5" t="s">
        <v>180</v>
      </c>
      <c r="E698" s="5" t="s">
        <v>37</v>
      </c>
      <c r="F698" s="5">
        <v>2</v>
      </c>
      <c r="G698" s="19">
        <v>0</v>
      </c>
      <c r="H698" s="5" t="s">
        <v>454</v>
      </c>
      <c r="I698" s="10">
        <f>IF(OR(D698="", F698=""), "", F698 * VLOOKUP(D698, Products!A:E, 5, FALSE) * (1 - G698))</f>
        <v>1347.56</v>
      </c>
      <c r="J698" s="10"/>
    </row>
    <row r="699" spans="1:10" ht="15.75" customHeight="1" x14ac:dyDescent="0.3">
      <c r="A699" s="5" t="s">
        <v>1566</v>
      </c>
      <c r="B699" s="11">
        <v>45199</v>
      </c>
      <c r="C699" s="5" t="s">
        <v>823</v>
      </c>
      <c r="D699" s="5" t="s">
        <v>221</v>
      </c>
      <c r="E699" s="5" t="s">
        <v>21</v>
      </c>
      <c r="F699" s="5">
        <v>4</v>
      </c>
      <c r="G699" s="19">
        <v>0.1</v>
      </c>
      <c r="H699" s="5" t="s">
        <v>776</v>
      </c>
      <c r="I699" s="10">
        <f>IF(OR(D699="", F699=""), "", F699 * VLOOKUP(D699, Products!A:E, 5, FALSE) * (1 - G699))</f>
        <v>5624.7480000000005</v>
      </c>
      <c r="J699" s="10"/>
    </row>
    <row r="700" spans="1:10" ht="15.75" customHeight="1" x14ac:dyDescent="0.3">
      <c r="A700" s="5" t="s">
        <v>1567</v>
      </c>
      <c r="B700" s="11">
        <v>45341</v>
      </c>
      <c r="C700" s="5" t="s">
        <v>724</v>
      </c>
      <c r="D700" s="5" t="s">
        <v>200</v>
      </c>
      <c r="E700" s="5" t="s">
        <v>21</v>
      </c>
      <c r="F700" s="5">
        <v>1</v>
      </c>
      <c r="G700" s="19">
        <v>0</v>
      </c>
      <c r="H700" s="5" t="s">
        <v>776</v>
      </c>
      <c r="I700" s="10">
        <f>IF(OR(D700="", F700=""), "", F700 * VLOOKUP(D700, Products!A:E, 5, FALSE) * (1 - G700))</f>
        <v>1095.72</v>
      </c>
      <c r="J700" s="10"/>
    </row>
    <row r="701" spans="1:10" ht="15.75" customHeight="1" x14ac:dyDescent="0.3">
      <c r="A701" s="5" t="s">
        <v>1568</v>
      </c>
      <c r="B701" s="11">
        <v>45360</v>
      </c>
      <c r="C701" s="5" t="s">
        <v>802</v>
      </c>
      <c r="D701" s="5" t="s">
        <v>243</v>
      </c>
      <c r="E701" s="5" t="s">
        <v>21</v>
      </c>
      <c r="F701" s="5">
        <v>4</v>
      </c>
      <c r="G701" s="19">
        <v>0.15</v>
      </c>
      <c r="H701" s="5" t="s">
        <v>637</v>
      </c>
      <c r="I701" s="10">
        <f>IF(OR(D701="", F701=""), "", F701 * VLOOKUP(D701, Products!A:E, 5, FALSE) * (1 - G701))</f>
        <v>1839.1960000000001</v>
      </c>
      <c r="J701" s="10"/>
    </row>
    <row r="702" spans="1:10" ht="15.75" customHeight="1" x14ac:dyDescent="0.3">
      <c r="A702" s="5" t="s">
        <v>1569</v>
      </c>
      <c r="B702" s="11">
        <v>45200</v>
      </c>
      <c r="C702" s="5" t="s">
        <v>261</v>
      </c>
      <c r="D702" s="5" t="s">
        <v>43</v>
      </c>
      <c r="E702" s="5" t="s">
        <v>37</v>
      </c>
      <c r="F702" s="5">
        <v>3</v>
      </c>
      <c r="G702" s="19">
        <v>0.15</v>
      </c>
      <c r="H702" s="5" t="s">
        <v>697</v>
      </c>
      <c r="I702" s="10">
        <f>IF(OR(D702="", F702=""), "", F702 * VLOOKUP(D702, Products!A:E, 5, FALSE) * (1 - G702))</f>
        <v>4267.9094999999998</v>
      </c>
      <c r="J702" s="10"/>
    </row>
    <row r="703" spans="1:10" ht="15.75" customHeight="1" x14ac:dyDescent="0.3">
      <c r="A703" s="5" t="s">
        <v>1570</v>
      </c>
      <c r="B703" s="11">
        <v>45381</v>
      </c>
      <c r="C703" s="5" t="s">
        <v>361</v>
      </c>
      <c r="D703" s="5" t="s">
        <v>243</v>
      </c>
      <c r="E703" s="5" t="s">
        <v>21</v>
      </c>
      <c r="F703" s="5">
        <v>3</v>
      </c>
      <c r="G703" s="19">
        <v>0.15</v>
      </c>
      <c r="H703" s="5" t="s">
        <v>776</v>
      </c>
      <c r="I703" s="10">
        <f>IF(OR(D703="", F703=""), "", F703 * VLOOKUP(D703, Products!A:E, 5, FALSE) * (1 - G703))</f>
        <v>1379.3970000000002</v>
      </c>
      <c r="J703" s="10"/>
    </row>
    <row r="704" spans="1:10" ht="15.75" customHeight="1" x14ac:dyDescent="0.3">
      <c r="A704" s="5" t="s">
        <v>1571</v>
      </c>
      <c r="B704" s="11">
        <v>45821</v>
      </c>
      <c r="C704" s="5" t="s">
        <v>779</v>
      </c>
      <c r="D704" s="5" t="s">
        <v>162</v>
      </c>
      <c r="E704" s="5" t="s">
        <v>37</v>
      </c>
      <c r="F704" s="5">
        <v>3</v>
      </c>
      <c r="G704" s="19">
        <v>0.05</v>
      </c>
      <c r="H704" s="5" t="s">
        <v>637</v>
      </c>
      <c r="I704" s="10">
        <f>IF(OR(D704="", F704=""), "", F704 * VLOOKUP(D704, Products!A:E, 5, FALSE) * (1 - G704))</f>
        <v>1223.0774999999999</v>
      </c>
      <c r="J704" s="10"/>
    </row>
    <row r="705" spans="1:10" ht="15.75" customHeight="1" x14ac:dyDescent="0.3">
      <c r="A705" s="5" t="s">
        <v>1572</v>
      </c>
      <c r="B705" s="11">
        <v>45207</v>
      </c>
      <c r="C705" s="5" t="s">
        <v>235</v>
      </c>
      <c r="D705" s="5" t="s">
        <v>67</v>
      </c>
      <c r="E705" s="5" t="s">
        <v>37</v>
      </c>
      <c r="F705" s="5">
        <v>5</v>
      </c>
      <c r="G705" s="19">
        <v>0</v>
      </c>
      <c r="H705" s="5" t="s">
        <v>454</v>
      </c>
      <c r="I705" s="10">
        <f>IF(OR(D705="", F705=""), "", F705 * VLOOKUP(D705, Products!A:E, 5, FALSE) * (1 - G705))</f>
        <v>548.9</v>
      </c>
      <c r="J705" s="10"/>
    </row>
    <row r="706" spans="1:10" ht="15.75" customHeight="1" x14ac:dyDescent="0.3">
      <c r="A706" s="5" t="s">
        <v>1573</v>
      </c>
      <c r="B706" s="11">
        <v>45435</v>
      </c>
      <c r="C706" s="5" t="s">
        <v>250</v>
      </c>
      <c r="D706" s="5" t="s">
        <v>65</v>
      </c>
      <c r="E706" s="5" t="s">
        <v>21</v>
      </c>
      <c r="F706" s="5">
        <v>4</v>
      </c>
      <c r="G706" s="19">
        <v>0.05</v>
      </c>
      <c r="H706" s="5" t="s">
        <v>697</v>
      </c>
      <c r="I706" s="10">
        <f>IF(OR(D706="", F706=""), "", F706 * VLOOKUP(D706, Products!A:E, 5, FALSE) * (1 - G706))</f>
        <v>5601.655999999999</v>
      </c>
      <c r="J706" s="10"/>
    </row>
    <row r="707" spans="1:10" ht="15.75" customHeight="1" x14ac:dyDescent="0.3">
      <c r="A707" s="5" t="s">
        <v>1574</v>
      </c>
      <c r="B707" s="11">
        <v>45401</v>
      </c>
      <c r="C707" s="5" t="s">
        <v>878</v>
      </c>
      <c r="D707" s="5" t="s">
        <v>95</v>
      </c>
      <c r="E707" s="5" t="s">
        <v>29</v>
      </c>
      <c r="F707" s="5">
        <v>5</v>
      </c>
      <c r="G707" s="19">
        <v>0.05</v>
      </c>
      <c r="H707" s="5" t="s">
        <v>454</v>
      </c>
      <c r="I707" s="10">
        <f>IF(OR(D707="", F707=""), "", F707 * VLOOKUP(D707, Products!A:E, 5, FALSE) * (1 - G707))</f>
        <v>6378.0625</v>
      </c>
      <c r="J707" s="10"/>
    </row>
    <row r="708" spans="1:10" ht="15.75" customHeight="1" x14ac:dyDescent="0.3">
      <c r="A708" s="5" t="s">
        <v>1575</v>
      </c>
      <c r="B708" s="11">
        <v>45336</v>
      </c>
      <c r="C708" s="5" t="s">
        <v>815</v>
      </c>
      <c r="D708" s="5" t="s">
        <v>57</v>
      </c>
      <c r="E708" s="5" t="s">
        <v>33</v>
      </c>
      <c r="F708" s="5">
        <v>3</v>
      </c>
      <c r="G708" s="19">
        <v>0.05</v>
      </c>
      <c r="H708" s="5" t="s">
        <v>776</v>
      </c>
      <c r="I708" s="10">
        <f>IF(OR(D708="", F708=""), "", F708 * VLOOKUP(D708, Products!A:E, 5, FALSE) * (1 - G708))</f>
        <v>3979.2269999999999</v>
      </c>
      <c r="J708" s="10"/>
    </row>
    <row r="709" spans="1:10" ht="15.75" customHeight="1" x14ac:dyDescent="0.3">
      <c r="A709" s="5" t="s">
        <v>1576</v>
      </c>
      <c r="B709" s="11">
        <v>45621</v>
      </c>
      <c r="C709" s="5" t="s">
        <v>683</v>
      </c>
      <c r="D709" s="5" t="s">
        <v>237</v>
      </c>
      <c r="E709" s="5" t="s">
        <v>33</v>
      </c>
      <c r="F709" s="5">
        <v>2</v>
      </c>
      <c r="G709" s="19">
        <v>0.15</v>
      </c>
      <c r="H709" s="5" t="s">
        <v>454</v>
      </c>
      <c r="I709" s="10">
        <f>IF(OR(D709="", F709=""), "", F709 * VLOOKUP(D709, Products!A:E, 5, FALSE) * (1 - G709))</f>
        <v>623.78099999999995</v>
      </c>
      <c r="J709" s="10"/>
    </row>
    <row r="710" spans="1:10" ht="15.75" customHeight="1" x14ac:dyDescent="0.3">
      <c r="A710" s="5" t="s">
        <v>1577</v>
      </c>
      <c r="B710" s="11">
        <v>45392</v>
      </c>
      <c r="C710" s="5" t="s">
        <v>393</v>
      </c>
      <c r="D710" s="5" t="s">
        <v>206</v>
      </c>
      <c r="E710" s="5" t="s">
        <v>21</v>
      </c>
      <c r="F710" s="5">
        <v>1</v>
      </c>
      <c r="G710" s="19">
        <v>0</v>
      </c>
      <c r="H710" s="5" t="s">
        <v>776</v>
      </c>
      <c r="I710" s="10">
        <f>IF(OR(D710="", F710=""), "", F710 * VLOOKUP(D710, Products!A:E, 5, FALSE) * (1 - G710))</f>
        <v>304.70999999999998</v>
      </c>
      <c r="J710" s="10"/>
    </row>
    <row r="711" spans="1:10" ht="15.75" customHeight="1" x14ac:dyDescent="0.3">
      <c r="A711" s="5" t="s">
        <v>1578</v>
      </c>
      <c r="B711" s="11">
        <v>45446</v>
      </c>
      <c r="C711" s="5" t="s">
        <v>705</v>
      </c>
      <c r="D711" s="5" t="s">
        <v>61</v>
      </c>
      <c r="E711" s="5" t="s">
        <v>33</v>
      </c>
      <c r="F711" s="5">
        <v>2</v>
      </c>
      <c r="G711" s="19">
        <v>0</v>
      </c>
      <c r="H711" s="5" t="s">
        <v>776</v>
      </c>
      <c r="I711" s="10">
        <f>IF(OR(D711="", F711=""), "", F711 * VLOOKUP(D711, Products!A:E, 5, FALSE) * (1 - G711))</f>
        <v>636.1</v>
      </c>
      <c r="J711" s="10"/>
    </row>
    <row r="712" spans="1:10" ht="15.75" customHeight="1" x14ac:dyDescent="0.3">
      <c r="A712" s="5" t="s">
        <v>1579</v>
      </c>
      <c r="B712" s="11">
        <v>45448</v>
      </c>
      <c r="C712" s="5" t="s">
        <v>833</v>
      </c>
      <c r="D712" s="5" t="s">
        <v>175</v>
      </c>
      <c r="E712" s="5" t="s">
        <v>21</v>
      </c>
      <c r="F712" s="5">
        <v>3</v>
      </c>
      <c r="G712" s="19">
        <v>0.05</v>
      </c>
      <c r="H712" s="5" t="s">
        <v>637</v>
      </c>
      <c r="I712" s="10">
        <f>IF(OR(D712="", F712=""), "", F712 * VLOOKUP(D712, Products!A:E, 5, FALSE) * (1 - G712))</f>
        <v>3625.8554999999997</v>
      </c>
      <c r="J712" s="10"/>
    </row>
    <row r="713" spans="1:10" ht="15.75" customHeight="1" x14ac:dyDescent="0.3">
      <c r="A713" s="5" t="s">
        <v>1580</v>
      </c>
      <c r="B713" s="11">
        <v>45325</v>
      </c>
      <c r="C713" s="5" t="s">
        <v>450</v>
      </c>
      <c r="D713" s="5" t="s">
        <v>43</v>
      </c>
      <c r="E713" s="5" t="s">
        <v>29</v>
      </c>
      <c r="F713" s="5">
        <v>4</v>
      </c>
      <c r="G713" s="19">
        <v>0</v>
      </c>
      <c r="H713" s="5" t="s">
        <v>776</v>
      </c>
      <c r="I713" s="10">
        <f>IF(OR(D713="", F713=""), "", F713 * VLOOKUP(D713, Products!A:E, 5, FALSE) * (1 - G713))</f>
        <v>6694.76</v>
      </c>
      <c r="J713" s="10"/>
    </row>
    <row r="714" spans="1:10" ht="15.75" customHeight="1" x14ac:dyDescent="0.3">
      <c r="A714" s="5" t="s">
        <v>1581</v>
      </c>
      <c r="B714" s="11">
        <v>45469</v>
      </c>
      <c r="C714" s="5" t="s">
        <v>330</v>
      </c>
      <c r="D714" s="5" t="s">
        <v>67</v>
      </c>
      <c r="E714" s="5" t="s">
        <v>21</v>
      </c>
      <c r="F714" s="5">
        <v>3</v>
      </c>
      <c r="G714" s="19">
        <v>0.1</v>
      </c>
      <c r="H714" s="5" t="s">
        <v>454</v>
      </c>
      <c r="I714" s="10">
        <f>IF(OR(D714="", F714=""), "", F714 * VLOOKUP(D714, Products!A:E, 5, FALSE) * (1 - G714))</f>
        <v>296.40600000000006</v>
      </c>
      <c r="J714" s="10"/>
    </row>
    <row r="715" spans="1:10" ht="15.75" customHeight="1" x14ac:dyDescent="0.3">
      <c r="A715" s="5" t="s">
        <v>1582</v>
      </c>
      <c r="B715" s="11">
        <v>45280</v>
      </c>
      <c r="C715" s="5" t="s">
        <v>575</v>
      </c>
      <c r="D715" s="5" t="s">
        <v>134</v>
      </c>
      <c r="E715" s="5" t="s">
        <v>21</v>
      </c>
      <c r="F715" s="5">
        <v>1</v>
      </c>
      <c r="G715" s="19">
        <v>0</v>
      </c>
      <c r="H715" s="5" t="s">
        <v>776</v>
      </c>
      <c r="I715" s="10">
        <f>IF(OR(D715="", F715=""), "", F715 * VLOOKUP(D715, Products!A:E, 5, FALSE) * (1 - G715))</f>
        <v>1227.24</v>
      </c>
      <c r="J715" s="10"/>
    </row>
    <row r="716" spans="1:10" ht="15.75" customHeight="1" x14ac:dyDescent="0.3">
      <c r="A716" s="5" t="s">
        <v>1583</v>
      </c>
      <c r="B716" s="11">
        <v>45200</v>
      </c>
      <c r="C716" s="5" t="s">
        <v>292</v>
      </c>
      <c r="D716" s="5" t="s">
        <v>188</v>
      </c>
      <c r="E716" s="5" t="s">
        <v>25</v>
      </c>
      <c r="F716" s="5">
        <v>3</v>
      </c>
      <c r="G716" s="19">
        <v>0.1</v>
      </c>
      <c r="H716" s="5" t="s">
        <v>637</v>
      </c>
      <c r="I716" s="10">
        <f>IF(OR(D716="", F716=""), "", F716 * VLOOKUP(D716, Products!A:E, 5, FALSE) * (1 - G716))</f>
        <v>4009.6349999999998</v>
      </c>
      <c r="J716" s="10"/>
    </row>
    <row r="717" spans="1:10" ht="15.75" customHeight="1" x14ac:dyDescent="0.3">
      <c r="A717" s="5" t="s">
        <v>1584</v>
      </c>
      <c r="B717" s="11">
        <v>45890</v>
      </c>
      <c r="C717" s="5" t="s">
        <v>402</v>
      </c>
      <c r="D717" s="5" t="s">
        <v>267</v>
      </c>
      <c r="E717" s="5" t="s">
        <v>29</v>
      </c>
      <c r="F717" s="5">
        <v>1</v>
      </c>
      <c r="G717" s="19">
        <v>0.1</v>
      </c>
      <c r="H717" s="5" t="s">
        <v>454</v>
      </c>
      <c r="I717" s="10">
        <f>IF(OR(D717="", F717=""), "", F717 * VLOOKUP(D717, Products!A:E, 5, FALSE) * (1 - G717))</f>
        <v>1157.895</v>
      </c>
      <c r="J717" s="10"/>
    </row>
    <row r="718" spans="1:10" ht="15.75" customHeight="1" x14ac:dyDescent="0.3">
      <c r="A718" s="5" t="s">
        <v>1585</v>
      </c>
      <c r="B718" s="11">
        <v>45420</v>
      </c>
      <c r="C718" s="5" t="s">
        <v>338</v>
      </c>
      <c r="D718" s="5" t="s">
        <v>285</v>
      </c>
      <c r="E718" s="5" t="s">
        <v>21</v>
      </c>
      <c r="F718" s="5">
        <v>4</v>
      </c>
      <c r="G718" s="19">
        <v>0.15</v>
      </c>
      <c r="H718" s="5" t="s">
        <v>637</v>
      </c>
      <c r="I718" s="10">
        <f>IF(OR(D718="", F718=""), "", F718 * VLOOKUP(D718, Products!A:E, 5, FALSE) * (1 - G718))</f>
        <v>1320.0839999999998</v>
      </c>
      <c r="J718" s="10"/>
    </row>
    <row r="719" spans="1:10" ht="15.75" customHeight="1" x14ac:dyDescent="0.3">
      <c r="A719" s="5" t="s">
        <v>1586</v>
      </c>
      <c r="B719" s="11">
        <v>45863</v>
      </c>
      <c r="C719" s="5" t="s">
        <v>429</v>
      </c>
      <c r="D719" s="5" t="s">
        <v>291</v>
      </c>
      <c r="E719" s="5" t="s">
        <v>33</v>
      </c>
      <c r="F719" s="5">
        <v>4</v>
      </c>
      <c r="G719" s="19">
        <v>0.15</v>
      </c>
      <c r="H719" s="5" t="s">
        <v>697</v>
      </c>
      <c r="I719" s="10">
        <f>IF(OR(D719="", F719=""), "", F719 * VLOOKUP(D719, Products!A:E, 5, FALSE) * (1 - G719))</f>
        <v>3551.7760000000003</v>
      </c>
      <c r="J719" s="10"/>
    </row>
    <row r="720" spans="1:10" ht="15.75" customHeight="1" x14ac:dyDescent="0.3">
      <c r="A720" s="5" t="s">
        <v>1587</v>
      </c>
      <c r="B720" s="11">
        <v>45862</v>
      </c>
      <c r="C720" s="5" t="s">
        <v>245</v>
      </c>
      <c r="D720" s="5" t="s">
        <v>237</v>
      </c>
      <c r="E720" s="5" t="s">
        <v>25</v>
      </c>
      <c r="F720" s="5">
        <v>1</v>
      </c>
      <c r="G720" s="19">
        <v>0.05</v>
      </c>
      <c r="H720" s="5" t="s">
        <v>776</v>
      </c>
      <c r="I720" s="10">
        <f>IF(OR(D720="", F720=""), "", F720 * VLOOKUP(D720, Products!A:E, 5, FALSE) * (1 - G720))</f>
        <v>348.58350000000002</v>
      </c>
      <c r="J720" s="10"/>
    </row>
    <row r="721" spans="1:10" ht="15.75" customHeight="1" x14ac:dyDescent="0.3">
      <c r="A721" s="5" t="s">
        <v>1588</v>
      </c>
      <c r="B721" s="11">
        <v>45760</v>
      </c>
      <c r="C721" s="5" t="s">
        <v>563</v>
      </c>
      <c r="D721" s="5" t="s">
        <v>115</v>
      </c>
      <c r="E721" s="5" t="s">
        <v>37</v>
      </c>
      <c r="F721" s="5">
        <v>4</v>
      </c>
      <c r="G721" s="19">
        <v>0.15</v>
      </c>
      <c r="H721" s="5" t="s">
        <v>697</v>
      </c>
      <c r="I721" s="10">
        <f>IF(OR(D721="", F721=""), "", F721 * VLOOKUP(D721, Products!A:E, 5, FALSE) * (1 - G721))</f>
        <v>4236.7739999999994</v>
      </c>
      <c r="J721" s="10"/>
    </row>
    <row r="722" spans="1:10" ht="15.75" customHeight="1" x14ac:dyDescent="0.3">
      <c r="A722" s="5" t="s">
        <v>1589</v>
      </c>
      <c r="B722" s="11">
        <v>45467</v>
      </c>
      <c r="C722" s="5" t="s">
        <v>736</v>
      </c>
      <c r="D722" s="5" t="s">
        <v>43</v>
      </c>
      <c r="E722" s="5" t="s">
        <v>33</v>
      </c>
      <c r="F722" s="5">
        <v>3</v>
      </c>
      <c r="G722" s="19">
        <v>0</v>
      </c>
      <c r="H722" s="5" t="s">
        <v>697</v>
      </c>
      <c r="I722" s="10">
        <f>IF(OR(D722="", F722=""), "", F722 * VLOOKUP(D722, Products!A:E, 5, FALSE) * (1 - G722))</f>
        <v>5021.07</v>
      </c>
      <c r="J722" s="10"/>
    </row>
    <row r="723" spans="1:10" ht="15.75" customHeight="1" x14ac:dyDescent="0.3">
      <c r="A723" s="5" t="s">
        <v>1590</v>
      </c>
      <c r="B723" s="11">
        <v>45789</v>
      </c>
      <c r="C723" s="5" t="s">
        <v>624</v>
      </c>
      <c r="D723" s="5" t="s">
        <v>119</v>
      </c>
      <c r="E723" s="5" t="s">
        <v>33</v>
      </c>
      <c r="F723" s="5">
        <v>1</v>
      </c>
      <c r="G723" s="19">
        <v>0.15</v>
      </c>
      <c r="H723" s="5" t="s">
        <v>637</v>
      </c>
      <c r="I723" s="10">
        <f>IF(OR(D723="", F723=""), "", F723 * VLOOKUP(D723, Products!A:E, 5, FALSE) * (1 - G723))</f>
        <v>917.90650000000005</v>
      </c>
      <c r="J723" s="10"/>
    </row>
    <row r="724" spans="1:10" ht="15.75" customHeight="1" x14ac:dyDescent="0.3">
      <c r="A724" s="5" t="s">
        <v>1591</v>
      </c>
      <c r="B724" s="11">
        <v>45499</v>
      </c>
      <c r="C724" s="5" t="s">
        <v>149</v>
      </c>
      <c r="D724" s="5" t="s">
        <v>103</v>
      </c>
      <c r="E724" s="5" t="s">
        <v>21</v>
      </c>
      <c r="F724" s="5">
        <v>3</v>
      </c>
      <c r="G724" s="19">
        <v>0.1</v>
      </c>
      <c r="H724" s="5" t="s">
        <v>776</v>
      </c>
      <c r="I724" s="10">
        <f>IF(OR(D724="", F724=""), "", F724 * VLOOKUP(D724, Products!A:E, 5, FALSE) * (1 - G724))</f>
        <v>730.21499999999992</v>
      </c>
      <c r="J724" s="10"/>
    </row>
    <row r="725" spans="1:10" ht="15.75" customHeight="1" x14ac:dyDescent="0.3">
      <c r="A725" s="5" t="s">
        <v>1592</v>
      </c>
      <c r="B725" s="11">
        <v>45822</v>
      </c>
      <c r="C725" s="5" t="s">
        <v>815</v>
      </c>
      <c r="D725" s="5" t="s">
        <v>103</v>
      </c>
      <c r="E725" s="5" t="s">
        <v>37</v>
      </c>
      <c r="F725" s="5">
        <v>5</v>
      </c>
      <c r="G725" s="19">
        <v>0.05</v>
      </c>
      <c r="H725" s="5" t="s">
        <v>454</v>
      </c>
      <c r="I725" s="10">
        <f>IF(OR(D725="", F725=""), "", F725 * VLOOKUP(D725, Products!A:E, 5, FALSE) * (1 - G725))</f>
        <v>1284.6375</v>
      </c>
      <c r="J725" s="10"/>
    </row>
    <row r="726" spans="1:10" ht="15.75" customHeight="1" x14ac:dyDescent="0.3">
      <c r="A726" s="5" t="s">
        <v>1593</v>
      </c>
      <c r="B726" s="11">
        <v>45371</v>
      </c>
      <c r="C726" s="5" t="s">
        <v>657</v>
      </c>
      <c r="D726" s="5" t="s">
        <v>217</v>
      </c>
      <c r="E726" s="5" t="s">
        <v>37</v>
      </c>
      <c r="F726" s="5">
        <v>5</v>
      </c>
      <c r="G726" s="19">
        <v>0</v>
      </c>
      <c r="H726" s="5" t="s">
        <v>637</v>
      </c>
      <c r="I726" s="10">
        <f>IF(OR(D726="", F726=""), "", F726 * VLOOKUP(D726, Products!A:E, 5, FALSE) * (1 - G726))</f>
        <v>2140.25</v>
      </c>
      <c r="J726" s="10"/>
    </row>
    <row r="727" spans="1:10" ht="15.75" customHeight="1" x14ac:dyDescent="0.3">
      <c r="A727" s="5" t="s">
        <v>1594</v>
      </c>
      <c r="B727" s="11">
        <v>45438</v>
      </c>
      <c r="C727" s="5" t="s">
        <v>779</v>
      </c>
      <c r="D727" s="5" t="s">
        <v>232</v>
      </c>
      <c r="E727" s="5" t="s">
        <v>25</v>
      </c>
      <c r="F727" s="5">
        <v>4</v>
      </c>
      <c r="G727" s="19">
        <v>0.1</v>
      </c>
      <c r="H727" s="5" t="s">
        <v>637</v>
      </c>
      <c r="I727" s="10">
        <f>IF(OR(D727="", F727=""), "", F727 * VLOOKUP(D727, Products!A:E, 5, FALSE) * (1 - G727))</f>
        <v>7029.5400000000009</v>
      </c>
      <c r="J727" s="10"/>
    </row>
    <row r="728" spans="1:10" ht="15.75" customHeight="1" x14ac:dyDescent="0.3">
      <c r="A728" s="5" t="s">
        <v>1595</v>
      </c>
      <c r="B728" s="11">
        <v>45243</v>
      </c>
      <c r="C728" s="5" t="s">
        <v>304</v>
      </c>
      <c r="D728" s="5" t="s">
        <v>221</v>
      </c>
      <c r="E728" s="5" t="s">
        <v>37</v>
      </c>
      <c r="F728" s="5">
        <v>5</v>
      </c>
      <c r="G728" s="19">
        <v>0</v>
      </c>
      <c r="H728" s="5" t="s">
        <v>776</v>
      </c>
      <c r="I728" s="10">
        <f>IF(OR(D728="", F728=""), "", F728 * VLOOKUP(D728, Products!A:E, 5, FALSE) * (1 - G728))</f>
        <v>7812.1500000000005</v>
      </c>
      <c r="J728" s="10"/>
    </row>
    <row r="729" spans="1:10" ht="15.75" customHeight="1" x14ac:dyDescent="0.3">
      <c r="A729" s="5" t="s">
        <v>1596</v>
      </c>
      <c r="B729" s="11">
        <v>45473</v>
      </c>
      <c r="C729" s="5" t="s">
        <v>762</v>
      </c>
      <c r="D729" s="5" t="s">
        <v>95</v>
      </c>
      <c r="E729" s="5" t="s">
        <v>25</v>
      </c>
      <c r="F729" s="5">
        <v>5</v>
      </c>
      <c r="G729" s="19">
        <v>0.15</v>
      </c>
      <c r="H729" s="5" t="s">
        <v>637</v>
      </c>
      <c r="I729" s="10">
        <f>IF(OR(D729="", F729=""), "", F729 * VLOOKUP(D729, Products!A:E, 5, FALSE) * (1 - G729))</f>
        <v>5706.6875</v>
      </c>
      <c r="J729" s="10"/>
    </row>
    <row r="730" spans="1:10" ht="15.75" customHeight="1" x14ac:dyDescent="0.3">
      <c r="A730" s="5" t="s">
        <v>1597</v>
      </c>
      <c r="B730" s="11">
        <v>45767</v>
      </c>
      <c r="C730" s="5" t="s">
        <v>322</v>
      </c>
      <c r="D730" s="5" t="s">
        <v>122</v>
      </c>
      <c r="E730" s="5" t="s">
        <v>21</v>
      </c>
      <c r="F730" s="5">
        <v>4</v>
      </c>
      <c r="G730" s="19">
        <v>0.1</v>
      </c>
      <c r="H730" s="5" t="s">
        <v>697</v>
      </c>
      <c r="I730" s="10">
        <f>IF(OR(D730="", F730=""), "", F730 * VLOOKUP(D730, Products!A:E, 5, FALSE) * (1 - G730))</f>
        <v>6346.5120000000006</v>
      </c>
      <c r="J730" s="10"/>
    </row>
    <row r="731" spans="1:10" ht="15.75" customHeight="1" x14ac:dyDescent="0.3">
      <c r="A731" s="5" t="s">
        <v>1598</v>
      </c>
      <c r="B731" s="11">
        <v>45566</v>
      </c>
      <c r="C731" s="5" t="s">
        <v>484</v>
      </c>
      <c r="D731" s="5" t="s">
        <v>168</v>
      </c>
      <c r="E731" s="5" t="s">
        <v>29</v>
      </c>
      <c r="F731" s="5">
        <v>1</v>
      </c>
      <c r="G731" s="19">
        <v>0.05</v>
      </c>
      <c r="H731" s="5" t="s">
        <v>637</v>
      </c>
      <c r="I731" s="10">
        <f>IF(OR(D731="", F731=""), "", F731 * VLOOKUP(D731, Products!A:E, 5, FALSE) * (1 - G731))</f>
        <v>964.97199999999998</v>
      </c>
      <c r="J731" s="10"/>
    </row>
    <row r="732" spans="1:10" ht="15.75" customHeight="1" x14ac:dyDescent="0.3">
      <c r="A732" s="5" t="s">
        <v>1599</v>
      </c>
      <c r="B732" s="11">
        <v>45752</v>
      </c>
      <c r="C732" s="5" t="s">
        <v>554</v>
      </c>
      <c r="D732" s="5" t="s">
        <v>122</v>
      </c>
      <c r="E732" s="5" t="s">
        <v>25</v>
      </c>
      <c r="F732" s="5">
        <v>1</v>
      </c>
      <c r="G732" s="19">
        <v>0.15</v>
      </c>
      <c r="H732" s="5" t="s">
        <v>637</v>
      </c>
      <c r="I732" s="10">
        <f>IF(OR(D732="", F732=""), "", F732 * VLOOKUP(D732, Products!A:E, 5, FALSE) * (1 - G732))</f>
        <v>1498.482</v>
      </c>
      <c r="J732" s="10"/>
    </row>
    <row r="733" spans="1:10" ht="15.75" customHeight="1" x14ac:dyDescent="0.3">
      <c r="A733" s="5" t="s">
        <v>1600</v>
      </c>
      <c r="B733" s="11">
        <v>45868</v>
      </c>
      <c r="C733" s="5" t="s">
        <v>705</v>
      </c>
      <c r="D733" s="5" t="s">
        <v>54</v>
      </c>
      <c r="E733" s="5" t="s">
        <v>33</v>
      </c>
      <c r="F733" s="5">
        <v>1</v>
      </c>
      <c r="G733" s="19">
        <v>0.15</v>
      </c>
      <c r="H733" s="5" t="s">
        <v>637</v>
      </c>
      <c r="I733" s="10">
        <f>IF(OR(D733="", F733=""), "", F733 * VLOOKUP(D733, Products!A:E, 5, FALSE) * (1 - G733))</f>
        <v>1575.7045000000001</v>
      </c>
      <c r="J733" s="10"/>
    </row>
    <row r="734" spans="1:10" ht="15.75" customHeight="1" x14ac:dyDescent="0.3">
      <c r="A734" s="5" t="s">
        <v>1601</v>
      </c>
      <c r="B734" s="11">
        <v>45536</v>
      </c>
      <c r="C734" s="5" t="s">
        <v>470</v>
      </c>
      <c r="D734" s="5" t="s">
        <v>47</v>
      </c>
      <c r="E734" s="5" t="s">
        <v>21</v>
      </c>
      <c r="F734" s="5">
        <v>4</v>
      </c>
      <c r="G734" s="19">
        <v>0</v>
      </c>
      <c r="H734" s="5" t="s">
        <v>776</v>
      </c>
      <c r="I734" s="10">
        <f>IF(OR(D734="", F734=""), "", F734 * VLOOKUP(D734, Products!A:E, 5, FALSE) * (1 - G734))</f>
        <v>3275.04</v>
      </c>
      <c r="J734" s="10"/>
    </row>
    <row r="735" spans="1:10" ht="15.75" customHeight="1" x14ac:dyDescent="0.3">
      <c r="A735" s="5" t="s">
        <v>1602</v>
      </c>
      <c r="B735" s="11">
        <v>45249</v>
      </c>
      <c r="C735" s="5" t="s">
        <v>554</v>
      </c>
      <c r="D735" s="5" t="s">
        <v>249</v>
      </c>
      <c r="E735" s="5" t="s">
        <v>33</v>
      </c>
      <c r="F735" s="5">
        <v>1</v>
      </c>
      <c r="G735" s="19">
        <v>0</v>
      </c>
      <c r="H735" s="5" t="s">
        <v>776</v>
      </c>
      <c r="I735" s="10">
        <f>IF(OR(D735="", F735=""), "", F735 * VLOOKUP(D735, Products!A:E, 5, FALSE) * (1 - G735))</f>
        <v>1745.61</v>
      </c>
      <c r="J735" s="10"/>
    </row>
    <row r="736" spans="1:10" ht="15.75" customHeight="1" x14ac:dyDescent="0.3">
      <c r="A736" s="5" t="s">
        <v>1603</v>
      </c>
      <c r="B736" s="11">
        <v>45718</v>
      </c>
      <c r="C736" s="5" t="s">
        <v>729</v>
      </c>
      <c r="D736" s="5" t="s">
        <v>57</v>
      </c>
      <c r="E736" s="5" t="s">
        <v>37</v>
      </c>
      <c r="F736" s="5">
        <v>3</v>
      </c>
      <c r="G736" s="19">
        <v>0.05</v>
      </c>
      <c r="H736" s="5" t="s">
        <v>637</v>
      </c>
      <c r="I736" s="10">
        <f>IF(OR(D736="", F736=""), "", F736 * VLOOKUP(D736, Products!A:E, 5, FALSE) * (1 - G736))</f>
        <v>3979.2269999999999</v>
      </c>
      <c r="J736" s="10"/>
    </row>
    <row r="737" spans="1:10" ht="15.75" customHeight="1" x14ac:dyDescent="0.3">
      <c r="A737" s="5" t="s">
        <v>1604</v>
      </c>
      <c r="B737" s="11">
        <v>45885</v>
      </c>
      <c r="C737" s="5" t="s">
        <v>495</v>
      </c>
      <c r="D737" s="5" t="s">
        <v>276</v>
      </c>
      <c r="E737" s="5" t="s">
        <v>29</v>
      </c>
      <c r="F737" s="5">
        <v>1</v>
      </c>
      <c r="G737" s="19">
        <v>0.05</v>
      </c>
      <c r="H737" s="5" t="s">
        <v>637</v>
      </c>
      <c r="I737" s="10">
        <f>IF(OR(D737="", F737=""), "", F737 * VLOOKUP(D737, Products!A:E, 5, FALSE) * (1 - G737))</f>
        <v>1137.3209999999999</v>
      </c>
      <c r="J737" s="10"/>
    </row>
    <row r="738" spans="1:10" ht="15.75" customHeight="1" x14ac:dyDescent="0.3">
      <c r="A738" s="5" t="s">
        <v>1605</v>
      </c>
      <c r="B738" s="11">
        <v>45299</v>
      </c>
      <c r="C738" s="5" t="s">
        <v>484</v>
      </c>
      <c r="D738" s="5" t="s">
        <v>109</v>
      </c>
      <c r="E738" s="5" t="s">
        <v>37</v>
      </c>
      <c r="F738" s="5">
        <v>5</v>
      </c>
      <c r="G738" s="19">
        <v>0.15</v>
      </c>
      <c r="H738" s="5" t="s">
        <v>454</v>
      </c>
      <c r="I738" s="10">
        <f>IF(OR(D738="", F738=""), "", F738 * VLOOKUP(D738, Products!A:E, 5, FALSE) * (1 - G738))</f>
        <v>7899.6875</v>
      </c>
      <c r="J738" s="10"/>
    </row>
    <row r="739" spans="1:10" ht="15.75" customHeight="1" x14ac:dyDescent="0.3">
      <c r="A739" s="5" t="s">
        <v>1606</v>
      </c>
      <c r="B739" s="11">
        <v>45517</v>
      </c>
      <c r="C739" s="5" t="s">
        <v>826</v>
      </c>
      <c r="D739" s="5" t="s">
        <v>249</v>
      </c>
      <c r="E739" s="5" t="s">
        <v>33</v>
      </c>
      <c r="F739" s="5">
        <v>1</v>
      </c>
      <c r="G739" s="19">
        <v>0</v>
      </c>
      <c r="H739" s="5" t="s">
        <v>697</v>
      </c>
      <c r="I739" s="10">
        <f>IF(OR(D739="", F739=""), "", F739 * VLOOKUP(D739, Products!A:E, 5, FALSE) * (1 - G739))</f>
        <v>1745.61</v>
      </c>
      <c r="J739" s="10"/>
    </row>
    <row r="740" spans="1:10" ht="15.75" customHeight="1" x14ac:dyDescent="0.3">
      <c r="A740" s="5" t="s">
        <v>1607</v>
      </c>
      <c r="B740" s="11">
        <v>45624</v>
      </c>
      <c r="C740" s="5" t="s">
        <v>16</v>
      </c>
      <c r="D740" s="5" t="s">
        <v>57</v>
      </c>
      <c r="E740" s="5" t="s">
        <v>29</v>
      </c>
      <c r="F740" s="5">
        <v>3</v>
      </c>
      <c r="G740" s="19">
        <v>0.1</v>
      </c>
      <c r="H740" s="5" t="s">
        <v>454</v>
      </c>
      <c r="I740" s="10">
        <f>IF(OR(D740="", F740=""), "", F740 * VLOOKUP(D740, Products!A:E, 5, FALSE) * (1 - G740))</f>
        <v>3769.7939999999999</v>
      </c>
      <c r="J740" s="10"/>
    </row>
    <row r="741" spans="1:10" ht="15.75" customHeight="1" x14ac:dyDescent="0.3">
      <c r="A741" s="5" t="s">
        <v>1608</v>
      </c>
      <c r="B741" s="11">
        <v>45207</v>
      </c>
      <c r="C741" s="5" t="s">
        <v>811</v>
      </c>
      <c r="D741" s="5" t="s">
        <v>232</v>
      </c>
      <c r="E741" s="5" t="s">
        <v>21</v>
      </c>
      <c r="F741" s="5">
        <v>1</v>
      </c>
      <c r="G741" s="19">
        <v>0.05</v>
      </c>
      <c r="H741" s="5" t="s">
        <v>637</v>
      </c>
      <c r="I741" s="10">
        <f>IF(OR(D741="", F741=""), "", F741 * VLOOKUP(D741, Products!A:E, 5, FALSE) * (1 - G741))</f>
        <v>1855.0174999999999</v>
      </c>
      <c r="J741" s="10"/>
    </row>
    <row r="742" spans="1:10" ht="15.75" customHeight="1" x14ac:dyDescent="0.3">
      <c r="A742" s="5" t="s">
        <v>1609</v>
      </c>
      <c r="B742" s="11">
        <v>45211</v>
      </c>
      <c r="C742" s="5" t="s">
        <v>292</v>
      </c>
      <c r="D742" s="5" t="s">
        <v>285</v>
      </c>
      <c r="E742" s="5" t="s">
        <v>33</v>
      </c>
      <c r="F742" s="5">
        <v>1</v>
      </c>
      <c r="G742" s="19">
        <v>0.1</v>
      </c>
      <c r="H742" s="5" t="s">
        <v>697</v>
      </c>
      <c r="I742" s="10">
        <f>IF(OR(D742="", F742=""), "", F742 * VLOOKUP(D742, Products!A:E, 5, FALSE) * (1 - G742))</f>
        <v>349.43400000000003</v>
      </c>
      <c r="J742" s="10"/>
    </row>
    <row r="743" spans="1:10" ht="15.75" customHeight="1" x14ac:dyDescent="0.3">
      <c r="A743" s="5" t="s">
        <v>1610</v>
      </c>
      <c r="B743" s="11">
        <v>45421</v>
      </c>
      <c r="C743" s="5" t="s">
        <v>346</v>
      </c>
      <c r="D743" s="5" t="s">
        <v>115</v>
      </c>
      <c r="E743" s="5" t="s">
        <v>21</v>
      </c>
      <c r="F743" s="5">
        <v>4</v>
      </c>
      <c r="G743" s="19">
        <v>0.05</v>
      </c>
      <c r="H743" s="5" t="s">
        <v>637</v>
      </c>
      <c r="I743" s="10">
        <f>IF(OR(D743="", F743=""), "", F743 * VLOOKUP(D743, Products!A:E, 5, FALSE) * (1 - G743))</f>
        <v>4735.2179999999998</v>
      </c>
      <c r="J743" s="10"/>
    </row>
    <row r="744" spans="1:10" ht="15.75" customHeight="1" x14ac:dyDescent="0.3">
      <c r="A744" s="5" t="s">
        <v>1611</v>
      </c>
      <c r="B744" s="11">
        <v>45370</v>
      </c>
      <c r="C744" s="5" t="s">
        <v>346</v>
      </c>
      <c r="D744" s="5" t="s">
        <v>54</v>
      </c>
      <c r="E744" s="5" t="s">
        <v>29</v>
      </c>
      <c r="F744" s="5">
        <v>1</v>
      </c>
      <c r="G744" s="19">
        <v>0.15</v>
      </c>
      <c r="H744" s="5" t="s">
        <v>776</v>
      </c>
      <c r="I744" s="10">
        <f>IF(OR(D744="", F744=""), "", F744 * VLOOKUP(D744, Products!A:E, 5, FALSE) * (1 - G744))</f>
        <v>1575.7045000000001</v>
      </c>
      <c r="J744" s="10"/>
    </row>
    <row r="745" spans="1:10" ht="15.75" customHeight="1" x14ac:dyDescent="0.3">
      <c r="A745" s="5" t="s">
        <v>1612</v>
      </c>
      <c r="B745" s="11">
        <v>45455</v>
      </c>
      <c r="C745" s="5" t="s">
        <v>755</v>
      </c>
      <c r="D745" s="5" t="s">
        <v>262</v>
      </c>
      <c r="E745" s="5" t="s">
        <v>37</v>
      </c>
      <c r="F745" s="5">
        <v>1</v>
      </c>
      <c r="G745" s="19">
        <v>0.15</v>
      </c>
      <c r="H745" s="5" t="s">
        <v>637</v>
      </c>
      <c r="I745" s="10">
        <f>IF(OR(D745="", F745=""), "", F745 * VLOOKUP(D745, Products!A:E, 5, FALSE) * (1 - G745))</f>
        <v>385.577</v>
      </c>
      <c r="J745" s="10"/>
    </row>
    <row r="746" spans="1:10" ht="15.75" customHeight="1" x14ac:dyDescent="0.3">
      <c r="A746" s="5" t="s">
        <v>1613</v>
      </c>
      <c r="B746" s="11">
        <v>45391</v>
      </c>
      <c r="C746" s="5" t="s">
        <v>773</v>
      </c>
      <c r="D746" s="5" t="s">
        <v>147</v>
      </c>
      <c r="E746" s="5" t="s">
        <v>37</v>
      </c>
      <c r="F746" s="5">
        <v>5</v>
      </c>
      <c r="G746" s="19">
        <v>0.05</v>
      </c>
      <c r="H746" s="5" t="s">
        <v>637</v>
      </c>
      <c r="I746" s="10">
        <f>IF(OR(D746="", F746=""), "", F746 * VLOOKUP(D746, Products!A:E, 5, FALSE) * (1 - G746))</f>
        <v>8922.7325000000001</v>
      </c>
      <c r="J746" s="10"/>
    </row>
    <row r="747" spans="1:10" ht="15.75" customHeight="1" x14ac:dyDescent="0.3">
      <c r="A747" s="5" t="s">
        <v>1614</v>
      </c>
      <c r="B747" s="11">
        <v>45717</v>
      </c>
      <c r="C747" s="5" t="s">
        <v>69</v>
      </c>
      <c r="D747" s="5" t="s">
        <v>232</v>
      </c>
      <c r="E747" s="5" t="s">
        <v>37</v>
      </c>
      <c r="F747" s="5">
        <v>1</v>
      </c>
      <c r="G747" s="19">
        <v>0.15</v>
      </c>
      <c r="H747" s="5" t="s">
        <v>637</v>
      </c>
      <c r="I747" s="10">
        <f>IF(OR(D747="", F747=""), "", F747 * VLOOKUP(D747, Products!A:E, 5, FALSE) * (1 - G747))</f>
        <v>1659.7525000000001</v>
      </c>
      <c r="J747" s="10"/>
    </row>
    <row r="748" spans="1:10" ht="15.75" customHeight="1" x14ac:dyDescent="0.3">
      <c r="A748" s="5" t="s">
        <v>1615</v>
      </c>
      <c r="B748" s="11">
        <v>45197</v>
      </c>
      <c r="C748" s="5" t="s">
        <v>649</v>
      </c>
      <c r="D748" s="5" t="s">
        <v>67</v>
      </c>
      <c r="E748" s="5" t="s">
        <v>25</v>
      </c>
      <c r="F748" s="5">
        <v>5</v>
      </c>
      <c r="G748" s="19">
        <v>0.05</v>
      </c>
      <c r="H748" s="5" t="s">
        <v>697</v>
      </c>
      <c r="I748" s="10">
        <f>IF(OR(D748="", F748=""), "", F748 * VLOOKUP(D748, Products!A:E, 5, FALSE) * (1 - G748))</f>
        <v>521.45499999999993</v>
      </c>
      <c r="J748" s="10"/>
    </row>
    <row r="749" spans="1:10" ht="15.75" customHeight="1" x14ac:dyDescent="0.3">
      <c r="A749" s="5" t="s">
        <v>1616</v>
      </c>
      <c r="B749" s="11">
        <v>45608</v>
      </c>
      <c r="C749" s="5" t="s">
        <v>235</v>
      </c>
      <c r="D749" s="5" t="s">
        <v>140</v>
      </c>
      <c r="E749" s="5" t="s">
        <v>33</v>
      </c>
      <c r="F749" s="5">
        <v>5</v>
      </c>
      <c r="G749" s="19">
        <v>0.1</v>
      </c>
      <c r="H749" s="5" t="s">
        <v>637</v>
      </c>
      <c r="I749" s="10">
        <f>IF(OR(D749="", F749=""), "", F749 * VLOOKUP(D749, Products!A:E, 5, FALSE) * (1 - G749))</f>
        <v>115.065</v>
      </c>
      <c r="J749" s="10"/>
    </row>
    <row r="750" spans="1:10" ht="15.75" customHeight="1" x14ac:dyDescent="0.3">
      <c r="A750" s="5" t="s">
        <v>1617</v>
      </c>
      <c r="B750" s="11">
        <v>45267</v>
      </c>
      <c r="C750" s="5" t="s">
        <v>567</v>
      </c>
      <c r="D750" s="5" t="s">
        <v>74</v>
      </c>
      <c r="E750" s="5" t="s">
        <v>37</v>
      </c>
      <c r="F750" s="5">
        <v>2</v>
      </c>
      <c r="G750" s="19">
        <v>0.1</v>
      </c>
      <c r="H750" s="5" t="s">
        <v>637</v>
      </c>
      <c r="I750" s="10">
        <f>IF(OR(D750="", F750=""), "", F750 * VLOOKUP(D750, Products!A:E, 5, FALSE) * (1 - G750))</f>
        <v>2149.4159999999997</v>
      </c>
      <c r="J750" s="10"/>
    </row>
    <row r="751" spans="1:10" ht="15.75" customHeight="1" x14ac:dyDescent="0.3">
      <c r="A751" s="5" t="s">
        <v>1618</v>
      </c>
      <c r="B751" s="11">
        <v>45656</v>
      </c>
      <c r="C751" s="5" t="s">
        <v>495</v>
      </c>
      <c r="D751" s="5" t="s">
        <v>54</v>
      </c>
      <c r="E751" s="5" t="s">
        <v>29</v>
      </c>
      <c r="F751" s="5">
        <v>4</v>
      </c>
      <c r="G751" s="19">
        <v>0.05</v>
      </c>
      <c r="H751" s="5" t="s">
        <v>697</v>
      </c>
      <c r="I751" s="10">
        <f>IF(OR(D751="", F751=""), "", F751 * VLOOKUP(D751, Products!A:E, 5, FALSE) * (1 - G751))</f>
        <v>7044.326</v>
      </c>
      <c r="J751" s="10"/>
    </row>
    <row r="752" spans="1:10" ht="15.75" customHeight="1" x14ac:dyDescent="0.3">
      <c r="A752" s="5" t="s">
        <v>1619</v>
      </c>
      <c r="B752" s="11">
        <v>45783</v>
      </c>
      <c r="C752" s="5" t="s">
        <v>560</v>
      </c>
      <c r="D752" s="5" t="s">
        <v>70</v>
      </c>
      <c r="E752" s="5" t="s">
        <v>37</v>
      </c>
      <c r="F752" s="5">
        <v>5</v>
      </c>
      <c r="G752" s="19">
        <v>0.1</v>
      </c>
      <c r="H752" s="5" t="s">
        <v>454</v>
      </c>
      <c r="I752" s="10">
        <f>IF(OR(D752="", F752=""), "", F752 * VLOOKUP(D752, Products!A:E, 5, FALSE) * (1 - G752))</f>
        <v>554.35500000000002</v>
      </c>
      <c r="J752" s="10"/>
    </row>
    <row r="753" spans="1:10" ht="15.75" customHeight="1" x14ac:dyDescent="0.3">
      <c r="A753" s="5" t="s">
        <v>1620</v>
      </c>
      <c r="B753" s="11">
        <v>45859</v>
      </c>
      <c r="C753" s="5" t="s">
        <v>823</v>
      </c>
      <c r="D753" s="5" t="s">
        <v>57</v>
      </c>
      <c r="E753" s="5" t="s">
        <v>37</v>
      </c>
      <c r="F753" s="5">
        <v>2</v>
      </c>
      <c r="G753" s="19">
        <v>0.05</v>
      </c>
      <c r="H753" s="5" t="s">
        <v>697</v>
      </c>
      <c r="I753" s="10">
        <f>IF(OR(D753="", F753=""), "", F753 * VLOOKUP(D753, Products!A:E, 5, FALSE) * (1 - G753))</f>
        <v>2652.8179999999998</v>
      </c>
      <c r="J753" s="10"/>
    </row>
    <row r="754" spans="1:10" ht="15.75" customHeight="1" x14ac:dyDescent="0.3">
      <c r="A754" s="5" t="s">
        <v>1621</v>
      </c>
      <c r="B754" s="11">
        <v>45324</v>
      </c>
      <c r="C754" s="5" t="s">
        <v>402</v>
      </c>
      <c r="D754" s="5" t="s">
        <v>128</v>
      </c>
      <c r="E754" s="5" t="s">
        <v>29</v>
      </c>
      <c r="F754" s="5">
        <v>3</v>
      </c>
      <c r="G754" s="19">
        <v>0.05</v>
      </c>
      <c r="H754" s="5" t="s">
        <v>697</v>
      </c>
      <c r="I754" s="10">
        <f>IF(OR(D754="", F754=""), "", F754 * VLOOKUP(D754, Products!A:E, 5, FALSE) * (1 - G754))</f>
        <v>923.17199999999991</v>
      </c>
      <c r="J754" s="10"/>
    </row>
    <row r="755" spans="1:10" ht="15.75" customHeight="1" x14ac:dyDescent="0.3">
      <c r="A755" s="5" t="s">
        <v>1622</v>
      </c>
      <c r="B755" s="11">
        <v>45204</v>
      </c>
      <c r="C755" s="5" t="s">
        <v>641</v>
      </c>
      <c r="D755" s="5" t="s">
        <v>89</v>
      </c>
      <c r="E755" s="5" t="s">
        <v>37</v>
      </c>
      <c r="F755" s="5">
        <v>3</v>
      </c>
      <c r="G755" s="19">
        <v>0</v>
      </c>
      <c r="H755" s="5" t="s">
        <v>454</v>
      </c>
      <c r="I755" s="10">
        <f>IF(OR(D755="", F755=""), "", F755 * VLOOKUP(D755, Products!A:E, 5, FALSE) * (1 - G755))</f>
        <v>3404.3999999999996</v>
      </c>
      <c r="J755" s="10"/>
    </row>
    <row r="756" spans="1:10" ht="15.75" customHeight="1" x14ac:dyDescent="0.3">
      <c r="A756" s="5" t="s">
        <v>1623</v>
      </c>
      <c r="B756" s="11">
        <v>45601</v>
      </c>
      <c r="C756" s="5" t="s">
        <v>695</v>
      </c>
      <c r="D756" s="5" t="s">
        <v>162</v>
      </c>
      <c r="E756" s="5" t="s">
        <v>33</v>
      </c>
      <c r="F756" s="5">
        <v>5</v>
      </c>
      <c r="G756" s="19">
        <v>0.15</v>
      </c>
      <c r="H756" s="5" t="s">
        <v>454</v>
      </c>
      <c r="I756" s="10">
        <f>IF(OR(D756="", F756=""), "", F756 * VLOOKUP(D756, Products!A:E, 5, FALSE) * (1 - G756))</f>
        <v>1823.8875</v>
      </c>
      <c r="J756" s="10"/>
    </row>
    <row r="757" spans="1:10" ht="15.75" customHeight="1" x14ac:dyDescent="0.3">
      <c r="A757" s="5" t="s">
        <v>1624</v>
      </c>
      <c r="B757" s="11">
        <v>45817</v>
      </c>
      <c r="C757" s="5" t="s">
        <v>571</v>
      </c>
      <c r="D757" s="5" t="s">
        <v>249</v>
      </c>
      <c r="E757" s="5" t="s">
        <v>21</v>
      </c>
      <c r="F757" s="5">
        <v>5</v>
      </c>
      <c r="G757" s="19">
        <v>0</v>
      </c>
      <c r="H757" s="5" t="s">
        <v>776</v>
      </c>
      <c r="I757" s="10">
        <f>IF(OR(D757="", F757=""), "", F757 * VLOOKUP(D757, Products!A:E, 5, FALSE) * (1 - G757))</f>
        <v>8728.0499999999993</v>
      </c>
      <c r="J757" s="10"/>
    </row>
    <row r="758" spans="1:10" ht="15.75" customHeight="1" x14ac:dyDescent="0.3">
      <c r="A758" s="5" t="s">
        <v>1625</v>
      </c>
      <c r="B758" s="11">
        <v>45187</v>
      </c>
      <c r="C758" s="5" t="s">
        <v>532</v>
      </c>
      <c r="D758" s="5" t="s">
        <v>262</v>
      </c>
      <c r="E758" s="5" t="s">
        <v>25</v>
      </c>
      <c r="F758" s="5">
        <v>1</v>
      </c>
      <c r="G758" s="19">
        <v>0</v>
      </c>
      <c r="H758" s="5" t="s">
        <v>697</v>
      </c>
      <c r="I758" s="10">
        <f>IF(OR(D758="", F758=""), "", F758 * VLOOKUP(D758, Products!A:E, 5, FALSE) * (1 - G758))</f>
        <v>453.62</v>
      </c>
      <c r="J758" s="10"/>
    </row>
    <row r="759" spans="1:10" ht="15.75" customHeight="1" x14ac:dyDescent="0.3">
      <c r="A759" s="5" t="s">
        <v>1626</v>
      </c>
      <c r="B759" s="11">
        <v>45655</v>
      </c>
      <c r="C759" s="5" t="s">
        <v>425</v>
      </c>
      <c r="D759" s="5" t="s">
        <v>54</v>
      </c>
      <c r="E759" s="5" t="s">
        <v>25</v>
      </c>
      <c r="F759" s="5">
        <v>3</v>
      </c>
      <c r="G759" s="19">
        <v>0.1</v>
      </c>
      <c r="H759" s="5" t="s">
        <v>697</v>
      </c>
      <c r="I759" s="10">
        <f>IF(OR(D759="", F759=""), "", F759 * VLOOKUP(D759, Products!A:E, 5, FALSE) * (1 - G759))</f>
        <v>5005.1790000000001</v>
      </c>
      <c r="J759" s="10"/>
    </row>
    <row r="760" spans="1:10" ht="15.75" customHeight="1" x14ac:dyDescent="0.3">
      <c r="A760" s="5" t="s">
        <v>1627</v>
      </c>
      <c r="B760" s="11">
        <v>45188</v>
      </c>
      <c r="C760" s="5" t="s">
        <v>171</v>
      </c>
      <c r="D760" s="5" t="s">
        <v>61</v>
      </c>
      <c r="E760" s="5" t="s">
        <v>29</v>
      </c>
      <c r="F760" s="5">
        <v>2</v>
      </c>
      <c r="G760" s="19">
        <v>0</v>
      </c>
      <c r="H760" s="5" t="s">
        <v>454</v>
      </c>
      <c r="I760" s="10">
        <f>IF(OR(D760="", F760=""), "", F760 * VLOOKUP(D760, Products!A:E, 5, FALSE) * (1 - G760))</f>
        <v>636.1</v>
      </c>
      <c r="J760" s="10"/>
    </row>
    <row r="761" spans="1:10" ht="15.75" customHeight="1" x14ac:dyDescent="0.3">
      <c r="A761" s="5" t="s">
        <v>1628</v>
      </c>
      <c r="B761" s="11">
        <v>45777</v>
      </c>
      <c r="C761" s="5" t="s">
        <v>597</v>
      </c>
      <c r="D761" s="5" t="s">
        <v>109</v>
      </c>
      <c r="E761" s="5" t="s">
        <v>21</v>
      </c>
      <c r="F761" s="5">
        <v>5</v>
      </c>
      <c r="G761" s="19">
        <v>0.05</v>
      </c>
      <c r="H761" s="5" t="s">
        <v>637</v>
      </c>
      <c r="I761" s="10">
        <f>IF(OR(D761="", F761=""), "", F761 * VLOOKUP(D761, Products!A:E, 5, FALSE) * (1 - G761))</f>
        <v>8829.0625</v>
      </c>
      <c r="J761" s="10"/>
    </row>
    <row r="762" spans="1:10" ht="15.75" customHeight="1" x14ac:dyDescent="0.3">
      <c r="A762" s="5" t="s">
        <v>1629</v>
      </c>
      <c r="B762" s="11">
        <v>45771</v>
      </c>
      <c r="C762" s="5" t="s">
        <v>393</v>
      </c>
      <c r="D762" s="5" t="s">
        <v>67</v>
      </c>
      <c r="E762" s="5" t="s">
        <v>37</v>
      </c>
      <c r="F762" s="5">
        <v>3</v>
      </c>
      <c r="G762" s="19">
        <v>0</v>
      </c>
      <c r="H762" s="5" t="s">
        <v>637</v>
      </c>
      <c r="I762" s="10">
        <f>IF(OR(D762="", F762=""), "", F762 * VLOOKUP(D762, Products!A:E, 5, FALSE) * (1 - G762))</f>
        <v>329.34000000000003</v>
      </c>
      <c r="J762" s="10"/>
    </row>
    <row r="763" spans="1:10" ht="15.75" customHeight="1" x14ac:dyDescent="0.3">
      <c r="A763" s="5" t="s">
        <v>1630</v>
      </c>
      <c r="B763" s="11">
        <v>45228</v>
      </c>
      <c r="C763" s="5" t="s">
        <v>539</v>
      </c>
      <c r="D763" s="5" t="s">
        <v>119</v>
      </c>
      <c r="E763" s="5" t="s">
        <v>33</v>
      </c>
      <c r="F763" s="5">
        <v>3</v>
      </c>
      <c r="G763" s="19">
        <v>0</v>
      </c>
      <c r="H763" s="5" t="s">
        <v>776</v>
      </c>
      <c r="I763" s="10">
        <f>IF(OR(D763="", F763=""), "", F763 * VLOOKUP(D763, Products!A:E, 5, FALSE) * (1 - G763))</f>
        <v>3239.67</v>
      </c>
      <c r="J763" s="10"/>
    </row>
    <row r="764" spans="1:10" ht="15.75" customHeight="1" x14ac:dyDescent="0.3">
      <c r="A764" s="5" t="s">
        <v>1631</v>
      </c>
      <c r="B764" s="11">
        <v>45192</v>
      </c>
      <c r="C764" s="5" t="s">
        <v>850</v>
      </c>
      <c r="D764" s="5" t="s">
        <v>140</v>
      </c>
      <c r="E764" s="5" t="s">
        <v>29</v>
      </c>
      <c r="F764" s="5">
        <v>2</v>
      </c>
      <c r="G764" s="19">
        <v>0.15</v>
      </c>
      <c r="H764" s="5" t="s">
        <v>697</v>
      </c>
      <c r="I764" s="10">
        <f>IF(OR(D764="", F764=""), "", F764 * VLOOKUP(D764, Products!A:E, 5, FALSE) * (1 - G764))</f>
        <v>43.469000000000001</v>
      </c>
      <c r="J764" s="10"/>
    </row>
    <row r="765" spans="1:10" ht="15.75" customHeight="1" x14ac:dyDescent="0.3">
      <c r="A765" s="5" t="s">
        <v>1632</v>
      </c>
      <c r="B765" s="11">
        <v>45893</v>
      </c>
      <c r="C765" s="5" t="s">
        <v>755</v>
      </c>
      <c r="D765" s="5" t="s">
        <v>188</v>
      </c>
      <c r="E765" s="5" t="s">
        <v>29</v>
      </c>
      <c r="F765" s="5">
        <v>5</v>
      </c>
      <c r="G765" s="19">
        <v>0.05</v>
      </c>
      <c r="H765" s="5" t="s">
        <v>697</v>
      </c>
      <c r="I765" s="10">
        <f>IF(OR(D765="", F765=""), "", F765 * VLOOKUP(D765, Products!A:E, 5, FALSE) * (1 - G765))</f>
        <v>7053.9874999999993</v>
      </c>
      <c r="J765" s="10"/>
    </row>
    <row r="766" spans="1:10" ht="15.75" customHeight="1" x14ac:dyDescent="0.3">
      <c r="A766" s="5" t="s">
        <v>1633</v>
      </c>
      <c r="B766" s="11">
        <v>45750</v>
      </c>
      <c r="C766" s="5" t="s">
        <v>450</v>
      </c>
      <c r="D766" s="5" t="s">
        <v>272</v>
      </c>
      <c r="E766" s="5" t="s">
        <v>33</v>
      </c>
      <c r="F766" s="5">
        <v>2</v>
      </c>
      <c r="G766" s="19">
        <v>0</v>
      </c>
      <c r="H766" s="5" t="s">
        <v>697</v>
      </c>
      <c r="I766" s="10">
        <f>IF(OR(D766="", F766=""), "", F766 * VLOOKUP(D766, Products!A:E, 5, FALSE) * (1 - G766))</f>
        <v>2330.7399999999998</v>
      </c>
      <c r="J766" s="10"/>
    </row>
    <row r="767" spans="1:10" ht="15.75" customHeight="1" x14ac:dyDescent="0.3">
      <c r="A767" s="5" t="s">
        <v>1634</v>
      </c>
      <c r="B767" s="11">
        <v>45828</v>
      </c>
      <c r="C767" s="5" t="s">
        <v>330</v>
      </c>
      <c r="D767" s="5" t="s">
        <v>243</v>
      </c>
      <c r="E767" s="5" t="s">
        <v>37</v>
      </c>
      <c r="F767" s="5">
        <v>1</v>
      </c>
      <c r="G767" s="19">
        <v>0.15</v>
      </c>
      <c r="H767" s="5" t="s">
        <v>776</v>
      </c>
      <c r="I767" s="10">
        <f>IF(OR(D767="", F767=""), "", F767 * VLOOKUP(D767, Products!A:E, 5, FALSE) * (1 - G767))</f>
        <v>459.79900000000004</v>
      </c>
      <c r="J767" s="10"/>
    </row>
    <row r="768" spans="1:10" ht="15.75" customHeight="1" x14ac:dyDescent="0.3">
      <c r="A768" s="5" t="s">
        <v>1635</v>
      </c>
      <c r="B768" s="11">
        <v>45747</v>
      </c>
      <c r="C768" s="5" t="s">
        <v>575</v>
      </c>
      <c r="D768" s="5" t="s">
        <v>134</v>
      </c>
      <c r="E768" s="5" t="s">
        <v>29</v>
      </c>
      <c r="F768" s="5">
        <v>5</v>
      </c>
      <c r="G768" s="19">
        <v>0.1</v>
      </c>
      <c r="H768" s="5" t="s">
        <v>697</v>
      </c>
      <c r="I768" s="10">
        <f>IF(OR(D768="", F768=""), "", F768 * VLOOKUP(D768, Products!A:E, 5, FALSE) * (1 - G768))</f>
        <v>5522.58</v>
      </c>
      <c r="J768" s="10"/>
    </row>
    <row r="769" spans="1:10" ht="15.75" customHeight="1" x14ac:dyDescent="0.3">
      <c r="A769" s="5" t="s">
        <v>1636</v>
      </c>
      <c r="B769" s="11">
        <v>45639</v>
      </c>
      <c r="C769" s="5" t="s">
        <v>317</v>
      </c>
      <c r="D769" s="5" t="s">
        <v>243</v>
      </c>
      <c r="E769" s="5" t="s">
        <v>37</v>
      </c>
      <c r="F769" s="5">
        <v>3</v>
      </c>
      <c r="G769" s="19">
        <v>0</v>
      </c>
      <c r="H769" s="5" t="s">
        <v>454</v>
      </c>
      <c r="I769" s="10">
        <f>IF(OR(D769="", F769=""), "", F769 * VLOOKUP(D769, Products!A:E, 5, FALSE) * (1 - G769))</f>
        <v>1622.8200000000002</v>
      </c>
      <c r="J769" s="10"/>
    </row>
    <row r="770" spans="1:10" ht="15.75" customHeight="1" x14ac:dyDescent="0.3">
      <c r="A770" s="5" t="s">
        <v>1637</v>
      </c>
      <c r="B770" s="11">
        <v>45858</v>
      </c>
      <c r="C770" s="5" t="s">
        <v>611</v>
      </c>
      <c r="D770" s="5" t="s">
        <v>65</v>
      </c>
      <c r="E770" s="5" t="s">
        <v>25</v>
      </c>
      <c r="F770" s="5">
        <v>1</v>
      </c>
      <c r="G770" s="19">
        <v>0.05</v>
      </c>
      <c r="H770" s="5" t="s">
        <v>454</v>
      </c>
      <c r="I770" s="10">
        <f>IF(OR(D770="", F770=""), "", F770 * VLOOKUP(D770, Products!A:E, 5, FALSE) * (1 - G770))</f>
        <v>1400.4139999999998</v>
      </c>
      <c r="J770" s="10"/>
    </row>
    <row r="771" spans="1:10" ht="15.75" customHeight="1" x14ac:dyDescent="0.3">
      <c r="A771" s="5" t="s">
        <v>1638</v>
      </c>
      <c r="B771" s="11">
        <v>45273</v>
      </c>
      <c r="C771" s="5" t="s">
        <v>724</v>
      </c>
      <c r="D771" s="5" t="s">
        <v>291</v>
      </c>
      <c r="E771" s="5" t="s">
        <v>21</v>
      </c>
      <c r="F771" s="5">
        <v>5</v>
      </c>
      <c r="G771" s="19">
        <v>0.1</v>
      </c>
      <c r="H771" s="5" t="s">
        <v>637</v>
      </c>
      <c r="I771" s="10">
        <f>IF(OR(D771="", F771=""), "", F771 * VLOOKUP(D771, Products!A:E, 5, FALSE) * (1 - G771))</f>
        <v>4700.880000000001</v>
      </c>
      <c r="J771" s="10"/>
    </row>
    <row r="772" spans="1:10" ht="15.75" customHeight="1" x14ac:dyDescent="0.3">
      <c r="A772" s="5" t="s">
        <v>1639</v>
      </c>
      <c r="B772" s="11">
        <v>45474</v>
      </c>
      <c r="C772" s="5" t="s">
        <v>705</v>
      </c>
      <c r="D772" s="5" t="s">
        <v>272</v>
      </c>
      <c r="E772" s="5" t="s">
        <v>37</v>
      </c>
      <c r="F772" s="5">
        <v>3</v>
      </c>
      <c r="G772" s="19">
        <v>0</v>
      </c>
      <c r="H772" s="5" t="s">
        <v>454</v>
      </c>
      <c r="I772" s="10">
        <f>IF(OR(D772="", F772=""), "", F772 * VLOOKUP(D772, Products!A:E, 5, FALSE) * (1 - G772))</f>
        <v>3496.1099999999997</v>
      </c>
      <c r="J772" s="10"/>
    </row>
    <row r="773" spans="1:10" ht="15.75" customHeight="1" x14ac:dyDescent="0.3">
      <c r="A773" s="5" t="s">
        <v>1640</v>
      </c>
      <c r="B773" s="11">
        <v>45907</v>
      </c>
      <c r="C773" s="5" t="s">
        <v>665</v>
      </c>
      <c r="D773" s="5" t="s">
        <v>249</v>
      </c>
      <c r="E773" s="5" t="s">
        <v>25</v>
      </c>
      <c r="F773" s="5">
        <v>2</v>
      </c>
      <c r="G773" s="19">
        <v>0</v>
      </c>
      <c r="H773" s="5" t="s">
        <v>697</v>
      </c>
      <c r="I773" s="10">
        <f>IF(OR(D773="", F773=""), "", F773 * VLOOKUP(D773, Products!A:E, 5, FALSE) * (1 - G773))</f>
        <v>3491.22</v>
      </c>
      <c r="J773" s="10"/>
    </row>
    <row r="774" spans="1:10" ht="15.75" customHeight="1" x14ac:dyDescent="0.3">
      <c r="A774" s="5" t="s">
        <v>1641</v>
      </c>
      <c r="B774" s="11">
        <v>45227</v>
      </c>
      <c r="C774" s="5" t="s">
        <v>563</v>
      </c>
      <c r="D774" s="5" t="s">
        <v>180</v>
      </c>
      <c r="E774" s="5" t="s">
        <v>37</v>
      </c>
      <c r="F774" s="5">
        <v>5</v>
      </c>
      <c r="G774" s="19">
        <v>0.15</v>
      </c>
      <c r="H774" s="5" t="s">
        <v>776</v>
      </c>
      <c r="I774" s="10">
        <f>IF(OR(D774="", F774=""), "", F774 * VLOOKUP(D774, Products!A:E, 5, FALSE) * (1 - G774))</f>
        <v>2863.5649999999996</v>
      </c>
      <c r="J774" s="10"/>
    </row>
    <row r="775" spans="1:10" ht="15.75" customHeight="1" x14ac:dyDescent="0.3">
      <c r="A775" s="5" t="s">
        <v>1642</v>
      </c>
      <c r="B775" s="11">
        <v>45338</v>
      </c>
      <c r="C775" s="5" t="s">
        <v>503</v>
      </c>
      <c r="D775" s="5" t="s">
        <v>89</v>
      </c>
      <c r="E775" s="5" t="s">
        <v>25</v>
      </c>
      <c r="F775" s="5">
        <v>2</v>
      </c>
      <c r="G775" s="19">
        <v>0.1</v>
      </c>
      <c r="H775" s="5" t="s">
        <v>454</v>
      </c>
      <c r="I775" s="10">
        <f>IF(OR(D775="", F775=""), "", F775 * VLOOKUP(D775, Products!A:E, 5, FALSE) * (1 - G775))</f>
        <v>2042.6399999999999</v>
      </c>
      <c r="J775" s="10"/>
    </row>
    <row r="776" spans="1:10" ht="15.75" customHeight="1" x14ac:dyDescent="0.3">
      <c r="A776" s="5" t="s">
        <v>1643</v>
      </c>
      <c r="B776" s="11">
        <v>45584</v>
      </c>
      <c r="C776" s="5" t="s">
        <v>515</v>
      </c>
      <c r="D776" s="5" t="s">
        <v>67</v>
      </c>
      <c r="E776" s="5" t="s">
        <v>29</v>
      </c>
      <c r="F776" s="5">
        <v>2</v>
      </c>
      <c r="G776" s="19">
        <v>0.15</v>
      </c>
      <c r="H776" s="5" t="s">
        <v>776</v>
      </c>
      <c r="I776" s="10">
        <f>IF(OR(D776="", F776=""), "", F776 * VLOOKUP(D776, Products!A:E, 5, FALSE) * (1 - G776))</f>
        <v>186.626</v>
      </c>
      <c r="J776" s="10"/>
    </row>
    <row r="777" spans="1:10" ht="15.75" customHeight="1" x14ac:dyDescent="0.3">
      <c r="A777" s="5" t="s">
        <v>1644</v>
      </c>
      <c r="B777" s="11">
        <v>45719</v>
      </c>
      <c r="C777" s="5" t="s">
        <v>250</v>
      </c>
      <c r="D777" s="5" t="s">
        <v>140</v>
      </c>
      <c r="E777" s="5" t="s">
        <v>29</v>
      </c>
      <c r="F777" s="5">
        <v>4</v>
      </c>
      <c r="G777" s="19">
        <v>0.05</v>
      </c>
      <c r="H777" s="5" t="s">
        <v>697</v>
      </c>
      <c r="I777" s="10">
        <f>IF(OR(D777="", F777=""), "", F777 * VLOOKUP(D777, Products!A:E, 5, FALSE) * (1 - G777))</f>
        <v>97.165999999999997</v>
      </c>
      <c r="J777" s="10"/>
    </row>
    <row r="778" spans="1:10" ht="15.75" customHeight="1" x14ac:dyDescent="0.3">
      <c r="A778" s="5" t="s">
        <v>1645</v>
      </c>
      <c r="B778" s="11">
        <v>45636</v>
      </c>
      <c r="C778" s="5" t="s">
        <v>144</v>
      </c>
      <c r="D778" s="5" t="s">
        <v>134</v>
      </c>
      <c r="E778" s="5" t="s">
        <v>29</v>
      </c>
      <c r="F778" s="5">
        <v>4</v>
      </c>
      <c r="G778" s="19">
        <v>0</v>
      </c>
      <c r="H778" s="5" t="s">
        <v>637</v>
      </c>
      <c r="I778" s="10">
        <f>IF(OR(D778="", F778=""), "", F778 * VLOOKUP(D778, Products!A:E, 5, FALSE) * (1 - G778))</f>
        <v>4908.96</v>
      </c>
      <c r="J778" s="10"/>
    </row>
    <row r="779" spans="1:10" ht="15.75" customHeight="1" x14ac:dyDescent="0.3">
      <c r="A779" s="5" t="s">
        <v>1646</v>
      </c>
      <c r="B779" s="11">
        <v>45623</v>
      </c>
      <c r="C779" s="5" t="s">
        <v>412</v>
      </c>
      <c r="D779" s="5" t="s">
        <v>103</v>
      </c>
      <c r="E779" s="5" t="s">
        <v>37</v>
      </c>
      <c r="F779" s="5">
        <v>3</v>
      </c>
      <c r="G779" s="19">
        <v>0</v>
      </c>
      <c r="H779" s="5" t="s">
        <v>454</v>
      </c>
      <c r="I779" s="10">
        <f>IF(OR(D779="", F779=""), "", F779 * VLOOKUP(D779, Products!A:E, 5, FALSE) * (1 - G779))</f>
        <v>811.34999999999991</v>
      </c>
      <c r="J779" s="10"/>
    </row>
    <row r="780" spans="1:10" ht="15.75" customHeight="1" x14ac:dyDescent="0.3">
      <c r="A780" s="5" t="s">
        <v>1647</v>
      </c>
      <c r="B780" s="11">
        <v>45524</v>
      </c>
      <c r="C780" s="5" t="s">
        <v>652</v>
      </c>
      <c r="D780" s="5" t="s">
        <v>74</v>
      </c>
      <c r="E780" s="5" t="s">
        <v>37</v>
      </c>
      <c r="F780" s="5">
        <v>4</v>
      </c>
      <c r="G780" s="19">
        <v>0.15</v>
      </c>
      <c r="H780" s="5" t="s">
        <v>776</v>
      </c>
      <c r="I780" s="10">
        <f>IF(OR(D780="", F780=""), "", F780 * VLOOKUP(D780, Products!A:E, 5, FALSE) * (1 - G780))</f>
        <v>4060.0079999999994</v>
      </c>
      <c r="J780" s="10"/>
    </row>
    <row r="781" spans="1:10" ht="15.75" customHeight="1" x14ac:dyDescent="0.3">
      <c r="A781" s="5" t="s">
        <v>1648</v>
      </c>
      <c r="B781" s="11">
        <v>45637</v>
      </c>
      <c r="C781" s="5" t="s">
        <v>450</v>
      </c>
      <c r="D781" s="5" t="s">
        <v>140</v>
      </c>
      <c r="E781" s="5" t="s">
        <v>25</v>
      </c>
      <c r="F781" s="5">
        <v>3</v>
      </c>
      <c r="G781" s="19">
        <v>0</v>
      </c>
      <c r="H781" s="5" t="s">
        <v>776</v>
      </c>
      <c r="I781" s="10">
        <f>IF(OR(D781="", F781=""), "", F781 * VLOOKUP(D781, Products!A:E, 5, FALSE) * (1 - G781))</f>
        <v>76.710000000000008</v>
      </c>
      <c r="J781" s="10"/>
    </row>
    <row r="782" spans="1:10" ht="15.75" customHeight="1" x14ac:dyDescent="0.3">
      <c r="A782" s="5" t="s">
        <v>1649</v>
      </c>
      <c r="B782" s="11">
        <v>45871</v>
      </c>
      <c r="C782" s="5" t="s">
        <v>322</v>
      </c>
      <c r="D782" s="5" t="s">
        <v>115</v>
      </c>
      <c r="E782" s="5" t="s">
        <v>37</v>
      </c>
      <c r="F782" s="5">
        <v>5</v>
      </c>
      <c r="G782" s="19">
        <v>0</v>
      </c>
      <c r="H782" s="5" t="s">
        <v>776</v>
      </c>
      <c r="I782" s="10">
        <f>IF(OR(D782="", F782=""), "", F782 * VLOOKUP(D782, Products!A:E, 5, FALSE) * (1 - G782))</f>
        <v>6230.5499999999993</v>
      </c>
      <c r="J782" s="10"/>
    </row>
    <row r="783" spans="1:10" ht="15.75" customHeight="1" x14ac:dyDescent="0.3">
      <c r="A783" s="5" t="s">
        <v>1650</v>
      </c>
      <c r="B783" s="11">
        <v>45711</v>
      </c>
      <c r="C783" s="5" t="s">
        <v>365</v>
      </c>
      <c r="D783" s="5" t="s">
        <v>267</v>
      </c>
      <c r="E783" s="5" t="s">
        <v>25</v>
      </c>
      <c r="F783" s="5">
        <v>4</v>
      </c>
      <c r="G783" s="19">
        <v>0</v>
      </c>
      <c r="H783" s="5" t="s">
        <v>697</v>
      </c>
      <c r="I783" s="10">
        <f>IF(OR(D783="", F783=""), "", F783 * VLOOKUP(D783, Products!A:E, 5, FALSE) * (1 - G783))</f>
        <v>5146.2</v>
      </c>
      <c r="J783" s="10"/>
    </row>
    <row r="784" spans="1:10" ht="15.75" customHeight="1" x14ac:dyDescent="0.3">
      <c r="A784" s="5" t="s">
        <v>1651</v>
      </c>
      <c r="B784" s="11">
        <v>45482</v>
      </c>
      <c r="C784" s="5" t="s">
        <v>674</v>
      </c>
      <c r="D784" s="5" t="s">
        <v>168</v>
      </c>
      <c r="E784" s="5" t="s">
        <v>33</v>
      </c>
      <c r="F784" s="5">
        <v>1</v>
      </c>
      <c r="G784" s="19">
        <v>0.05</v>
      </c>
      <c r="H784" s="5" t="s">
        <v>776</v>
      </c>
      <c r="I784" s="10">
        <f>IF(OR(D784="", F784=""), "", F784 * VLOOKUP(D784, Products!A:E, 5, FALSE) * (1 - G784))</f>
        <v>964.97199999999998</v>
      </c>
      <c r="J784" s="10"/>
    </row>
    <row r="785" spans="1:10" ht="15.75" customHeight="1" x14ac:dyDescent="0.3">
      <c r="A785" s="5" t="s">
        <v>1652</v>
      </c>
      <c r="B785" s="11">
        <v>45835</v>
      </c>
      <c r="C785" s="5" t="s">
        <v>604</v>
      </c>
      <c r="D785" s="5" t="s">
        <v>237</v>
      </c>
      <c r="E785" s="5" t="s">
        <v>29</v>
      </c>
      <c r="F785" s="5">
        <v>1</v>
      </c>
      <c r="G785" s="19">
        <v>0</v>
      </c>
      <c r="H785" s="5" t="s">
        <v>776</v>
      </c>
      <c r="I785" s="10">
        <f>IF(OR(D785="", F785=""), "", F785 * VLOOKUP(D785, Products!A:E, 5, FALSE) * (1 - G785))</f>
        <v>366.93</v>
      </c>
      <c r="J785" s="10"/>
    </row>
    <row r="786" spans="1:10" ht="15.75" customHeight="1" x14ac:dyDescent="0.3">
      <c r="A786" s="5" t="s">
        <v>1653</v>
      </c>
      <c r="B786" s="11">
        <v>45431</v>
      </c>
      <c r="C786" s="5" t="s">
        <v>159</v>
      </c>
      <c r="D786" s="5" t="s">
        <v>67</v>
      </c>
      <c r="E786" s="5" t="s">
        <v>25</v>
      </c>
      <c r="F786" s="5">
        <v>3</v>
      </c>
      <c r="G786" s="19">
        <v>0</v>
      </c>
      <c r="H786" s="5" t="s">
        <v>697</v>
      </c>
      <c r="I786" s="10">
        <f>IF(OR(D786="", F786=""), "", F786 * VLOOKUP(D786, Products!A:E, 5, FALSE) * (1 - G786))</f>
        <v>329.34000000000003</v>
      </c>
      <c r="J786" s="10"/>
    </row>
    <row r="787" spans="1:10" ht="15.75" customHeight="1" x14ac:dyDescent="0.3">
      <c r="A787" s="5" t="s">
        <v>1654</v>
      </c>
      <c r="B787" s="11">
        <v>45443</v>
      </c>
      <c r="C787" s="5" t="s">
        <v>416</v>
      </c>
      <c r="D787" s="5" t="s">
        <v>285</v>
      </c>
      <c r="E787" s="5" t="s">
        <v>33</v>
      </c>
      <c r="F787" s="5">
        <v>4</v>
      </c>
      <c r="G787" s="19">
        <v>0.15</v>
      </c>
      <c r="H787" s="5" t="s">
        <v>637</v>
      </c>
      <c r="I787" s="10">
        <f>IF(OR(D787="", F787=""), "", F787 * VLOOKUP(D787, Products!A:E, 5, FALSE) * (1 - G787))</f>
        <v>1320.0839999999998</v>
      </c>
      <c r="J787" s="10"/>
    </row>
    <row r="788" spans="1:10" ht="15.75" customHeight="1" x14ac:dyDescent="0.3">
      <c r="A788" s="5" t="s">
        <v>1655</v>
      </c>
      <c r="B788" s="11">
        <v>45846</v>
      </c>
      <c r="C788" s="5" t="s">
        <v>579</v>
      </c>
      <c r="D788" s="5" t="s">
        <v>65</v>
      </c>
      <c r="E788" s="5" t="s">
        <v>29</v>
      </c>
      <c r="F788" s="5">
        <v>1</v>
      </c>
      <c r="G788" s="19">
        <v>0.15</v>
      </c>
      <c r="H788" s="5" t="s">
        <v>776</v>
      </c>
      <c r="I788" s="10">
        <f>IF(OR(D788="", F788=""), "", F788 * VLOOKUP(D788, Products!A:E, 5, FALSE) * (1 - G788))</f>
        <v>1253.002</v>
      </c>
      <c r="J788" s="10"/>
    </row>
    <row r="789" spans="1:10" ht="15.75" customHeight="1" x14ac:dyDescent="0.3">
      <c r="A789" s="5" t="s">
        <v>1656</v>
      </c>
      <c r="B789" s="11">
        <v>45321</v>
      </c>
      <c r="C789" s="5" t="s">
        <v>671</v>
      </c>
      <c r="D789" s="5" t="s">
        <v>140</v>
      </c>
      <c r="E789" s="5" t="s">
        <v>21</v>
      </c>
      <c r="F789" s="5">
        <v>5</v>
      </c>
      <c r="G789" s="19">
        <v>0</v>
      </c>
      <c r="H789" s="5" t="s">
        <v>776</v>
      </c>
      <c r="I789" s="10">
        <f>IF(OR(D789="", F789=""), "", F789 * VLOOKUP(D789, Products!A:E, 5, FALSE) * (1 - G789))</f>
        <v>127.85</v>
      </c>
      <c r="J789" s="10"/>
    </row>
    <row r="790" spans="1:10" ht="15.75" customHeight="1" x14ac:dyDescent="0.3">
      <c r="A790" s="5" t="s">
        <v>1657</v>
      </c>
      <c r="B790" s="11">
        <v>45263</v>
      </c>
      <c r="C790" s="5" t="s">
        <v>811</v>
      </c>
      <c r="D790" s="5" t="s">
        <v>193</v>
      </c>
      <c r="E790" s="5" t="s">
        <v>21</v>
      </c>
      <c r="F790" s="5">
        <v>3</v>
      </c>
      <c r="G790" s="19">
        <v>0</v>
      </c>
      <c r="H790" s="5" t="s">
        <v>454</v>
      </c>
      <c r="I790" s="10">
        <f>IF(OR(D790="", F790=""), "", F790 * VLOOKUP(D790, Products!A:E, 5, FALSE) * (1 - G790))</f>
        <v>87.72</v>
      </c>
      <c r="J790" s="10"/>
    </row>
    <row r="791" spans="1:10" ht="15.75" customHeight="1" x14ac:dyDescent="0.3">
      <c r="A791" s="5" t="s">
        <v>1658</v>
      </c>
      <c r="B791" s="11">
        <v>45744</v>
      </c>
      <c r="C791" s="5" t="s">
        <v>800</v>
      </c>
      <c r="D791" s="5" t="s">
        <v>67</v>
      </c>
      <c r="E791" s="5" t="s">
        <v>29</v>
      </c>
      <c r="F791" s="5">
        <v>5</v>
      </c>
      <c r="G791" s="19">
        <v>0</v>
      </c>
      <c r="H791" s="5" t="s">
        <v>454</v>
      </c>
      <c r="I791" s="10">
        <f>IF(OR(D791="", F791=""), "", F791 * VLOOKUP(D791, Products!A:E, 5, FALSE) * (1 - G791))</f>
        <v>548.9</v>
      </c>
      <c r="J791" s="10"/>
    </row>
    <row r="792" spans="1:10" ht="15.75" customHeight="1" x14ac:dyDescent="0.3">
      <c r="A792" s="5" t="s">
        <v>1659</v>
      </c>
      <c r="B792" s="11">
        <v>45739</v>
      </c>
      <c r="C792" s="5" t="s">
        <v>865</v>
      </c>
      <c r="D792" s="5" t="s">
        <v>291</v>
      </c>
      <c r="E792" s="5" t="s">
        <v>33</v>
      </c>
      <c r="F792" s="5">
        <v>4</v>
      </c>
      <c r="G792" s="19">
        <v>0.15</v>
      </c>
      <c r="H792" s="5" t="s">
        <v>776</v>
      </c>
      <c r="I792" s="10">
        <f>IF(OR(D792="", F792=""), "", F792 * VLOOKUP(D792, Products!A:E, 5, FALSE) * (1 - G792))</f>
        <v>3551.7760000000003</v>
      </c>
      <c r="J792" s="10"/>
    </row>
    <row r="793" spans="1:10" ht="15.75" customHeight="1" x14ac:dyDescent="0.3">
      <c r="A793" s="5" t="s">
        <v>1660</v>
      </c>
      <c r="B793" s="11">
        <v>45632</v>
      </c>
      <c r="C793" s="5" t="s">
        <v>618</v>
      </c>
      <c r="D793" s="5" t="s">
        <v>285</v>
      </c>
      <c r="E793" s="5" t="s">
        <v>25</v>
      </c>
      <c r="F793" s="5">
        <v>5</v>
      </c>
      <c r="G793" s="19">
        <v>0.05</v>
      </c>
      <c r="H793" s="5" t="s">
        <v>697</v>
      </c>
      <c r="I793" s="10">
        <f>IF(OR(D793="", F793=""), "", F793 * VLOOKUP(D793, Products!A:E, 5, FALSE) * (1 - G793))</f>
        <v>1844.2349999999999</v>
      </c>
      <c r="J793" s="10"/>
    </row>
    <row r="794" spans="1:10" ht="15.75" customHeight="1" x14ac:dyDescent="0.3">
      <c r="A794" s="5" t="s">
        <v>1661</v>
      </c>
      <c r="B794" s="11">
        <v>45631</v>
      </c>
      <c r="C794" s="5" t="s">
        <v>854</v>
      </c>
      <c r="D794" s="5" t="s">
        <v>175</v>
      </c>
      <c r="E794" s="5" t="s">
        <v>33</v>
      </c>
      <c r="F794" s="5">
        <v>5</v>
      </c>
      <c r="G794" s="19">
        <v>0.1</v>
      </c>
      <c r="H794" s="5" t="s">
        <v>697</v>
      </c>
      <c r="I794" s="10">
        <f>IF(OR(D794="", F794=""), "", F794 * VLOOKUP(D794, Products!A:E, 5, FALSE) * (1 - G794))</f>
        <v>5725.0349999999999</v>
      </c>
      <c r="J794" s="10"/>
    </row>
    <row r="795" spans="1:10" ht="15.75" customHeight="1" x14ac:dyDescent="0.3">
      <c r="A795" s="5" t="s">
        <v>1662</v>
      </c>
      <c r="B795" s="11">
        <v>45537</v>
      </c>
      <c r="C795" s="5" t="s">
        <v>455</v>
      </c>
      <c r="D795" s="5" t="s">
        <v>103</v>
      </c>
      <c r="E795" s="5" t="s">
        <v>29</v>
      </c>
      <c r="F795" s="5">
        <v>1</v>
      </c>
      <c r="G795" s="19">
        <v>0.05</v>
      </c>
      <c r="H795" s="5" t="s">
        <v>776</v>
      </c>
      <c r="I795" s="10">
        <f>IF(OR(D795="", F795=""), "", F795 * VLOOKUP(D795, Products!A:E, 5, FALSE) * (1 - G795))</f>
        <v>256.92749999999995</v>
      </c>
      <c r="J795" s="10"/>
    </row>
    <row r="796" spans="1:10" ht="15.75" customHeight="1" x14ac:dyDescent="0.3">
      <c r="A796" s="5" t="s">
        <v>1663</v>
      </c>
      <c r="B796" s="11">
        <v>45377</v>
      </c>
      <c r="C796" s="5" t="s">
        <v>144</v>
      </c>
      <c r="D796" s="5" t="s">
        <v>285</v>
      </c>
      <c r="E796" s="5" t="s">
        <v>21</v>
      </c>
      <c r="F796" s="5">
        <v>5</v>
      </c>
      <c r="G796" s="19">
        <v>0.15</v>
      </c>
      <c r="H796" s="5" t="s">
        <v>776</v>
      </c>
      <c r="I796" s="10">
        <f>IF(OR(D796="", F796=""), "", F796 * VLOOKUP(D796, Products!A:E, 5, FALSE) * (1 - G796))</f>
        <v>1650.105</v>
      </c>
      <c r="J796" s="10"/>
    </row>
    <row r="797" spans="1:10" ht="15.75" customHeight="1" x14ac:dyDescent="0.3">
      <c r="A797" s="5" t="s">
        <v>1664</v>
      </c>
      <c r="B797" s="11">
        <v>45202</v>
      </c>
      <c r="C797" s="5" t="s">
        <v>462</v>
      </c>
      <c r="D797" s="5" t="s">
        <v>95</v>
      </c>
      <c r="E797" s="5" t="s">
        <v>25</v>
      </c>
      <c r="F797" s="5">
        <v>3</v>
      </c>
      <c r="G797" s="19">
        <v>0.05</v>
      </c>
      <c r="H797" s="5" t="s">
        <v>637</v>
      </c>
      <c r="I797" s="10">
        <f>IF(OR(D797="", F797=""), "", F797 * VLOOKUP(D797, Products!A:E, 5, FALSE) * (1 - G797))</f>
        <v>3826.8374999999996</v>
      </c>
      <c r="J797" s="10"/>
    </row>
    <row r="798" spans="1:10" ht="15.75" customHeight="1" x14ac:dyDescent="0.3">
      <c r="A798" s="5" t="s">
        <v>1665</v>
      </c>
      <c r="B798" s="11">
        <v>45189</v>
      </c>
      <c r="C798" s="5" t="s">
        <v>766</v>
      </c>
      <c r="D798" s="5" t="s">
        <v>232</v>
      </c>
      <c r="E798" s="5" t="s">
        <v>37</v>
      </c>
      <c r="F798" s="5">
        <v>2</v>
      </c>
      <c r="G798" s="19">
        <v>0.05</v>
      </c>
      <c r="H798" s="5" t="s">
        <v>697</v>
      </c>
      <c r="I798" s="10">
        <f>IF(OR(D798="", F798=""), "", F798 * VLOOKUP(D798, Products!A:E, 5, FALSE) * (1 - G798))</f>
        <v>3710.0349999999999</v>
      </c>
      <c r="J798" s="10"/>
    </row>
    <row r="799" spans="1:10" ht="15.75" customHeight="1" x14ac:dyDescent="0.3">
      <c r="A799" s="5" t="s">
        <v>1666</v>
      </c>
      <c r="B799" s="11">
        <v>45868</v>
      </c>
      <c r="C799" s="5" t="s">
        <v>376</v>
      </c>
      <c r="D799" s="5" t="s">
        <v>57</v>
      </c>
      <c r="E799" s="5" t="s">
        <v>37</v>
      </c>
      <c r="F799" s="5">
        <v>3</v>
      </c>
      <c r="G799" s="19">
        <v>0.05</v>
      </c>
      <c r="H799" s="5" t="s">
        <v>776</v>
      </c>
      <c r="I799" s="10">
        <f>IF(OR(D799="", F799=""), "", F799 * VLOOKUP(D799, Products!A:E, 5, FALSE) * (1 - G799))</f>
        <v>3979.2269999999999</v>
      </c>
      <c r="J799" s="10"/>
    </row>
    <row r="800" spans="1:10" ht="15.75" customHeight="1" x14ac:dyDescent="0.3">
      <c r="A800" s="5" t="s">
        <v>1667</v>
      </c>
      <c r="B800" s="11">
        <v>45692</v>
      </c>
      <c r="C800" s="5" t="s">
        <v>338</v>
      </c>
      <c r="D800" s="5" t="s">
        <v>47</v>
      </c>
      <c r="E800" s="5" t="s">
        <v>37</v>
      </c>
      <c r="F800" s="5">
        <v>1</v>
      </c>
      <c r="G800" s="19">
        <v>0.15</v>
      </c>
      <c r="H800" s="5" t="s">
        <v>776</v>
      </c>
      <c r="I800" s="10">
        <f>IF(OR(D800="", F800=""), "", F800 * VLOOKUP(D800, Products!A:E, 5, FALSE) * (1 - G800))</f>
        <v>695.94600000000003</v>
      </c>
      <c r="J800" s="10"/>
    </row>
    <row r="801" spans="1:10" ht="15.75" customHeight="1" x14ac:dyDescent="0.3">
      <c r="A801" s="5" t="s">
        <v>1668</v>
      </c>
      <c r="B801" s="11">
        <v>45405</v>
      </c>
      <c r="C801" s="5" t="s">
        <v>447</v>
      </c>
      <c r="D801" s="5" t="s">
        <v>89</v>
      </c>
      <c r="E801" s="5" t="s">
        <v>21</v>
      </c>
      <c r="F801" s="5">
        <v>3</v>
      </c>
      <c r="G801" s="19">
        <v>0</v>
      </c>
      <c r="H801" s="5" t="s">
        <v>697</v>
      </c>
      <c r="I801" s="10">
        <f>IF(OR(D801="", F801=""), "", F801 * VLOOKUP(D801, Products!A:E, 5, FALSE) * (1 - G801))</f>
        <v>3404.3999999999996</v>
      </c>
      <c r="J801" s="10"/>
    </row>
    <row r="802" spans="1:10" ht="15.75" customHeight="1" x14ac:dyDescent="0.3">
      <c r="A802" s="5" t="s">
        <v>1669</v>
      </c>
      <c r="B802" s="11">
        <v>45327</v>
      </c>
      <c r="C802" s="5" t="s">
        <v>833</v>
      </c>
      <c r="D802" s="5" t="s">
        <v>188</v>
      </c>
      <c r="E802" s="5" t="s">
        <v>37</v>
      </c>
      <c r="F802" s="5">
        <v>4</v>
      </c>
      <c r="G802" s="19">
        <v>0.1</v>
      </c>
      <c r="H802" s="5" t="s">
        <v>454</v>
      </c>
      <c r="I802" s="10">
        <f>IF(OR(D802="", F802=""), "", F802 * VLOOKUP(D802, Products!A:E, 5, FALSE) * (1 - G802))</f>
        <v>5346.18</v>
      </c>
      <c r="J802" s="10"/>
    </row>
    <row r="803" spans="1:10" ht="15.75" customHeight="1" x14ac:dyDescent="0.3">
      <c r="A803" s="5" t="s">
        <v>1670</v>
      </c>
      <c r="B803" s="11">
        <v>45783</v>
      </c>
      <c r="C803" s="5" t="s">
        <v>274</v>
      </c>
      <c r="D803" s="5" t="s">
        <v>115</v>
      </c>
      <c r="E803" s="5" t="s">
        <v>25</v>
      </c>
      <c r="F803" s="5">
        <v>1</v>
      </c>
      <c r="G803" s="19">
        <v>0.1</v>
      </c>
      <c r="H803" s="5" t="s">
        <v>776</v>
      </c>
      <c r="I803" s="10">
        <f>IF(OR(D803="", F803=""), "", F803 * VLOOKUP(D803, Products!A:E, 5, FALSE) * (1 - G803))</f>
        <v>1121.499</v>
      </c>
      <c r="J803" s="10"/>
    </row>
    <row r="804" spans="1:10" ht="15.75" customHeight="1" x14ac:dyDescent="0.3">
      <c r="A804" s="5" t="s">
        <v>1671</v>
      </c>
      <c r="B804" s="11">
        <v>45197</v>
      </c>
      <c r="C804" s="5" t="s">
        <v>350</v>
      </c>
      <c r="D804" s="5" t="s">
        <v>175</v>
      </c>
      <c r="E804" s="5" t="s">
        <v>29</v>
      </c>
      <c r="F804" s="5">
        <v>4</v>
      </c>
      <c r="G804" s="19">
        <v>0.15</v>
      </c>
      <c r="H804" s="5" t="s">
        <v>454</v>
      </c>
      <c r="I804" s="10">
        <f>IF(OR(D804="", F804=""), "", F804 * VLOOKUP(D804, Products!A:E, 5, FALSE) * (1 - G804))</f>
        <v>4325.5820000000003</v>
      </c>
      <c r="J804" s="10"/>
    </row>
    <row r="805" spans="1:10" ht="15.75" customHeight="1" x14ac:dyDescent="0.3">
      <c r="A805" s="5" t="s">
        <v>1672</v>
      </c>
      <c r="B805" s="11">
        <v>45837</v>
      </c>
      <c r="C805" s="5" t="s">
        <v>740</v>
      </c>
      <c r="D805" s="5" t="s">
        <v>175</v>
      </c>
      <c r="E805" s="5" t="s">
        <v>29</v>
      </c>
      <c r="F805" s="5">
        <v>5</v>
      </c>
      <c r="G805" s="19">
        <v>0.05</v>
      </c>
      <c r="H805" s="5" t="s">
        <v>454</v>
      </c>
      <c r="I805" s="10">
        <f>IF(OR(D805="", F805=""), "", F805 * VLOOKUP(D805, Products!A:E, 5, FALSE) * (1 - G805))</f>
        <v>6043.0924999999997</v>
      </c>
      <c r="J805" s="10"/>
    </row>
    <row r="806" spans="1:10" ht="15.75" customHeight="1" x14ac:dyDescent="0.3">
      <c r="A806" s="5" t="s">
        <v>1673</v>
      </c>
      <c r="B806" s="11">
        <v>45205</v>
      </c>
      <c r="C806" s="5" t="s">
        <v>470</v>
      </c>
      <c r="D806" s="5" t="s">
        <v>280</v>
      </c>
      <c r="E806" s="5" t="s">
        <v>33</v>
      </c>
      <c r="F806" s="5">
        <v>2</v>
      </c>
      <c r="G806" s="19">
        <v>0</v>
      </c>
      <c r="H806" s="5" t="s">
        <v>454</v>
      </c>
      <c r="I806" s="10">
        <f>IF(OR(D806="", F806=""), "", F806 * VLOOKUP(D806, Products!A:E, 5, FALSE) * (1 - G806))</f>
        <v>2432.7199999999998</v>
      </c>
      <c r="J806" s="10"/>
    </row>
    <row r="807" spans="1:10" ht="15.75" customHeight="1" x14ac:dyDescent="0.3">
      <c r="A807" s="5" t="s">
        <v>1674</v>
      </c>
      <c r="B807" s="11">
        <v>45835</v>
      </c>
      <c r="C807" s="5" t="s">
        <v>405</v>
      </c>
      <c r="D807" s="5" t="s">
        <v>256</v>
      </c>
      <c r="E807" s="5" t="s">
        <v>25</v>
      </c>
      <c r="F807" s="5">
        <v>4</v>
      </c>
      <c r="G807" s="19">
        <v>0.1</v>
      </c>
      <c r="H807" s="5" t="s">
        <v>454</v>
      </c>
      <c r="I807" s="10">
        <f>IF(OR(D807="", F807=""), "", F807 * VLOOKUP(D807, Products!A:E, 5, FALSE) * (1 - G807))</f>
        <v>5886.0360000000001</v>
      </c>
      <c r="J807" s="10"/>
    </row>
    <row r="808" spans="1:10" ht="15.75" customHeight="1" x14ac:dyDescent="0.3">
      <c r="A808" s="5" t="s">
        <v>1675</v>
      </c>
      <c r="B808" s="11">
        <v>45600</v>
      </c>
      <c r="C808" s="5" t="s">
        <v>286</v>
      </c>
      <c r="D808" s="5" t="s">
        <v>291</v>
      </c>
      <c r="E808" s="5" t="s">
        <v>29</v>
      </c>
      <c r="F808" s="5">
        <v>4</v>
      </c>
      <c r="G808" s="19">
        <v>0.15</v>
      </c>
      <c r="H808" s="5" t="s">
        <v>637</v>
      </c>
      <c r="I808" s="10">
        <f>IF(OR(D808="", F808=""), "", F808 * VLOOKUP(D808, Products!A:E, 5, FALSE) * (1 - G808))</f>
        <v>3551.7760000000003</v>
      </c>
      <c r="J808" s="10"/>
    </row>
    <row r="809" spans="1:10" ht="15.75" customHeight="1" x14ac:dyDescent="0.3">
      <c r="A809" s="5" t="s">
        <v>1676</v>
      </c>
      <c r="B809" s="11">
        <v>45369</v>
      </c>
      <c r="C809" s="5" t="s">
        <v>511</v>
      </c>
      <c r="D809" s="5" t="s">
        <v>61</v>
      </c>
      <c r="E809" s="5" t="s">
        <v>29</v>
      </c>
      <c r="F809" s="5">
        <v>4</v>
      </c>
      <c r="G809" s="19">
        <v>0</v>
      </c>
      <c r="H809" s="5" t="s">
        <v>697</v>
      </c>
      <c r="I809" s="10">
        <f>IF(OR(D809="", F809=""), "", F809 * VLOOKUP(D809, Products!A:E, 5, FALSE) * (1 - G809))</f>
        <v>1272.2</v>
      </c>
      <c r="J809" s="10"/>
    </row>
    <row r="810" spans="1:10" ht="15.75" customHeight="1" x14ac:dyDescent="0.3">
      <c r="A810" s="5" t="s">
        <v>1677</v>
      </c>
      <c r="B810" s="11">
        <v>45819</v>
      </c>
      <c r="C810" s="5" t="s">
        <v>766</v>
      </c>
      <c r="D810" s="5" t="s">
        <v>256</v>
      </c>
      <c r="E810" s="5" t="s">
        <v>37</v>
      </c>
      <c r="F810" s="5">
        <v>1</v>
      </c>
      <c r="G810" s="19">
        <v>0.1</v>
      </c>
      <c r="H810" s="5" t="s">
        <v>697</v>
      </c>
      <c r="I810" s="10">
        <f>IF(OR(D810="", F810=""), "", F810 * VLOOKUP(D810, Products!A:E, 5, FALSE) * (1 - G810))</f>
        <v>1471.509</v>
      </c>
      <c r="J810" s="10"/>
    </row>
    <row r="811" spans="1:10" ht="15.75" customHeight="1" x14ac:dyDescent="0.3">
      <c r="A811" s="5" t="s">
        <v>1678</v>
      </c>
      <c r="B811" s="11">
        <v>45749</v>
      </c>
      <c r="C811" s="5" t="s">
        <v>674</v>
      </c>
      <c r="D811" s="5" t="s">
        <v>67</v>
      </c>
      <c r="E811" s="5" t="s">
        <v>25</v>
      </c>
      <c r="F811" s="5">
        <v>3</v>
      </c>
      <c r="G811" s="19">
        <v>0</v>
      </c>
      <c r="H811" s="5" t="s">
        <v>776</v>
      </c>
      <c r="I811" s="10">
        <f>IF(OR(D811="", F811=""), "", F811 * VLOOKUP(D811, Products!A:E, 5, FALSE) * (1 - G811))</f>
        <v>329.34000000000003</v>
      </c>
      <c r="J811" s="10"/>
    </row>
    <row r="812" spans="1:10" ht="15.75" customHeight="1" x14ac:dyDescent="0.3">
      <c r="A812" s="5" t="s">
        <v>1679</v>
      </c>
      <c r="B812" s="11">
        <v>45571</v>
      </c>
      <c r="C812" s="5" t="s">
        <v>100</v>
      </c>
      <c r="D812" s="5" t="s">
        <v>206</v>
      </c>
      <c r="E812" s="5" t="s">
        <v>37</v>
      </c>
      <c r="F812" s="5">
        <v>1</v>
      </c>
      <c r="G812" s="19">
        <v>0.15</v>
      </c>
      <c r="H812" s="5" t="s">
        <v>697</v>
      </c>
      <c r="I812" s="10">
        <f>IF(OR(D812="", F812=""), "", F812 * VLOOKUP(D812, Products!A:E, 5, FALSE) * (1 - G812))</f>
        <v>259.00349999999997</v>
      </c>
      <c r="J812" s="10"/>
    </row>
    <row r="813" spans="1:10" ht="15.75" customHeight="1" x14ac:dyDescent="0.3">
      <c r="A813" s="5" t="s">
        <v>1680</v>
      </c>
      <c r="B813" s="11">
        <v>45413</v>
      </c>
      <c r="C813" s="5" t="s">
        <v>137</v>
      </c>
      <c r="D813" s="5" t="s">
        <v>128</v>
      </c>
      <c r="E813" s="5" t="s">
        <v>37</v>
      </c>
      <c r="F813" s="5">
        <v>3</v>
      </c>
      <c r="G813" s="19">
        <v>0.15</v>
      </c>
      <c r="H813" s="5" t="s">
        <v>697</v>
      </c>
      <c r="I813" s="10">
        <f>IF(OR(D813="", F813=""), "", F813 * VLOOKUP(D813, Products!A:E, 5, FALSE) * (1 - G813))</f>
        <v>825.99599999999998</v>
      </c>
      <c r="J813" s="10"/>
    </row>
    <row r="814" spans="1:10" ht="15.75" customHeight="1" x14ac:dyDescent="0.3">
      <c r="A814" s="5" t="s">
        <v>1681</v>
      </c>
      <c r="B814" s="11">
        <v>45289</v>
      </c>
      <c r="C814" s="5" t="s">
        <v>519</v>
      </c>
      <c r="D814" s="5" t="s">
        <v>221</v>
      </c>
      <c r="E814" s="5" t="s">
        <v>33</v>
      </c>
      <c r="F814" s="5">
        <v>2</v>
      </c>
      <c r="G814" s="19">
        <v>0.1</v>
      </c>
      <c r="H814" s="5" t="s">
        <v>697</v>
      </c>
      <c r="I814" s="10">
        <f>IF(OR(D814="", F814=""), "", F814 * VLOOKUP(D814, Products!A:E, 5, FALSE) * (1 - G814))</f>
        <v>2812.3740000000003</v>
      </c>
      <c r="J814" s="10"/>
    </row>
    <row r="815" spans="1:10" ht="15.75" customHeight="1" x14ac:dyDescent="0.3">
      <c r="A815" s="5" t="s">
        <v>1682</v>
      </c>
      <c r="B815" s="11">
        <v>45335</v>
      </c>
      <c r="C815" s="5" t="s">
        <v>608</v>
      </c>
      <c r="D815" s="5" t="s">
        <v>249</v>
      </c>
      <c r="E815" s="5" t="s">
        <v>37</v>
      </c>
      <c r="F815" s="5">
        <v>5</v>
      </c>
      <c r="G815" s="19">
        <v>0</v>
      </c>
      <c r="H815" s="5" t="s">
        <v>637</v>
      </c>
      <c r="I815" s="10">
        <f>IF(OR(D815="", F815=""), "", F815 * VLOOKUP(D815, Products!A:E, 5, FALSE) * (1 - G815))</f>
        <v>8728.0499999999993</v>
      </c>
      <c r="J815" s="10"/>
    </row>
    <row r="816" spans="1:10" ht="15.75" customHeight="1" x14ac:dyDescent="0.3">
      <c r="A816" s="5" t="s">
        <v>1683</v>
      </c>
      <c r="B816" s="11">
        <v>45673</v>
      </c>
      <c r="C816" s="5" t="s">
        <v>519</v>
      </c>
      <c r="D816" s="5" t="s">
        <v>54</v>
      </c>
      <c r="E816" s="5" t="s">
        <v>37</v>
      </c>
      <c r="F816" s="5">
        <v>1</v>
      </c>
      <c r="G816" s="19">
        <v>0.05</v>
      </c>
      <c r="H816" s="5" t="s">
        <v>697</v>
      </c>
      <c r="I816" s="10">
        <f>IF(OR(D816="", F816=""), "", F816 * VLOOKUP(D816, Products!A:E, 5, FALSE) * (1 - G816))</f>
        <v>1761.0815</v>
      </c>
      <c r="J816" s="10"/>
    </row>
    <row r="817" spans="1:10" ht="15.75" customHeight="1" x14ac:dyDescent="0.3">
      <c r="A817" s="5" t="s">
        <v>1684</v>
      </c>
      <c r="B817" s="11">
        <v>45517</v>
      </c>
      <c r="C817" s="5" t="s">
        <v>859</v>
      </c>
      <c r="D817" s="5" t="s">
        <v>109</v>
      </c>
      <c r="E817" s="5" t="s">
        <v>37</v>
      </c>
      <c r="F817" s="5">
        <v>2</v>
      </c>
      <c r="G817" s="19">
        <v>0.15</v>
      </c>
      <c r="H817" s="5" t="s">
        <v>697</v>
      </c>
      <c r="I817" s="10">
        <f>IF(OR(D817="", F817=""), "", F817 * VLOOKUP(D817, Products!A:E, 5, FALSE) * (1 - G817))</f>
        <v>3159.875</v>
      </c>
      <c r="J817" s="10"/>
    </row>
    <row r="818" spans="1:10" ht="15.75" customHeight="1" x14ac:dyDescent="0.3">
      <c r="A818" s="5" t="s">
        <v>1685</v>
      </c>
      <c r="B818" s="11">
        <v>45789</v>
      </c>
      <c r="C818" s="5" t="s">
        <v>334</v>
      </c>
      <c r="D818" s="5" t="s">
        <v>57</v>
      </c>
      <c r="E818" s="5" t="s">
        <v>37</v>
      </c>
      <c r="F818" s="5">
        <v>5</v>
      </c>
      <c r="G818" s="19">
        <v>0.05</v>
      </c>
      <c r="H818" s="5" t="s">
        <v>637</v>
      </c>
      <c r="I818" s="10">
        <f>IF(OR(D818="", F818=""), "", F818 * VLOOKUP(D818, Products!A:E, 5, FALSE) * (1 - G818))</f>
        <v>6632.0450000000001</v>
      </c>
      <c r="J818" s="10"/>
    </row>
    <row r="819" spans="1:10" ht="15.75" customHeight="1" x14ac:dyDescent="0.3">
      <c r="A819" s="5" t="s">
        <v>1686</v>
      </c>
      <c r="B819" s="11">
        <v>45604</v>
      </c>
      <c r="C819" s="5" t="s">
        <v>511</v>
      </c>
      <c r="D819" s="5" t="s">
        <v>43</v>
      </c>
      <c r="E819" s="5" t="s">
        <v>21</v>
      </c>
      <c r="F819" s="5">
        <v>2</v>
      </c>
      <c r="G819" s="19">
        <v>0.15</v>
      </c>
      <c r="H819" s="5" t="s">
        <v>697</v>
      </c>
      <c r="I819" s="10">
        <f>IF(OR(D819="", F819=""), "", F819 * VLOOKUP(D819, Products!A:E, 5, FALSE) * (1 - G819))</f>
        <v>2845.2730000000001</v>
      </c>
      <c r="J819" s="10"/>
    </row>
    <row r="820" spans="1:10" ht="15.75" customHeight="1" x14ac:dyDescent="0.3">
      <c r="A820" s="5" t="s">
        <v>1687</v>
      </c>
      <c r="B820" s="11">
        <v>45893</v>
      </c>
      <c r="C820" s="5" t="s">
        <v>177</v>
      </c>
      <c r="D820" s="5" t="s">
        <v>162</v>
      </c>
      <c r="E820" s="5" t="s">
        <v>29</v>
      </c>
      <c r="F820" s="5">
        <v>3</v>
      </c>
      <c r="G820" s="19">
        <v>0.05</v>
      </c>
      <c r="H820" s="5" t="s">
        <v>776</v>
      </c>
      <c r="I820" s="10">
        <f>IF(OR(D820="", F820=""), "", F820 * VLOOKUP(D820, Products!A:E, 5, FALSE) * (1 - G820))</f>
        <v>1223.0774999999999</v>
      </c>
      <c r="J820" s="10"/>
    </row>
    <row r="821" spans="1:10" ht="15.75" customHeight="1" x14ac:dyDescent="0.3">
      <c r="A821" s="5" t="s">
        <v>1688</v>
      </c>
      <c r="B821" s="11">
        <v>45717</v>
      </c>
      <c r="C821" s="5" t="s">
        <v>786</v>
      </c>
      <c r="D821" s="5" t="s">
        <v>272</v>
      </c>
      <c r="E821" s="5" t="s">
        <v>25</v>
      </c>
      <c r="F821" s="5">
        <v>5</v>
      </c>
      <c r="G821" s="19">
        <v>0.1</v>
      </c>
      <c r="H821" s="5" t="s">
        <v>637</v>
      </c>
      <c r="I821" s="10">
        <f>IF(OR(D821="", F821=""), "", F821 * VLOOKUP(D821, Products!A:E, 5, FALSE) * (1 - G821))</f>
        <v>5244.165</v>
      </c>
      <c r="J821" s="10"/>
    </row>
    <row r="822" spans="1:10" ht="15.75" customHeight="1" x14ac:dyDescent="0.3">
      <c r="A822" s="5" t="s">
        <v>1689</v>
      </c>
      <c r="B822" s="11">
        <v>45480</v>
      </c>
      <c r="C822" s="5" t="s">
        <v>615</v>
      </c>
      <c r="D822" s="5" t="s">
        <v>61</v>
      </c>
      <c r="E822" s="5" t="s">
        <v>33</v>
      </c>
      <c r="F822" s="5">
        <v>1</v>
      </c>
      <c r="G822" s="19">
        <v>0</v>
      </c>
      <c r="H822" s="5" t="s">
        <v>454</v>
      </c>
      <c r="I822" s="10">
        <f>IF(OR(D822="", F822=""), "", F822 * VLOOKUP(D822, Products!A:E, 5, FALSE) * (1 - G822))</f>
        <v>318.05</v>
      </c>
      <c r="J822" s="10"/>
    </row>
    <row r="823" spans="1:10" ht="15.75" customHeight="1" x14ac:dyDescent="0.3">
      <c r="A823" s="5" t="s">
        <v>1690</v>
      </c>
      <c r="B823" s="11">
        <v>45661</v>
      </c>
      <c r="C823" s="5" t="s">
        <v>235</v>
      </c>
      <c r="D823" s="5" t="s">
        <v>103</v>
      </c>
      <c r="E823" s="5" t="s">
        <v>37</v>
      </c>
      <c r="F823" s="5">
        <v>3</v>
      </c>
      <c r="G823" s="19">
        <v>0.1</v>
      </c>
      <c r="H823" s="5" t="s">
        <v>697</v>
      </c>
      <c r="I823" s="10">
        <f>IF(OR(D823="", F823=""), "", F823 * VLOOKUP(D823, Products!A:E, 5, FALSE) * (1 - G823))</f>
        <v>730.21499999999992</v>
      </c>
      <c r="J823" s="10"/>
    </row>
    <row r="824" spans="1:10" ht="15.75" customHeight="1" x14ac:dyDescent="0.3">
      <c r="A824" s="5" t="s">
        <v>1691</v>
      </c>
      <c r="B824" s="11">
        <v>45739</v>
      </c>
      <c r="C824" s="5" t="s">
        <v>528</v>
      </c>
      <c r="D824" s="5" t="s">
        <v>61</v>
      </c>
      <c r="E824" s="5" t="s">
        <v>33</v>
      </c>
      <c r="F824" s="5">
        <v>3</v>
      </c>
      <c r="G824" s="19">
        <v>0</v>
      </c>
      <c r="H824" s="5" t="s">
        <v>454</v>
      </c>
      <c r="I824" s="10">
        <f>IF(OR(D824="", F824=""), "", F824 * VLOOKUP(D824, Products!A:E, 5, FALSE) * (1 - G824))</f>
        <v>954.15000000000009</v>
      </c>
      <c r="J824" s="10"/>
    </row>
    <row r="825" spans="1:10" ht="15.75" customHeight="1" x14ac:dyDescent="0.3">
      <c r="A825" s="5" t="s">
        <v>1692</v>
      </c>
      <c r="B825" s="11">
        <v>45809</v>
      </c>
      <c r="C825" s="5" t="s">
        <v>528</v>
      </c>
      <c r="D825" s="5" t="s">
        <v>43</v>
      </c>
      <c r="E825" s="5" t="s">
        <v>25</v>
      </c>
      <c r="F825" s="5">
        <v>5</v>
      </c>
      <c r="G825" s="19">
        <v>0.15</v>
      </c>
      <c r="H825" s="5" t="s">
        <v>454</v>
      </c>
      <c r="I825" s="10">
        <f>IF(OR(D825="", F825=""), "", F825 * VLOOKUP(D825, Products!A:E, 5, FALSE) * (1 - G825))</f>
        <v>7113.1825000000008</v>
      </c>
      <c r="J825" s="10"/>
    </row>
    <row r="826" spans="1:10" ht="15.75" customHeight="1" x14ac:dyDescent="0.3">
      <c r="A826" s="5" t="s">
        <v>1693</v>
      </c>
      <c r="B826" s="11">
        <v>45346</v>
      </c>
      <c r="C826" s="5" t="s">
        <v>499</v>
      </c>
      <c r="D826" s="5" t="s">
        <v>77</v>
      </c>
      <c r="E826" s="5" t="s">
        <v>33</v>
      </c>
      <c r="F826" s="5">
        <v>4</v>
      </c>
      <c r="G826" s="19">
        <v>0</v>
      </c>
      <c r="H826" s="5" t="s">
        <v>697</v>
      </c>
      <c r="I826" s="10">
        <f>IF(OR(D826="", F826=""), "", F826 * VLOOKUP(D826, Products!A:E, 5, FALSE) * (1 - G826))</f>
        <v>994.28</v>
      </c>
      <c r="J826" s="10"/>
    </row>
    <row r="827" spans="1:10" ht="15.75" customHeight="1" x14ac:dyDescent="0.3">
      <c r="A827" s="5" t="s">
        <v>1694</v>
      </c>
      <c r="B827" s="11">
        <v>45245</v>
      </c>
      <c r="C827" s="5" t="s">
        <v>586</v>
      </c>
      <c r="D827" s="5" t="s">
        <v>237</v>
      </c>
      <c r="E827" s="5" t="s">
        <v>25</v>
      </c>
      <c r="F827" s="5">
        <v>2</v>
      </c>
      <c r="G827" s="19">
        <v>0</v>
      </c>
      <c r="H827" s="5" t="s">
        <v>454</v>
      </c>
      <c r="I827" s="10">
        <f>IF(OR(D827="", F827=""), "", F827 * VLOOKUP(D827, Products!A:E, 5, FALSE) * (1 - G827))</f>
        <v>733.86</v>
      </c>
      <c r="J827" s="10"/>
    </row>
    <row r="828" spans="1:10" ht="15.75" customHeight="1" x14ac:dyDescent="0.3">
      <c r="A828" s="5" t="s">
        <v>1695</v>
      </c>
      <c r="B828" s="11">
        <v>45713</v>
      </c>
      <c r="C828" s="5" t="s">
        <v>368</v>
      </c>
      <c r="D828" s="5" t="s">
        <v>168</v>
      </c>
      <c r="E828" s="5" t="s">
        <v>25</v>
      </c>
      <c r="F828" s="5">
        <v>2</v>
      </c>
      <c r="G828" s="19">
        <v>0.05</v>
      </c>
      <c r="H828" s="5" t="s">
        <v>454</v>
      </c>
      <c r="I828" s="10">
        <f>IF(OR(D828="", F828=""), "", F828 * VLOOKUP(D828, Products!A:E, 5, FALSE) * (1 - G828))</f>
        <v>1929.944</v>
      </c>
      <c r="J828" s="10"/>
    </row>
    <row r="829" spans="1:10" ht="15.75" customHeight="1" x14ac:dyDescent="0.3">
      <c r="A829" s="5" t="s">
        <v>1696</v>
      </c>
      <c r="B829" s="11">
        <v>45538</v>
      </c>
      <c r="C829" s="5" t="s">
        <v>729</v>
      </c>
      <c r="D829" s="5" t="s">
        <v>122</v>
      </c>
      <c r="E829" s="5" t="s">
        <v>21</v>
      </c>
      <c r="F829" s="5">
        <v>2</v>
      </c>
      <c r="G829" s="19">
        <v>0.15</v>
      </c>
      <c r="H829" s="5" t="s">
        <v>454</v>
      </c>
      <c r="I829" s="10">
        <f>IF(OR(D829="", F829=""), "", F829 * VLOOKUP(D829, Products!A:E, 5, FALSE) * (1 - G829))</f>
        <v>2996.9639999999999</v>
      </c>
      <c r="J829" s="10"/>
    </row>
    <row r="830" spans="1:10" ht="15.75" customHeight="1" x14ac:dyDescent="0.3">
      <c r="A830" s="5" t="s">
        <v>1697</v>
      </c>
      <c r="B830" s="11">
        <v>45271</v>
      </c>
      <c r="C830" s="5" t="s">
        <v>829</v>
      </c>
      <c r="D830" s="5" t="s">
        <v>134</v>
      </c>
      <c r="E830" s="5" t="s">
        <v>21</v>
      </c>
      <c r="F830" s="5">
        <v>4</v>
      </c>
      <c r="G830" s="19">
        <v>0.15</v>
      </c>
      <c r="H830" s="5" t="s">
        <v>637</v>
      </c>
      <c r="I830" s="10">
        <f>IF(OR(D830="", F830=""), "", F830 * VLOOKUP(D830, Products!A:E, 5, FALSE) * (1 - G830))</f>
        <v>4172.616</v>
      </c>
      <c r="J830" s="10"/>
    </row>
    <row r="831" spans="1:10" ht="15.75" customHeight="1" x14ac:dyDescent="0.3">
      <c r="A831" s="5" t="s">
        <v>1698</v>
      </c>
      <c r="B831" s="11">
        <v>45370</v>
      </c>
      <c r="C831" s="5" t="s">
        <v>365</v>
      </c>
      <c r="D831" s="5" t="s">
        <v>67</v>
      </c>
      <c r="E831" s="5" t="s">
        <v>37</v>
      </c>
      <c r="F831" s="5">
        <v>2</v>
      </c>
      <c r="G831" s="19">
        <v>0.15</v>
      </c>
      <c r="H831" s="5" t="s">
        <v>776</v>
      </c>
      <c r="I831" s="10">
        <f>IF(OR(D831="", F831=""), "", F831 * VLOOKUP(D831, Products!A:E, 5, FALSE) * (1 - G831))</f>
        <v>186.626</v>
      </c>
      <c r="J831" s="10"/>
    </row>
    <row r="832" spans="1:10" ht="15.75" customHeight="1" x14ac:dyDescent="0.3">
      <c r="A832" s="5" t="s">
        <v>1699</v>
      </c>
      <c r="B832" s="11">
        <v>45237</v>
      </c>
      <c r="C832" s="5" t="s">
        <v>401</v>
      </c>
      <c r="D832" s="5" t="s">
        <v>57</v>
      </c>
      <c r="E832" s="5" t="s">
        <v>21</v>
      </c>
      <c r="F832" s="5">
        <v>2</v>
      </c>
      <c r="G832" s="19">
        <v>0.05</v>
      </c>
      <c r="H832" s="5" t="s">
        <v>697</v>
      </c>
      <c r="I832" s="10">
        <f>IF(OR(D832="", F832=""), "", F832 * VLOOKUP(D832, Products!A:E, 5, FALSE) * (1 - G832))</f>
        <v>2652.8179999999998</v>
      </c>
      <c r="J832" s="10"/>
    </row>
    <row r="833" spans="1:10" ht="15.75" customHeight="1" x14ac:dyDescent="0.3">
      <c r="A833" s="5" t="s">
        <v>1700</v>
      </c>
      <c r="B833" s="11">
        <v>45773</v>
      </c>
      <c r="C833" s="5" t="s">
        <v>752</v>
      </c>
      <c r="D833" s="5" t="s">
        <v>285</v>
      </c>
      <c r="E833" s="5" t="s">
        <v>37</v>
      </c>
      <c r="F833" s="5">
        <v>1</v>
      </c>
      <c r="G833" s="19">
        <v>0.05</v>
      </c>
      <c r="H833" s="5" t="s">
        <v>776</v>
      </c>
      <c r="I833" s="10">
        <f>IF(OR(D833="", F833=""), "", F833 * VLOOKUP(D833, Products!A:E, 5, FALSE) * (1 - G833))</f>
        <v>368.84699999999998</v>
      </c>
      <c r="J833" s="10"/>
    </row>
    <row r="834" spans="1:10" ht="15.75" customHeight="1" x14ac:dyDescent="0.3">
      <c r="A834" s="5" t="s">
        <v>1701</v>
      </c>
      <c r="B834" s="11">
        <v>45581</v>
      </c>
      <c r="C834" s="5" t="s">
        <v>322</v>
      </c>
      <c r="D834" s="5" t="s">
        <v>237</v>
      </c>
      <c r="E834" s="5" t="s">
        <v>29</v>
      </c>
      <c r="F834" s="5">
        <v>2</v>
      </c>
      <c r="G834" s="19">
        <v>0.15</v>
      </c>
      <c r="H834" s="5" t="s">
        <v>776</v>
      </c>
      <c r="I834" s="10">
        <f>IF(OR(D834="", F834=""), "", F834 * VLOOKUP(D834, Products!A:E, 5, FALSE) * (1 - G834))</f>
        <v>623.78099999999995</v>
      </c>
      <c r="J834" s="10"/>
    </row>
    <row r="835" spans="1:10" ht="15.75" customHeight="1" x14ac:dyDescent="0.3">
      <c r="A835" s="5" t="s">
        <v>1702</v>
      </c>
      <c r="B835" s="11">
        <v>45844</v>
      </c>
      <c r="C835" s="5" t="s">
        <v>829</v>
      </c>
      <c r="D835" s="5" t="s">
        <v>74</v>
      </c>
      <c r="E835" s="5" t="s">
        <v>29</v>
      </c>
      <c r="F835" s="5">
        <v>1</v>
      </c>
      <c r="G835" s="19">
        <v>0.05</v>
      </c>
      <c r="H835" s="5" t="s">
        <v>637</v>
      </c>
      <c r="I835" s="10">
        <f>IF(OR(D835="", F835=""), "", F835 * VLOOKUP(D835, Products!A:E, 5, FALSE) * (1 - G835))</f>
        <v>1134.4139999999998</v>
      </c>
      <c r="J835" s="10"/>
    </row>
    <row r="836" spans="1:10" ht="15.75" customHeight="1" x14ac:dyDescent="0.3">
      <c r="A836" s="5" t="s">
        <v>1703</v>
      </c>
      <c r="B836" s="11">
        <v>45666</v>
      </c>
      <c r="C836" s="5" t="s">
        <v>733</v>
      </c>
      <c r="D836" s="5" t="s">
        <v>267</v>
      </c>
      <c r="E836" s="5" t="s">
        <v>33</v>
      </c>
      <c r="F836" s="5">
        <v>4</v>
      </c>
      <c r="G836" s="19">
        <v>0.05</v>
      </c>
      <c r="H836" s="5" t="s">
        <v>697</v>
      </c>
      <c r="I836" s="10">
        <f>IF(OR(D836="", F836=""), "", F836 * VLOOKUP(D836, Products!A:E, 5, FALSE) * (1 - G836))</f>
        <v>4888.8899999999994</v>
      </c>
      <c r="J836" s="10"/>
    </row>
    <row r="837" spans="1:10" ht="15.75" customHeight="1" x14ac:dyDescent="0.3">
      <c r="A837" s="5" t="s">
        <v>1704</v>
      </c>
      <c r="B837" s="11">
        <v>45860</v>
      </c>
      <c r="C837" s="5" t="s">
        <v>560</v>
      </c>
      <c r="D837" s="5" t="s">
        <v>267</v>
      </c>
      <c r="E837" s="5" t="s">
        <v>37</v>
      </c>
      <c r="F837" s="5">
        <v>2</v>
      </c>
      <c r="G837" s="19">
        <v>0.05</v>
      </c>
      <c r="H837" s="5" t="s">
        <v>454</v>
      </c>
      <c r="I837" s="10">
        <f>IF(OR(D837="", F837=""), "", F837 * VLOOKUP(D837, Products!A:E, 5, FALSE) * (1 - G837))</f>
        <v>2444.4449999999997</v>
      </c>
      <c r="J837" s="10"/>
    </row>
    <row r="838" spans="1:10" ht="15.75" customHeight="1" x14ac:dyDescent="0.3">
      <c r="A838" s="5" t="s">
        <v>1705</v>
      </c>
      <c r="B838" s="11">
        <v>45534</v>
      </c>
      <c r="C838" s="5" t="s">
        <v>322</v>
      </c>
      <c r="D838" s="5" t="s">
        <v>162</v>
      </c>
      <c r="E838" s="5" t="s">
        <v>29</v>
      </c>
      <c r="F838" s="5">
        <v>4</v>
      </c>
      <c r="G838" s="19">
        <v>0</v>
      </c>
      <c r="H838" s="5" t="s">
        <v>697</v>
      </c>
      <c r="I838" s="10">
        <f>IF(OR(D838="", F838=""), "", F838 * VLOOKUP(D838, Products!A:E, 5, FALSE) * (1 - G838))</f>
        <v>1716.6</v>
      </c>
      <c r="J838" s="10"/>
    </row>
    <row r="839" spans="1:10" ht="15.75" customHeight="1" x14ac:dyDescent="0.3">
      <c r="A839" s="5" t="s">
        <v>1706</v>
      </c>
      <c r="B839" s="11">
        <v>45509</v>
      </c>
      <c r="C839" s="5" t="s">
        <v>528</v>
      </c>
      <c r="D839" s="5" t="s">
        <v>162</v>
      </c>
      <c r="E839" s="5" t="s">
        <v>33</v>
      </c>
      <c r="F839" s="5">
        <v>2</v>
      </c>
      <c r="G839" s="19">
        <v>0</v>
      </c>
      <c r="H839" s="5" t="s">
        <v>776</v>
      </c>
      <c r="I839" s="10">
        <f>IF(OR(D839="", F839=""), "", F839 * VLOOKUP(D839, Products!A:E, 5, FALSE) * (1 - G839))</f>
        <v>858.3</v>
      </c>
      <c r="J839" s="10"/>
    </row>
    <row r="840" spans="1:10" ht="15.75" customHeight="1" x14ac:dyDescent="0.3">
      <c r="A840" s="5" t="s">
        <v>1707</v>
      </c>
      <c r="B840" s="11">
        <v>45546</v>
      </c>
      <c r="C840" s="5" t="s">
        <v>357</v>
      </c>
      <c r="D840" s="5" t="s">
        <v>77</v>
      </c>
      <c r="E840" s="5" t="s">
        <v>37</v>
      </c>
      <c r="F840" s="5">
        <v>5</v>
      </c>
      <c r="G840" s="19">
        <v>0.15</v>
      </c>
      <c r="H840" s="5" t="s">
        <v>697</v>
      </c>
      <c r="I840" s="10">
        <f>IF(OR(D840="", F840=""), "", F840 * VLOOKUP(D840, Products!A:E, 5, FALSE) * (1 - G840))</f>
        <v>1056.4224999999999</v>
      </c>
      <c r="J840" s="10"/>
    </row>
    <row r="841" spans="1:10" ht="15.75" customHeight="1" x14ac:dyDescent="0.3">
      <c r="A841" s="5" t="s">
        <v>1708</v>
      </c>
      <c r="B841" s="11">
        <v>45497</v>
      </c>
      <c r="C841" s="5" t="s">
        <v>733</v>
      </c>
      <c r="D841" s="5" t="s">
        <v>162</v>
      </c>
      <c r="E841" s="5" t="s">
        <v>21</v>
      </c>
      <c r="F841" s="5">
        <v>2</v>
      </c>
      <c r="G841" s="19">
        <v>0.15</v>
      </c>
      <c r="H841" s="5" t="s">
        <v>776</v>
      </c>
      <c r="I841" s="10">
        <f>IF(OR(D841="", F841=""), "", F841 * VLOOKUP(D841, Products!A:E, 5, FALSE) * (1 - G841))</f>
        <v>729.55499999999995</v>
      </c>
      <c r="J841" s="10"/>
    </row>
    <row r="842" spans="1:10" ht="15.75" customHeight="1" x14ac:dyDescent="0.3">
      <c r="A842" s="5" t="s">
        <v>1709</v>
      </c>
      <c r="B842" s="11">
        <v>45590</v>
      </c>
      <c r="C842" s="5" t="s">
        <v>671</v>
      </c>
      <c r="D842" s="5" t="s">
        <v>237</v>
      </c>
      <c r="E842" s="5" t="s">
        <v>37</v>
      </c>
      <c r="F842" s="5">
        <v>1</v>
      </c>
      <c r="G842" s="19">
        <v>0</v>
      </c>
      <c r="H842" s="5" t="s">
        <v>637</v>
      </c>
      <c r="I842" s="10">
        <f>IF(OR(D842="", F842=""), "", F842 * VLOOKUP(D842, Products!A:E, 5, FALSE) * (1 - G842))</f>
        <v>366.93</v>
      </c>
      <c r="J842" s="10"/>
    </row>
    <row r="843" spans="1:10" ht="15.75" customHeight="1" x14ac:dyDescent="0.3">
      <c r="A843" s="5" t="s">
        <v>1710</v>
      </c>
      <c r="B843" s="11">
        <v>45885</v>
      </c>
      <c r="C843" s="5" t="s">
        <v>773</v>
      </c>
      <c r="D843" s="5" t="s">
        <v>74</v>
      </c>
      <c r="E843" s="5" t="s">
        <v>25</v>
      </c>
      <c r="F843" s="5">
        <v>5</v>
      </c>
      <c r="G843" s="19">
        <v>0</v>
      </c>
      <c r="H843" s="5" t="s">
        <v>637</v>
      </c>
      <c r="I843" s="10">
        <f>IF(OR(D843="", F843=""), "", F843 * VLOOKUP(D843, Products!A:E, 5, FALSE) * (1 - G843))</f>
        <v>5970.5999999999995</v>
      </c>
      <c r="J843" s="10"/>
    </row>
    <row r="844" spans="1:10" ht="15.75" customHeight="1" x14ac:dyDescent="0.3">
      <c r="A844" s="5" t="s">
        <v>1711</v>
      </c>
      <c r="B844" s="11">
        <v>45875</v>
      </c>
      <c r="C844" s="5" t="s">
        <v>661</v>
      </c>
      <c r="D844" s="5" t="s">
        <v>147</v>
      </c>
      <c r="E844" s="5" t="s">
        <v>33</v>
      </c>
      <c r="F844" s="5">
        <v>3</v>
      </c>
      <c r="G844" s="19">
        <v>0</v>
      </c>
      <c r="H844" s="5" t="s">
        <v>637</v>
      </c>
      <c r="I844" s="10">
        <f>IF(OR(D844="", F844=""), "", F844 * VLOOKUP(D844, Products!A:E, 5, FALSE) * (1 - G844))</f>
        <v>5635.41</v>
      </c>
      <c r="J844" s="10"/>
    </row>
    <row r="845" spans="1:10" ht="15.75" customHeight="1" x14ac:dyDescent="0.3">
      <c r="A845" s="5" t="s">
        <v>1712</v>
      </c>
      <c r="B845" s="11">
        <v>45203</v>
      </c>
      <c r="C845" s="5" t="s">
        <v>387</v>
      </c>
      <c r="D845" s="5" t="s">
        <v>57</v>
      </c>
      <c r="E845" s="5" t="s">
        <v>33</v>
      </c>
      <c r="F845" s="5">
        <v>4</v>
      </c>
      <c r="G845" s="19">
        <v>0.1</v>
      </c>
      <c r="H845" s="5" t="s">
        <v>776</v>
      </c>
      <c r="I845" s="10">
        <f>IF(OR(D845="", F845=""), "", F845 * VLOOKUP(D845, Products!A:E, 5, FALSE) * (1 - G845))</f>
        <v>5026.3919999999998</v>
      </c>
      <c r="J845" s="10"/>
    </row>
    <row r="846" spans="1:10" ht="15.75" customHeight="1" x14ac:dyDescent="0.3">
      <c r="A846" s="5" t="s">
        <v>1713</v>
      </c>
      <c r="B846" s="11">
        <v>45521</v>
      </c>
      <c r="C846" s="5" t="s">
        <v>571</v>
      </c>
      <c r="D846" s="5" t="s">
        <v>212</v>
      </c>
      <c r="E846" s="5" t="s">
        <v>25</v>
      </c>
      <c r="F846" s="5">
        <v>3</v>
      </c>
      <c r="G846" s="19">
        <v>0.15</v>
      </c>
      <c r="H846" s="5" t="s">
        <v>697</v>
      </c>
      <c r="I846" s="10">
        <f>IF(OR(D846="", F846=""), "", F846 * VLOOKUP(D846, Products!A:E, 5, FALSE) * (1 - G846))</f>
        <v>4587.3734999999997</v>
      </c>
      <c r="J846" s="10"/>
    </row>
    <row r="847" spans="1:10" ht="15.75" customHeight="1" x14ac:dyDescent="0.3">
      <c r="A847" s="5" t="s">
        <v>1714</v>
      </c>
      <c r="B847" s="11">
        <v>45515</v>
      </c>
      <c r="C847" s="5" t="s">
        <v>203</v>
      </c>
      <c r="D847" s="5" t="s">
        <v>226</v>
      </c>
      <c r="E847" s="5" t="s">
        <v>29</v>
      </c>
      <c r="F847" s="5">
        <v>5</v>
      </c>
      <c r="G847" s="19">
        <v>0.15</v>
      </c>
      <c r="H847" s="5" t="s">
        <v>454</v>
      </c>
      <c r="I847" s="10">
        <f>IF(OR(D847="", F847=""), "", F847 * VLOOKUP(D847, Products!A:E, 5, FALSE) * (1 - G847))</f>
        <v>6381.2049999999999</v>
      </c>
      <c r="J847" s="10"/>
    </row>
    <row r="848" spans="1:10" ht="15.75" customHeight="1" x14ac:dyDescent="0.3">
      <c r="A848" s="5" t="s">
        <v>1715</v>
      </c>
      <c r="B848" s="11">
        <v>45551</v>
      </c>
      <c r="C848" s="5" t="s">
        <v>346</v>
      </c>
      <c r="D848" s="5" t="s">
        <v>140</v>
      </c>
      <c r="E848" s="5" t="s">
        <v>21</v>
      </c>
      <c r="F848" s="5">
        <v>1</v>
      </c>
      <c r="G848" s="19">
        <v>0</v>
      </c>
      <c r="H848" s="5" t="s">
        <v>776</v>
      </c>
      <c r="I848" s="10">
        <f>IF(OR(D848="", F848=""), "", F848 * VLOOKUP(D848, Products!A:E, 5, FALSE) * (1 - G848))</f>
        <v>25.57</v>
      </c>
      <c r="J848" s="10"/>
    </row>
    <row r="849" spans="1:10" ht="15.75" customHeight="1" x14ac:dyDescent="0.3">
      <c r="A849" s="5" t="s">
        <v>1716</v>
      </c>
      <c r="B849" s="11">
        <v>45413</v>
      </c>
      <c r="C849" s="5" t="s">
        <v>528</v>
      </c>
      <c r="D849" s="5" t="s">
        <v>47</v>
      </c>
      <c r="E849" s="5" t="s">
        <v>25</v>
      </c>
      <c r="F849" s="5">
        <v>3</v>
      </c>
      <c r="G849" s="19">
        <v>0.15</v>
      </c>
      <c r="H849" s="5" t="s">
        <v>454</v>
      </c>
      <c r="I849" s="10">
        <f>IF(OR(D849="", F849=""), "", F849 * VLOOKUP(D849, Products!A:E, 5, FALSE) * (1 - G849))</f>
        <v>2087.8379999999997</v>
      </c>
      <c r="J849" s="10"/>
    </row>
    <row r="850" spans="1:10" ht="15.75" customHeight="1" x14ac:dyDescent="0.3">
      <c r="A850" s="5" t="s">
        <v>1717</v>
      </c>
      <c r="B850" s="11">
        <v>45807</v>
      </c>
      <c r="C850" s="5" t="s">
        <v>240</v>
      </c>
      <c r="D850" s="5" t="s">
        <v>57</v>
      </c>
      <c r="E850" s="5" t="s">
        <v>25</v>
      </c>
      <c r="F850" s="5">
        <v>4</v>
      </c>
      <c r="G850" s="19">
        <v>0.1</v>
      </c>
      <c r="H850" s="5" t="s">
        <v>454</v>
      </c>
      <c r="I850" s="10">
        <f>IF(OR(D850="", F850=""), "", F850 * VLOOKUP(D850, Products!A:E, 5, FALSE) * (1 - G850))</f>
        <v>5026.3919999999998</v>
      </c>
      <c r="J850" s="10"/>
    </row>
    <row r="851" spans="1:10" ht="15.75" customHeight="1" x14ac:dyDescent="0.3">
      <c r="A851" s="5" t="s">
        <v>1718</v>
      </c>
      <c r="B851" s="11">
        <v>45872</v>
      </c>
      <c r="C851" s="5" t="s">
        <v>674</v>
      </c>
      <c r="D851" s="5" t="s">
        <v>269</v>
      </c>
      <c r="E851" s="5" t="s">
        <v>33</v>
      </c>
      <c r="F851" s="5">
        <v>5</v>
      </c>
      <c r="G851" s="19">
        <v>0.1</v>
      </c>
      <c r="H851" s="5" t="s">
        <v>454</v>
      </c>
      <c r="I851" s="10">
        <f>IF(OR(D851="", F851=""), "", F851 * VLOOKUP(D851, Products!A:E, 5, FALSE) * (1 - G851))</f>
        <v>8455.86</v>
      </c>
      <c r="J851" s="10"/>
    </row>
    <row r="852" spans="1:10" ht="15.75" customHeight="1" x14ac:dyDescent="0.3">
      <c r="A852" s="5" t="s">
        <v>1719</v>
      </c>
      <c r="B852" s="11">
        <v>45489</v>
      </c>
      <c r="C852" s="5" t="s">
        <v>795</v>
      </c>
      <c r="D852" s="5" t="s">
        <v>249</v>
      </c>
      <c r="E852" s="5" t="s">
        <v>33</v>
      </c>
      <c r="F852" s="5">
        <v>2</v>
      </c>
      <c r="G852" s="19">
        <v>0.15</v>
      </c>
      <c r="H852" s="5" t="s">
        <v>637</v>
      </c>
      <c r="I852" s="10">
        <f>IF(OR(D852="", F852=""), "", F852 * VLOOKUP(D852, Products!A:E, 5, FALSE) * (1 - G852))</f>
        <v>2967.5369999999998</v>
      </c>
      <c r="J852" s="10"/>
    </row>
    <row r="853" spans="1:10" ht="15.75" customHeight="1" x14ac:dyDescent="0.3">
      <c r="A853" s="5" t="s">
        <v>1720</v>
      </c>
      <c r="B853" s="11">
        <v>45383</v>
      </c>
      <c r="C853" s="5" t="s">
        <v>334</v>
      </c>
      <c r="D853" s="5" t="s">
        <v>280</v>
      </c>
      <c r="E853" s="5" t="s">
        <v>29</v>
      </c>
      <c r="F853" s="5">
        <v>5</v>
      </c>
      <c r="G853" s="19">
        <v>0.15</v>
      </c>
      <c r="H853" s="5" t="s">
        <v>454</v>
      </c>
      <c r="I853" s="10">
        <f>IF(OR(D853="", F853=""), "", F853 * VLOOKUP(D853, Products!A:E, 5, FALSE) * (1 - G853))</f>
        <v>5169.5299999999988</v>
      </c>
      <c r="J853" s="10"/>
    </row>
    <row r="854" spans="1:10" ht="15.75" customHeight="1" x14ac:dyDescent="0.3">
      <c r="A854" s="5" t="s">
        <v>1721</v>
      </c>
      <c r="B854" s="11">
        <v>45601</v>
      </c>
      <c r="C854" s="5" t="s">
        <v>462</v>
      </c>
      <c r="D854" s="5" t="s">
        <v>50</v>
      </c>
      <c r="E854" s="5" t="s">
        <v>37</v>
      </c>
      <c r="F854" s="5">
        <v>3</v>
      </c>
      <c r="G854" s="19">
        <v>0.15</v>
      </c>
      <c r="H854" s="5" t="s">
        <v>697</v>
      </c>
      <c r="I854" s="10">
        <f>IF(OR(D854="", F854=""), "", F854 * VLOOKUP(D854, Products!A:E, 5, FALSE) * (1 - G854))</f>
        <v>860.95650000000001</v>
      </c>
      <c r="J854" s="10"/>
    </row>
    <row r="855" spans="1:10" ht="15.75" customHeight="1" x14ac:dyDescent="0.3">
      <c r="A855" s="5" t="s">
        <v>1722</v>
      </c>
      <c r="B855" s="11">
        <v>45534</v>
      </c>
      <c r="C855" s="5" t="s">
        <v>773</v>
      </c>
      <c r="D855" s="5" t="s">
        <v>70</v>
      </c>
      <c r="E855" s="5" t="s">
        <v>21</v>
      </c>
      <c r="F855" s="5">
        <v>2</v>
      </c>
      <c r="G855" s="19">
        <v>0.15</v>
      </c>
      <c r="H855" s="5" t="s">
        <v>697</v>
      </c>
      <c r="I855" s="10">
        <f>IF(OR(D855="", F855=""), "", F855 * VLOOKUP(D855, Products!A:E, 5, FALSE) * (1 - G855))</f>
        <v>209.423</v>
      </c>
      <c r="J855" s="10"/>
    </row>
    <row r="856" spans="1:10" ht="15.75" customHeight="1" x14ac:dyDescent="0.3">
      <c r="A856" s="5" t="s">
        <v>1723</v>
      </c>
      <c r="B856" s="11">
        <v>45244</v>
      </c>
      <c r="C856" s="5" t="s">
        <v>229</v>
      </c>
      <c r="D856" s="5" t="s">
        <v>82</v>
      </c>
      <c r="E856" s="5" t="s">
        <v>25</v>
      </c>
      <c r="F856" s="5">
        <v>5</v>
      </c>
      <c r="G856" s="19">
        <v>0.15</v>
      </c>
      <c r="H856" s="5" t="s">
        <v>454</v>
      </c>
      <c r="I856" s="10">
        <f>IF(OR(D856="", F856=""), "", F856 * VLOOKUP(D856, Products!A:E, 5, FALSE) * (1 - G856))</f>
        <v>5070.6324999999997</v>
      </c>
      <c r="J856" s="10"/>
    </row>
    <row r="857" spans="1:10" ht="15.75" customHeight="1" x14ac:dyDescent="0.3">
      <c r="A857" s="5" t="s">
        <v>1724</v>
      </c>
      <c r="B857" s="11">
        <v>45476</v>
      </c>
      <c r="C857" s="5" t="s">
        <v>683</v>
      </c>
      <c r="D857" s="5" t="s">
        <v>243</v>
      </c>
      <c r="E857" s="5" t="s">
        <v>37</v>
      </c>
      <c r="F857" s="5">
        <v>1</v>
      </c>
      <c r="G857" s="19">
        <v>0.05</v>
      </c>
      <c r="H857" s="5" t="s">
        <v>637</v>
      </c>
      <c r="I857" s="10">
        <f>IF(OR(D857="", F857=""), "", F857 * VLOOKUP(D857, Products!A:E, 5, FALSE) * (1 - G857))</f>
        <v>513.89300000000003</v>
      </c>
      <c r="J857" s="10"/>
    </row>
    <row r="858" spans="1:10" ht="15.75" customHeight="1" x14ac:dyDescent="0.3">
      <c r="A858" s="5" t="s">
        <v>1725</v>
      </c>
      <c r="B858" s="11">
        <v>45660</v>
      </c>
      <c r="C858" s="5" t="s">
        <v>755</v>
      </c>
      <c r="D858" s="5" t="s">
        <v>140</v>
      </c>
      <c r="E858" s="5" t="s">
        <v>21</v>
      </c>
      <c r="F858" s="5">
        <v>1</v>
      </c>
      <c r="G858" s="19">
        <v>0.05</v>
      </c>
      <c r="H858" s="5" t="s">
        <v>637</v>
      </c>
      <c r="I858" s="10">
        <f>IF(OR(D858="", F858=""), "", F858 * VLOOKUP(D858, Products!A:E, 5, FALSE) * (1 - G858))</f>
        <v>24.291499999999999</v>
      </c>
      <c r="J858" s="10"/>
    </row>
    <row r="859" spans="1:10" ht="15.75" customHeight="1" x14ac:dyDescent="0.3">
      <c r="A859" s="5" t="s">
        <v>1726</v>
      </c>
      <c r="B859" s="11">
        <v>45763</v>
      </c>
      <c r="C859" s="5" t="s">
        <v>727</v>
      </c>
      <c r="D859" s="5" t="s">
        <v>200</v>
      </c>
      <c r="E859" s="5" t="s">
        <v>33</v>
      </c>
      <c r="F859" s="5">
        <v>1</v>
      </c>
      <c r="G859" s="19">
        <v>0</v>
      </c>
      <c r="H859" s="5" t="s">
        <v>454</v>
      </c>
      <c r="I859" s="10">
        <f>IF(OR(D859="", F859=""), "", F859 * VLOOKUP(D859, Products!A:E, 5, FALSE) * (1 - G859))</f>
        <v>1095.72</v>
      </c>
      <c r="J859" s="10"/>
    </row>
    <row r="860" spans="1:10" ht="15.75" customHeight="1" x14ac:dyDescent="0.3">
      <c r="A860" s="5" t="s">
        <v>1727</v>
      </c>
      <c r="B860" s="11">
        <v>45357</v>
      </c>
      <c r="C860" s="5" t="s">
        <v>376</v>
      </c>
      <c r="D860" s="5" t="s">
        <v>54</v>
      </c>
      <c r="E860" s="5" t="s">
        <v>29</v>
      </c>
      <c r="F860" s="5">
        <v>1</v>
      </c>
      <c r="G860" s="19">
        <v>0</v>
      </c>
      <c r="H860" s="5" t="s">
        <v>637</v>
      </c>
      <c r="I860" s="10">
        <f>IF(OR(D860="", F860=""), "", F860 * VLOOKUP(D860, Products!A:E, 5, FALSE) * (1 - G860))</f>
        <v>1853.77</v>
      </c>
      <c r="J860" s="10"/>
    </row>
    <row r="861" spans="1:10" ht="15.75" customHeight="1" x14ac:dyDescent="0.3">
      <c r="A861" s="5" t="s">
        <v>1728</v>
      </c>
      <c r="B861" s="11">
        <v>45527</v>
      </c>
      <c r="C861" s="5" t="s">
        <v>550</v>
      </c>
      <c r="D861" s="5" t="s">
        <v>89</v>
      </c>
      <c r="E861" s="5" t="s">
        <v>37</v>
      </c>
      <c r="F861" s="5">
        <v>5</v>
      </c>
      <c r="G861" s="19">
        <v>0.1</v>
      </c>
      <c r="H861" s="5" t="s">
        <v>776</v>
      </c>
      <c r="I861" s="10">
        <f>IF(OR(D861="", F861=""), "", F861 * VLOOKUP(D861, Products!A:E, 5, FALSE) * (1 - G861))</f>
        <v>5106.6000000000004</v>
      </c>
      <c r="J861" s="10"/>
    </row>
    <row r="862" spans="1:10" ht="15.75" customHeight="1" x14ac:dyDescent="0.3">
      <c r="A862" s="5" t="s">
        <v>1729</v>
      </c>
      <c r="B862" s="11">
        <v>45862</v>
      </c>
      <c r="C862" s="5" t="s">
        <v>876</v>
      </c>
      <c r="D862" s="5" t="s">
        <v>265</v>
      </c>
      <c r="E862" s="5" t="s">
        <v>25</v>
      </c>
      <c r="F862" s="5">
        <v>4</v>
      </c>
      <c r="G862" s="19">
        <v>0.15</v>
      </c>
      <c r="H862" s="5" t="s">
        <v>776</v>
      </c>
      <c r="I862" s="10">
        <f>IF(OR(D862="", F862=""), "", F862 * VLOOKUP(D862, Products!A:E, 5, FALSE) * (1 - G862))</f>
        <v>1919.0279999999998</v>
      </c>
      <c r="J862" s="10"/>
    </row>
    <row r="863" spans="1:10" ht="15.75" customHeight="1" x14ac:dyDescent="0.3">
      <c r="A863" s="5" t="s">
        <v>1730</v>
      </c>
      <c r="B863" s="11">
        <v>45593</v>
      </c>
      <c r="C863" s="5" t="s">
        <v>357</v>
      </c>
      <c r="D863" s="5" t="s">
        <v>50</v>
      </c>
      <c r="E863" s="5" t="s">
        <v>37</v>
      </c>
      <c r="F863" s="5">
        <v>3</v>
      </c>
      <c r="G863" s="19">
        <v>0.05</v>
      </c>
      <c r="H863" s="5" t="s">
        <v>776</v>
      </c>
      <c r="I863" s="10">
        <f>IF(OR(D863="", F863=""), "", F863 * VLOOKUP(D863, Products!A:E, 5, FALSE) * (1 - G863))</f>
        <v>962.24549999999999</v>
      </c>
      <c r="J863" s="10"/>
    </row>
    <row r="864" spans="1:10" ht="15.75" customHeight="1" x14ac:dyDescent="0.3">
      <c r="A864" s="5" t="s">
        <v>1731</v>
      </c>
      <c r="B864" s="11">
        <v>45745</v>
      </c>
      <c r="C864" s="5" t="s">
        <v>727</v>
      </c>
      <c r="D864" s="5" t="s">
        <v>269</v>
      </c>
      <c r="E864" s="5" t="s">
        <v>37</v>
      </c>
      <c r="F864" s="5">
        <v>5</v>
      </c>
      <c r="G864" s="19">
        <v>0.05</v>
      </c>
      <c r="H864" s="5" t="s">
        <v>697</v>
      </c>
      <c r="I864" s="10">
        <f>IF(OR(D864="", F864=""), "", F864 * VLOOKUP(D864, Products!A:E, 5, FALSE) * (1 - G864))</f>
        <v>8925.6299999999992</v>
      </c>
      <c r="J864" s="10"/>
    </row>
    <row r="865" spans="1:10" ht="15.75" customHeight="1" x14ac:dyDescent="0.3">
      <c r="A865" s="5" t="s">
        <v>1732</v>
      </c>
      <c r="B865" s="11">
        <v>45334</v>
      </c>
      <c r="C865" s="5" t="s">
        <v>789</v>
      </c>
      <c r="D865" s="5" t="s">
        <v>57</v>
      </c>
      <c r="E865" s="5" t="s">
        <v>21</v>
      </c>
      <c r="F865" s="5">
        <v>3</v>
      </c>
      <c r="G865" s="19">
        <v>0.05</v>
      </c>
      <c r="H865" s="5" t="s">
        <v>776</v>
      </c>
      <c r="I865" s="10">
        <f>IF(OR(D865="", F865=""), "", F865 * VLOOKUP(D865, Products!A:E, 5, FALSE) * (1 - G865))</f>
        <v>3979.2269999999999</v>
      </c>
      <c r="J865" s="10"/>
    </row>
    <row r="866" spans="1:10" ht="15.75" customHeight="1" x14ac:dyDescent="0.3">
      <c r="A866" s="5" t="s">
        <v>1733</v>
      </c>
      <c r="B866" s="11">
        <v>45249</v>
      </c>
      <c r="C866" s="5" t="s">
        <v>312</v>
      </c>
      <c r="D866" s="5" t="s">
        <v>232</v>
      </c>
      <c r="E866" s="5" t="s">
        <v>21</v>
      </c>
      <c r="F866" s="5">
        <v>3</v>
      </c>
      <c r="G866" s="19">
        <v>0.15</v>
      </c>
      <c r="H866" s="5" t="s">
        <v>454</v>
      </c>
      <c r="I866" s="10">
        <f>IF(OR(D866="", F866=""), "", F866 * VLOOKUP(D866, Products!A:E, 5, FALSE) * (1 - G866))</f>
        <v>4979.2575000000006</v>
      </c>
      <c r="J866" s="10"/>
    </row>
    <row r="867" spans="1:10" ht="15.75" customHeight="1" x14ac:dyDescent="0.3">
      <c r="A867" s="5" t="s">
        <v>1734</v>
      </c>
      <c r="B867" s="11">
        <v>45758</v>
      </c>
      <c r="C867" s="5" t="s">
        <v>786</v>
      </c>
      <c r="D867" s="5" t="s">
        <v>47</v>
      </c>
      <c r="E867" s="5" t="s">
        <v>33</v>
      </c>
      <c r="F867" s="5">
        <v>4</v>
      </c>
      <c r="G867" s="19">
        <v>0.05</v>
      </c>
      <c r="H867" s="5" t="s">
        <v>776</v>
      </c>
      <c r="I867" s="10">
        <f>IF(OR(D867="", F867=""), "", F867 * VLOOKUP(D867, Products!A:E, 5, FALSE) * (1 - G867))</f>
        <v>3111.288</v>
      </c>
      <c r="J867" s="10"/>
    </row>
    <row r="868" spans="1:10" ht="15.75" customHeight="1" x14ac:dyDescent="0.3">
      <c r="A868" s="5" t="s">
        <v>1735</v>
      </c>
      <c r="B868" s="11">
        <v>45444</v>
      </c>
      <c r="C868" s="5" t="s">
        <v>842</v>
      </c>
      <c r="D868" s="5" t="s">
        <v>265</v>
      </c>
      <c r="E868" s="5" t="s">
        <v>21</v>
      </c>
      <c r="F868" s="5">
        <v>1</v>
      </c>
      <c r="G868" s="19">
        <v>0.1</v>
      </c>
      <c r="H868" s="5" t="s">
        <v>454</v>
      </c>
      <c r="I868" s="10">
        <f>IF(OR(D868="", F868=""), "", F868 * VLOOKUP(D868, Products!A:E, 5, FALSE) * (1 - G868))</f>
        <v>507.97799999999995</v>
      </c>
      <c r="J868" s="10"/>
    </row>
    <row r="869" spans="1:10" ht="15.75" customHeight="1" x14ac:dyDescent="0.3">
      <c r="A869" s="5" t="s">
        <v>1736</v>
      </c>
      <c r="B869" s="11">
        <v>45544</v>
      </c>
      <c r="C869" s="5" t="s">
        <v>499</v>
      </c>
      <c r="D869" s="5" t="s">
        <v>162</v>
      </c>
      <c r="E869" s="5" t="s">
        <v>29</v>
      </c>
      <c r="F869" s="5">
        <v>2</v>
      </c>
      <c r="G869" s="19">
        <v>0.05</v>
      </c>
      <c r="H869" s="5" t="s">
        <v>637</v>
      </c>
      <c r="I869" s="10">
        <f>IF(OR(D869="", F869=""), "", F869 * VLOOKUP(D869, Products!A:E, 5, FALSE) * (1 - G869))</f>
        <v>815.38499999999988</v>
      </c>
      <c r="J869" s="10"/>
    </row>
    <row r="870" spans="1:10" ht="15.75" customHeight="1" x14ac:dyDescent="0.3">
      <c r="A870" s="5" t="s">
        <v>1737</v>
      </c>
      <c r="B870" s="11">
        <v>45634</v>
      </c>
      <c r="C870" s="5" t="s">
        <v>554</v>
      </c>
      <c r="D870" s="5" t="s">
        <v>77</v>
      </c>
      <c r="E870" s="5" t="s">
        <v>37</v>
      </c>
      <c r="F870" s="5">
        <v>1</v>
      </c>
      <c r="G870" s="19">
        <v>0.1</v>
      </c>
      <c r="H870" s="5" t="s">
        <v>697</v>
      </c>
      <c r="I870" s="10">
        <f>IF(OR(D870="", F870=""), "", F870 * VLOOKUP(D870, Products!A:E, 5, FALSE) * (1 - G870))</f>
        <v>223.71299999999999</v>
      </c>
      <c r="J870" s="10"/>
    </row>
    <row r="871" spans="1:10" ht="15.75" customHeight="1" x14ac:dyDescent="0.3">
      <c r="A871" s="5" t="s">
        <v>1738</v>
      </c>
      <c r="B871" s="11">
        <v>45206</v>
      </c>
      <c r="C871" s="5" t="s">
        <v>557</v>
      </c>
      <c r="D871" s="5" t="s">
        <v>82</v>
      </c>
      <c r="E871" s="5" t="s">
        <v>37</v>
      </c>
      <c r="F871" s="5">
        <v>1</v>
      </c>
      <c r="G871" s="19">
        <v>0</v>
      </c>
      <c r="H871" s="5" t="s">
        <v>454</v>
      </c>
      <c r="I871" s="10">
        <f>IF(OR(D871="", F871=""), "", F871 * VLOOKUP(D871, Products!A:E, 5, FALSE) * (1 - G871))</f>
        <v>1193.0899999999999</v>
      </c>
      <c r="J871" s="10"/>
    </row>
    <row r="872" spans="1:10" ht="15.75" customHeight="1" x14ac:dyDescent="0.3">
      <c r="A872" s="5" t="s">
        <v>1739</v>
      </c>
      <c r="B872" s="11">
        <v>45617</v>
      </c>
      <c r="C872" s="5" t="s">
        <v>495</v>
      </c>
      <c r="D872" s="5" t="s">
        <v>237</v>
      </c>
      <c r="E872" s="5" t="s">
        <v>21</v>
      </c>
      <c r="F872" s="5">
        <v>5</v>
      </c>
      <c r="G872" s="19">
        <v>0.1</v>
      </c>
      <c r="H872" s="5" t="s">
        <v>454</v>
      </c>
      <c r="I872" s="10">
        <f>IF(OR(D872="", F872=""), "", F872 * VLOOKUP(D872, Products!A:E, 5, FALSE) * (1 - G872))</f>
        <v>1651.1850000000002</v>
      </c>
      <c r="J872" s="10"/>
    </row>
    <row r="873" spans="1:10" ht="15.75" customHeight="1" x14ac:dyDescent="0.3">
      <c r="A873" s="5" t="s">
        <v>1740</v>
      </c>
      <c r="B873" s="11">
        <v>45858</v>
      </c>
      <c r="C873" s="5" t="s">
        <v>805</v>
      </c>
      <c r="D873" s="5" t="s">
        <v>256</v>
      </c>
      <c r="E873" s="5" t="s">
        <v>33</v>
      </c>
      <c r="F873" s="5">
        <v>4</v>
      </c>
      <c r="G873" s="19">
        <v>0.15</v>
      </c>
      <c r="H873" s="5" t="s">
        <v>697</v>
      </c>
      <c r="I873" s="10">
        <f>IF(OR(D873="", F873=""), "", F873 * VLOOKUP(D873, Products!A:E, 5, FALSE) * (1 - G873))</f>
        <v>5559.0339999999997</v>
      </c>
      <c r="J873" s="10"/>
    </row>
    <row r="874" spans="1:10" ht="15.75" customHeight="1" x14ac:dyDescent="0.3">
      <c r="A874" s="5" t="s">
        <v>1741</v>
      </c>
      <c r="B874" s="11">
        <v>45563</v>
      </c>
      <c r="C874" s="5" t="s">
        <v>859</v>
      </c>
      <c r="D874" s="5" t="s">
        <v>276</v>
      </c>
      <c r="E874" s="5" t="s">
        <v>29</v>
      </c>
      <c r="F874" s="5">
        <v>4</v>
      </c>
      <c r="G874" s="19">
        <v>0.15</v>
      </c>
      <c r="H874" s="5" t="s">
        <v>776</v>
      </c>
      <c r="I874" s="10">
        <f>IF(OR(D874="", F874=""), "", F874 * VLOOKUP(D874, Products!A:E, 5, FALSE) * (1 - G874))</f>
        <v>4070.4120000000003</v>
      </c>
      <c r="J874" s="10"/>
    </row>
    <row r="875" spans="1:10" ht="15.75" customHeight="1" x14ac:dyDescent="0.3">
      <c r="A875" s="5" t="s">
        <v>1742</v>
      </c>
      <c r="B875" s="11">
        <v>45570</v>
      </c>
      <c r="C875" s="5" t="s">
        <v>624</v>
      </c>
      <c r="D875" s="5" t="s">
        <v>249</v>
      </c>
      <c r="E875" s="5" t="s">
        <v>21</v>
      </c>
      <c r="F875" s="5">
        <v>3</v>
      </c>
      <c r="G875" s="19">
        <v>0</v>
      </c>
      <c r="H875" s="5" t="s">
        <v>637</v>
      </c>
      <c r="I875" s="10">
        <f>IF(OR(D875="", F875=""), "", F875 * VLOOKUP(D875, Products!A:E, 5, FALSE) * (1 - G875))</f>
        <v>5236.83</v>
      </c>
      <c r="J875" s="10"/>
    </row>
    <row r="876" spans="1:10" ht="15.75" customHeight="1" x14ac:dyDescent="0.3">
      <c r="A876" s="5" t="s">
        <v>1743</v>
      </c>
      <c r="B876" s="11">
        <v>45626</v>
      </c>
      <c r="C876" s="5" t="s">
        <v>755</v>
      </c>
      <c r="D876" s="5" t="s">
        <v>140</v>
      </c>
      <c r="E876" s="5" t="s">
        <v>25</v>
      </c>
      <c r="F876" s="5">
        <v>2</v>
      </c>
      <c r="G876" s="19">
        <v>0.1</v>
      </c>
      <c r="H876" s="5" t="s">
        <v>637</v>
      </c>
      <c r="I876" s="10">
        <f>IF(OR(D876="", F876=""), "", F876 * VLOOKUP(D876, Products!A:E, 5, FALSE) * (1 - G876))</f>
        <v>46.026000000000003</v>
      </c>
      <c r="J876" s="10"/>
    </row>
    <row r="877" spans="1:10" ht="15.75" customHeight="1" x14ac:dyDescent="0.3">
      <c r="A877" s="5" t="s">
        <v>1744</v>
      </c>
      <c r="B877" s="11">
        <v>45435</v>
      </c>
      <c r="C877" s="5" t="s">
        <v>507</v>
      </c>
      <c r="D877" s="5" t="s">
        <v>280</v>
      </c>
      <c r="E877" s="5" t="s">
        <v>37</v>
      </c>
      <c r="F877" s="5">
        <v>5</v>
      </c>
      <c r="G877" s="19">
        <v>0</v>
      </c>
      <c r="H877" s="5" t="s">
        <v>454</v>
      </c>
      <c r="I877" s="10">
        <f>IF(OR(D877="", F877=""), "", F877 * VLOOKUP(D877, Products!A:E, 5, FALSE) * (1 - G877))</f>
        <v>6081.7999999999993</v>
      </c>
      <c r="J877" s="10"/>
    </row>
    <row r="878" spans="1:10" ht="15.75" customHeight="1" x14ac:dyDescent="0.3">
      <c r="A878" s="5" t="s">
        <v>1745</v>
      </c>
      <c r="B878" s="11">
        <v>45246</v>
      </c>
      <c r="C878" s="5" t="s">
        <v>405</v>
      </c>
      <c r="D878" s="5" t="s">
        <v>95</v>
      </c>
      <c r="E878" s="5" t="s">
        <v>29</v>
      </c>
      <c r="F878" s="5">
        <v>1</v>
      </c>
      <c r="G878" s="19">
        <v>0.15</v>
      </c>
      <c r="H878" s="5" t="s">
        <v>454</v>
      </c>
      <c r="I878" s="10">
        <f>IF(OR(D878="", F878=""), "", F878 * VLOOKUP(D878, Products!A:E, 5, FALSE) * (1 - G878))</f>
        <v>1141.3374999999999</v>
      </c>
      <c r="J878" s="10"/>
    </row>
    <row r="879" spans="1:10" ht="15.75" customHeight="1" x14ac:dyDescent="0.3">
      <c r="A879" s="5" t="s">
        <v>1746</v>
      </c>
      <c r="B879" s="11">
        <v>45287</v>
      </c>
      <c r="C879" s="5" t="s">
        <v>191</v>
      </c>
      <c r="D879" s="5" t="s">
        <v>119</v>
      </c>
      <c r="E879" s="5" t="s">
        <v>37</v>
      </c>
      <c r="F879" s="5">
        <v>2</v>
      </c>
      <c r="G879" s="19">
        <v>0.15</v>
      </c>
      <c r="H879" s="5" t="s">
        <v>454</v>
      </c>
      <c r="I879" s="10">
        <f>IF(OR(D879="", F879=""), "", F879 * VLOOKUP(D879, Products!A:E, 5, FALSE) * (1 - G879))</f>
        <v>1835.8130000000001</v>
      </c>
      <c r="J879" s="10"/>
    </row>
    <row r="880" spans="1:10" ht="15.75" customHeight="1" x14ac:dyDescent="0.3">
      <c r="A880" s="5" t="s">
        <v>1747</v>
      </c>
      <c r="B880" s="11">
        <v>45540</v>
      </c>
      <c r="C880" s="5" t="s">
        <v>507</v>
      </c>
      <c r="D880" s="5" t="s">
        <v>285</v>
      </c>
      <c r="E880" s="5" t="s">
        <v>25</v>
      </c>
      <c r="F880" s="5">
        <v>5</v>
      </c>
      <c r="G880" s="19">
        <v>0.1</v>
      </c>
      <c r="H880" s="5" t="s">
        <v>697</v>
      </c>
      <c r="I880" s="10">
        <f>IF(OR(D880="", F880=""), "", F880 * VLOOKUP(D880, Products!A:E, 5, FALSE) * (1 - G880))</f>
        <v>1747.17</v>
      </c>
      <c r="J880" s="10"/>
    </row>
    <row r="881" spans="1:10" ht="15.75" customHeight="1" x14ac:dyDescent="0.3">
      <c r="A881" s="5" t="s">
        <v>1748</v>
      </c>
      <c r="B881" s="11">
        <v>45309</v>
      </c>
      <c r="C881" s="5" t="s">
        <v>854</v>
      </c>
      <c r="D881" s="5" t="s">
        <v>265</v>
      </c>
      <c r="E881" s="5" t="s">
        <v>25</v>
      </c>
      <c r="F881" s="5">
        <v>4</v>
      </c>
      <c r="G881" s="19">
        <v>0.05</v>
      </c>
      <c r="H881" s="5" t="s">
        <v>697</v>
      </c>
      <c r="I881" s="10">
        <f>IF(OR(D881="", F881=""), "", F881 * VLOOKUP(D881, Products!A:E, 5, FALSE) * (1 - G881))</f>
        <v>2144.7959999999998</v>
      </c>
      <c r="J881" s="10"/>
    </row>
    <row r="882" spans="1:10" ht="15.75" customHeight="1" x14ac:dyDescent="0.3">
      <c r="A882" s="5" t="s">
        <v>1749</v>
      </c>
      <c r="B882" s="11">
        <v>45520</v>
      </c>
      <c r="C882" s="5" t="s">
        <v>842</v>
      </c>
      <c r="D882" s="5" t="s">
        <v>193</v>
      </c>
      <c r="E882" s="5" t="s">
        <v>25</v>
      </c>
      <c r="F882" s="5">
        <v>3</v>
      </c>
      <c r="G882" s="19">
        <v>0.05</v>
      </c>
      <c r="H882" s="5" t="s">
        <v>697</v>
      </c>
      <c r="I882" s="10">
        <f>IF(OR(D882="", F882=""), "", F882 * VLOOKUP(D882, Products!A:E, 5, FALSE) * (1 - G882))</f>
        <v>83.333999999999989</v>
      </c>
      <c r="J882" s="10"/>
    </row>
    <row r="883" spans="1:10" ht="15.75" customHeight="1" x14ac:dyDescent="0.3">
      <c r="A883" s="5" t="s">
        <v>1750</v>
      </c>
      <c r="B883" s="11">
        <v>45634</v>
      </c>
      <c r="C883" s="5" t="s">
        <v>357</v>
      </c>
      <c r="D883" s="5" t="s">
        <v>237</v>
      </c>
      <c r="E883" s="5" t="s">
        <v>25</v>
      </c>
      <c r="F883" s="5">
        <v>5</v>
      </c>
      <c r="G883" s="19">
        <v>0.1</v>
      </c>
      <c r="H883" s="5" t="s">
        <v>697</v>
      </c>
      <c r="I883" s="10">
        <f>IF(OR(D883="", F883=""), "", F883 * VLOOKUP(D883, Products!A:E, 5, FALSE) * (1 - G883))</f>
        <v>1651.1850000000002</v>
      </c>
      <c r="J883" s="10"/>
    </row>
    <row r="884" spans="1:10" ht="15.75" customHeight="1" x14ac:dyDescent="0.3">
      <c r="A884" s="5" t="s">
        <v>1751</v>
      </c>
      <c r="B884" s="11">
        <v>45776</v>
      </c>
      <c r="C884" s="5" t="s">
        <v>878</v>
      </c>
      <c r="D884" s="5" t="s">
        <v>89</v>
      </c>
      <c r="E884" s="5" t="s">
        <v>21</v>
      </c>
      <c r="F884" s="5">
        <v>1</v>
      </c>
      <c r="G884" s="19">
        <v>0</v>
      </c>
      <c r="H884" s="5" t="s">
        <v>637</v>
      </c>
      <c r="I884" s="10">
        <f>IF(OR(D884="", F884=""), "", F884 * VLOOKUP(D884, Products!A:E, 5, FALSE) * (1 - G884))</f>
        <v>1134.8</v>
      </c>
      <c r="J884" s="10"/>
    </row>
    <row r="885" spans="1:10" ht="15.75" customHeight="1" x14ac:dyDescent="0.3">
      <c r="A885" s="5" t="s">
        <v>1752</v>
      </c>
      <c r="B885" s="11">
        <v>45780</v>
      </c>
      <c r="C885" s="5" t="s">
        <v>740</v>
      </c>
      <c r="D885" s="5" t="s">
        <v>267</v>
      </c>
      <c r="E885" s="5" t="s">
        <v>21</v>
      </c>
      <c r="F885" s="5">
        <v>5</v>
      </c>
      <c r="G885" s="19">
        <v>0</v>
      </c>
      <c r="H885" s="5" t="s">
        <v>637</v>
      </c>
      <c r="I885" s="10">
        <f>IF(OR(D885="", F885=""), "", F885 * VLOOKUP(D885, Products!A:E, 5, FALSE) * (1 - G885))</f>
        <v>6432.75</v>
      </c>
      <c r="J885" s="10"/>
    </row>
    <row r="886" spans="1:10" ht="15.75" customHeight="1" x14ac:dyDescent="0.3">
      <c r="A886" s="5" t="s">
        <v>1753</v>
      </c>
      <c r="B886" s="11">
        <v>45562</v>
      </c>
      <c r="C886" s="5" t="s">
        <v>526</v>
      </c>
      <c r="D886" s="5" t="s">
        <v>43</v>
      </c>
      <c r="E886" s="5" t="s">
        <v>37</v>
      </c>
      <c r="F886" s="5">
        <v>3</v>
      </c>
      <c r="G886" s="19">
        <v>0.15</v>
      </c>
      <c r="H886" s="5" t="s">
        <v>454</v>
      </c>
      <c r="I886" s="10">
        <f>IF(OR(D886="", F886=""), "", F886 * VLOOKUP(D886, Products!A:E, 5, FALSE) * (1 - G886))</f>
        <v>4267.9094999999998</v>
      </c>
      <c r="J886" s="10"/>
    </row>
    <row r="887" spans="1:10" ht="15.75" customHeight="1" x14ac:dyDescent="0.3">
      <c r="A887" s="5" t="s">
        <v>1754</v>
      </c>
      <c r="B887" s="11">
        <v>45621</v>
      </c>
      <c r="C887" s="5" t="s">
        <v>631</v>
      </c>
      <c r="D887" s="5" t="s">
        <v>122</v>
      </c>
      <c r="E887" s="5" t="s">
        <v>25</v>
      </c>
      <c r="F887" s="5">
        <v>5</v>
      </c>
      <c r="G887" s="19">
        <v>0.1</v>
      </c>
      <c r="H887" s="5" t="s">
        <v>637</v>
      </c>
      <c r="I887" s="10">
        <f>IF(OR(D887="", F887=""), "", F887 * VLOOKUP(D887, Products!A:E, 5, FALSE) * (1 - G887))</f>
        <v>7933.14</v>
      </c>
      <c r="J887" s="10"/>
    </row>
    <row r="888" spans="1:10" ht="15.75" customHeight="1" x14ac:dyDescent="0.3">
      <c r="A888" s="5" t="s">
        <v>1755</v>
      </c>
      <c r="B888" s="11">
        <v>45825</v>
      </c>
      <c r="C888" s="5" t="s">
        <v>376</v>
      </c>
      <c r="D888" s="5" t="s">
        <v>61</v>
      </c>
      <c r="E888" s="5" t="s">
        <v>37</v>
      </c>
      <c r="F888" s="5">
        <v>2</v>
      </c>
      <c r="G888" s="19">
        <v>0</v>
      </c>
      <c r="H888" s="5" t="s">
        <v>637</v>
      </c>
      <c r="I888" s="10">
        <f>IF(OR(D888="", F888=""), "", F888 * VLOOKUP(D888, Products!A:E, 5, FALSE) * (1 - G888))</f>
        <v>636.1</v>
      </c>
      <c r="J888" s="10"/>
    </row>
    <row r="889" spans="1:10" ht="15.75" customHeight="1" x14ac:dyDescent="0.3">
      <c r="A889" s="5" t="s">
        <v>1756</v>
      </c>
      <c r="B889" s="11">
        <v>45467</v>
      </c>
      <c r="C889" s="5" t="s">
        <v>620</v>
      </c>
      <c r="D889" s="5" t="s">
        <v>175</v>
      </c>
      <c r="E889" s="5" t="s">
        <v>37</v>
      </c>
      <c r="F889" s="5">
        <v>1</v>
      </c>
      <c r="G889" s="19">
        <v>0.1</v>
      </c>
      <c r="H889" s="5" t="s">
        <v>637</v>
      </c>
      <c r="I889" s="10">
        <f>IF(OR(D889="", F889=""), "", F889 * VLOOKUP(D889, Products!A:E, 5, FALSE) * (1 - G889))</f>
        <v>1145.0070000000001</v>
      </c>
      <c r="J889" s="10"/>
    </row>
    <row r="890" spans="1:10" ht="15.75" customHeight="1" x14ac:dyDescent="0.3">
      <c r="A890" s="5" t="s">
        <v>1757</v>
      </c>
      <c r="B890" s="11">
        <v>45874</v>
      </c>
      <c r="C890" s="5" t="s">
        <v>800</v>
      </c>
      <c r="D890" s="5" t="s">
        <v>162</v>
      </c>
      <c r="E890" s="5" t="s">
        <v>25</v>
      </c>
      <c r="F890" s="5">
        <v>4</v>
      </c>
      <c r="G890" s="19">
        <v>0</v>
      </c>
      <c r="H890" s="5" t="s">
        <v>637</v>
      </c>
      <c r="I890" s="10">
        <f>IF(OR(D890="", F890=""), "", F890 * VLOOKUP(D890, Products!A:E, 5, FALSE) * (1 - G890))</f>
        <v>1716.6</v>
      </c>
      <c r="J890" s="10"/>
    </row>
    <row r="891" spans="1:10" ht="15.75" customHeight="1" x14ac:dyDescent="0.3">
      <c r="A891" s="5" t="s">
        <v>1758</v>
      </c>
      <c r="B891" s="11">
        <v>45678</v>
      </c>
      <c r="C891" s="5" t="s">
        <v>470</v>
      </c>
      <c r="D891" s="5" t="s">
        <v>134</v>
      </c>
      <c r="E891" s="5" t="s">
        <v>21</v>
      </c>
      <c r="F891" s="5">
        <v>1</v>
      </c>
      <c r="G891" s="19">
        <v>0.05</v>
      </c>
      <c r="H891" s="5" t="s">
        <v>637</v>
      </c>
      <c r="I891" s="10">
        <f>IF(OR(D891="", F891=""), "", F891 * VLOOKUP(D891, Products!A:E, 5, FALSE) * (1 - G891))</f>
        <v>1165.8779999999999</v>
      </c>
      <c r="J891" s="10"/>
    </row>
    <row r="892" spans="1:10" ht="15.75" customHeight="1" x14ac:dyDescent="0.3">
      <c r="A892" s="5" t="s">
        <v>1759</v>
      </c>
      <c r="B892" s="11">
        <v>45705</v>
      </c>
      <c r="C892" s="5" t="s">
        <v>711</v>
      </c>
      <c r="D892" s="5" t="s">
        <v>115</v>
      </c>
      <c r="E892" s="5" t="s">
        <v>21</v>
      </c>
      <c r="F892" s="5">
        <v>3</v>
      </c>
      <c r="G892" s="19">
        <v>0.1</v>
      </c>
      <c r="H892" s="5" t="s">
        <v>454</v>
      </c>
      <c r="I892" s="10">
        <f>IF(OR(D892="", F892=""), "", F892 * VLOOKUP(D892, Products!A:E, 5, FALSE) * (1 - G892))</f>
        <v>3364.4969999999998</v>
      </c>
      <c r="J892" s="10"/>
    </row>
    <row r="893" spans="1:10" ht="15.75" customHeight="1" x14ac:dyDescent="0.3">
      <c r="A893" s="5" t="s">
        <v>1760</v>
      </c>
      <c r="B893" s="11">
        <v>45849</v>
      </c>
      <c r="C893" s="5" t="s">
        <v>342</v>
      </c>
      <c r="D893" s="5" t="s">
        <v>147</v>
      </c>
      <c r="E893" s="5" t="s">
        <v>37</v>
      </c>
      <c r="F893" s="5">
        <v>3</v>
      </c>
      <c r="G893" s="19">
        <v>0.05</v>
      </c>
      <c r="H893" s="5" t="s">
        <v>454</v>
      </c>
      <c r="I893" s="10">
        <f>IF(OR(D893="", F893=""), "", F893 * VLOOKUP(D893, Products!A:E, 5, FALSE) * (1 - G893))</f>
        <v>5353.6394999999993</v>
      </c>
      <c r="J893" s="10"/>
    </row>
    <row r="894" spans="1:10" ht="15.75" customHeight="1" x14ac:dyDescent="0.3">
      <c r="A894" s="5" t="s">
        <v>1761</v>
      </c>
      <c r="B894" s="11">
        <v>45231</v>
      </c>
      <c r="C894" s="5" t="s">
        <v>615</v>
      </c>
      <c r="D894" s="5" t="s">
        <v>147</v>
      </c>
      <c r="E894" s="5" t="s">
        <v>37</v>
      </c>
      <c r="F894" s="5">
        <v>3</v>
      </c>
      <c r="G894" s="19">
        <v>0.1</v>
      </c>
      <c r="H894" s="5" t="s">
        <v>697</v>
      </c>
      <c r="I894" s="10">
        <f>IF(OR(D894="", F894=""), "", F894 * VLOOKUP(D894, Products!A:E, 5, FALSE) * (1 - G894))</f>
        <v>5071.8689999999997</v>
      </c>
      <c r="J894" s="10"/>
    </row>
    <row r="895" spans="1:10" ht="15.75" customHeight="1" x14ac:dyDescent="0.3">
      <c r="A895" s="5" t="s">
        <v>1762</v>
      </c>
      <c r="B895" s="11">
        <v>45490</v>
      </c>
      <c r="C895" s="5" t="s">
        <v>638</v>
      </c>
      <c r="D895" s="5" t="s">
        <v>285</v>
      </c>
      <c r="E895" s="5" t="s">
        <v>33</v>
      </c>
      <c r="F895" s="5">
        <v>2</v>
      </c>
      <c r="G895" s="19">
        <v>0.15</v>
      </c>
      <c r="H895" s="5" t="s">
        <v>454</v>
      </c>
      <c r="I895" s="10">
        <f>IF(OR(D895="", F895=""), "", F895 * VLOOKUP(D895, Products!A:E, 5, FALSE) * (1 - G895))</f>
        <v>660.04199999999992</v>
      </c>
      <c r="J895" s="10"/>
    </row>
    <row r="896" spans="1:10" ht="15.75" customHeight="1" x14ac:dyDescent="0.3">
      <c r="A896" s="5" t="s">
        <v>1763</v>
      </c>
      <c r="B896" s="11">
        <v>45607</v>
      </c>
      <c r="C896" s="5" t="s">
        <v>519</v>
      </c>
      <c r="D896" s="5" t="s">
        <v>243</v>
      </c>
      <c r="E896" s="5" t="s">
        <v>33</v>
      </c>
      <c r="F896" s="5">
        <v>3</v>
      </c>
      <c r="G896" s="19">
        <v>0.15</v>
      </c>
      <c r="H896" s="5" t="s">
        <v>697</v>
      </c>
      <c r="I896" s="10">
        <f>IF(OR(D896="", F896=""), "", F896 * VLOOKUP(D896, Products!A:E, 5, FALSE) * (1 - G896))</f>
        <v>1379.3970000000002</v>
      </c>
      <c r="J896" s="10"/>
    </row>
    <row r="897" spans="1:10" ht="15.75" customHeight="1" x14ac:dyDescent="0.3">
      <c r="A897" s="5" t="s">
        <v>1764</v>
      </c>
      <c r="B897" s="11">
        <v>45821</v>
      </c>
      <c r="C897" s="5" t="s">
        <v>705</v>
      </c>
      <c r="D897" s="5" t="s">
        <v>103</v>
      </c>
      <c r="E897" s="5" t="s">
        <v>25</v>
      </c>
      <c r="F897" s="5">
        <v>5</v>
      </c>
      <c r="G897" s="19">
        <v>0.05</v>
      </c>
      <c r="H897" s="5" t="s">
        <v>776</v>
      </c>
      <c r="I897" s="10">
        <f>IF(OR(D897="", F897=""), "", F897 * VLOOKUP(D897, Products!A:E, 5, FALSE) * (1 - G897))</f>
        <v>1284.6375</v>
      </c>
      <c r="J897" s="10"/>
    </row>
    <row r="898" spans="1:10" ht="15.75" customHeight="1" x14ac:dyDescent="0.3">
      <c r="A898" s="5" t="s">
        <v>1765</v>
      </c>
      <c r="B898" s="11">
        <v>45339</v>
      </c>
      <c r="C898" s="5" t="s">
        <v>829</v>
      </c>
      <c r="D898" s="5" t="s">
        <v>128</v>
      </c>
      <c r="E898" s="5" t="s">
        <v>29</v>
      </c>
      <c r="F898" s="5">
        <v>2</v>
      </c>
      <c r="G898" s="19">
        <v>0.15</v>
      </c>
      <c r="H898" s="5" t="s">
        <v>637</v>
      </c>
      <c r="I898" s="10">
        <f>IF(OR(D898="", F898=""), "", F898 * VLOOKUP(D898, Products!A:E, 5, FALSE) * (1 - G898))</f>
        <v>550.66399999999999</v>
      </c>
      <c r="J898" s="10"/>
    </row>
    <row r="899" spans="1:10" ht="15.75" customHeight="1" x14ac:dyDescent="0.3">
      <c r="A899" s="5" t="s">
        <v>1766</v>
      </c>
      <c r="B899" s="11">
        <v>45667</v>
      </c>
      <c r="C899" s="5" t="s">
        <v>353</v>
      </c>
      <c r="D899" s="5" t="s">
        <v>221</v>
      </c>
      <c r="E899" s="5" t="s">
        <v>25</v>
      </c>
      <c r="F899" s="5">
        <v>2</v>
      </c>
      <c r="G899" s="19">
        <v>0.15</v>
      </c>
      <c r="H899" s="5" t="s">
        <v>776</v>
      </c>
      <c r="I899" s="10">
        <f>IF(OR(D899="", F899=""), "", F899 * VLOOKUP(D899, Products!A:E, 5, FALSE) * (1 - G899))</f>
        <v>2656.1309999999999</v>
      </c>
      <c r="J899" s="10"/>
    </row>
    <row r="900" spans="1:10" ht="15.75" customHeight="1" x14ac:dyDescent="0.3">
      <c r="A900" s="5" t="s">
        <v>1767</v>
      </c>
      <c r="B900" s="11">
        <v>45501</v>
      </c>
      <c r="C900" s="5" t="s">
        <v>334</v>
      </c>
      <c r="D900" s="5" t="s">
        <v>200</v>
      </c>
      <c r="E900" s="5" t="s">
        <v>33</v>
      </c>
      <c r="F900" s="5">
        <v>4</v>
      </c>
      <c r="G900" s="19">
        <v>0.05</v>
      </c>
      <c r="H900" s="5" t="s">
        <v>454</v>
      </c>
      <c r="I900" s="10">
        <f>IF(OR(D900="", F900=""), "", F900 * VLOOKUP(D900, Products!A:E, 5, FALSE) * (1 - G900))</f>
        <v>4163.7359999999999</v>
      </c>
      <c r="J900" s="10"/>
    </row>
    <row r="901" spans="1:10" ht="15.75" customHeight="1" x14ac:dyDescent="0.3">
      <c r="A901" s="5" t="s">
        <v>1768</v>
      </c>
      <c r="B901" s="11">
        <v>45517</v>
      </c>
      <c r="C901" s="5" t="s">
        <v>628</v>
      </c>
      <c r="D901" s="5" t="s">
        <v>262</v>
      </c>
      <c r="E901" s="5" t="s">
        <v>29</v>
      </c>
      <c r="F901" s="5">
        <v>3</v>
      </c>
      <c r="G901" s="19">
        <v>0</v>
      </c>
      <c r="H901" s="5" t="s">
        <v>637</v>
      </c>
      <c r="I901" s="10">
        <f>IF(OR(D901="", F901=""), "", F901 * VLOOKUP(D901, Products!A:E, 5, FALSE) * (1 - G901))</f>
        <v>1360.8600000000001</v>
      </c>
      <c r="J901" s="10"/>
    </row>
    <row r="902" spans="1:10" ht="15.75" customHeight="1" x14ac:dyDescent="0.3">
      <c r="A902" s="5" t="s">
        <v>1769</v>
      </c>
      <c r="B902" s="11">
        <v>45626</v>
      </c>
      <c r="C902" s="5" t="s">
        <v>229</v>
      </c>
      <c r="D902" s="5" t="s">
        <v>119</v>
      </c>
      <c r="E902" s="5" t="s">
        <v>25</v>
      </c>
      <c r="F902" s="5">
        <v>1</v>
      </c>
      <c r="G902" s="19">
        <v>0.05</v>
      </c>
      <c r="H902" s="5" t="s">
        <v>454</v>
      </c>
      <c r="I902" s="10">
        <f>IF(OR(D902="", F902=""), "", F902 * VLOOKUP(D902, Products!A:E, 5, FALSE) * (1 - G902))</f>
        <v>1025.8955000000001</v>
      </c>
      <c r="J902" s="10"/>
    </row>
    <row r="903" spans="1:10" ht="15.75" customHeight="1" x14ac:dyDescent="0.3">
      <c r="A903" s="5" t="s">
        <v>1770</v>
      </c>
      <c r="B903" s="11">
        <v>45342</v>
      </c>
      <c r="C903" s="5" t="s">
        <v>618</v>
      </c>
      <c r="D903" s="5" t="s">
        <v>57</v>
      </c>
      <c r="E903" s="5" t="s">
        <v>21</v>
      </c>
      <c r="F903" s="5">
        <v>4</v>
      </c>
      <c r="G903" s="19">
        <v>0.1</v>
      </c>
      <c r="H903" s="5" t="s">
        <v>454</v>
      </c>
      <c r="I903" s="10">
        <f>IF(OR(D903="", F903=""), "", F903 * VLOOKUP(D903, Products!A:E, 5, FALSE) * (1 - G903))</f>
        <v>5026.3919999999998</v>
      </c>
      <c r="J903" s="10"/>
    </row>
    <row r="904" spans="1:10" ht="15.75" customHeight="1" x14ac:dyDescent="0.3">
      <c r="A904" s="5" t="s">
        <v>1771</v>
      </c>
      <c r="B904" s="11">
        <v>45507</v>
      </c>
      <c r="C904" s="5" t="s">
        <v>515</v>
      </c>
      <c r="D904" s="5" t="s">
        <v>175</v>
      </c>
      <c r="E904" s="5" t="s">
        <v>29</v>
      </c>
      <c r="F904" s="5">
        <v>5</v>
      </c>
      <c r="G904" s="19">
        <v>0.1</v>
      </c>
      <c r="H904" s="5" t="s">
        <v>454</v>
      </c>
      <c r="I904" s="10">
        <f>IF(OR(D904="", F904=""), "", F904 * VLOOKUP(D904, Products!A:E, 5, FALSE) * (1 - G904))</f>
        <v>5725.0349999999999</v>
      </c>
      <c r="J904" s="10"/>
    </row>
    <row r="905" spans="1:10" ht="15.75" customHeight="1" x14ac:dyDescent="0.3">
      <c r="A905" s="5" t="s">
        <v>1772</v>
      </c>
      <c r="B905" s="11">
        <v>45514</v>
      </c>
      <c r="C905" s="5" t="s">
        <v>106</v>
      </c>
      <c r="D905" s="5" t="s">
        <v>119</v>
      </c>
      <c r="E905" s="5" t="s">
        <v>33</v>
      </c>
      <c r="F905" s="5">
        <v>1</v>
      </c>
      <c r="G905" s="19">
        <v>0.1</v>
      </c>
      <c r="H905" s="5" t="s">
        <v>697</v>
      </c>
      <c r="I905" s="10">
        <f>IF(OR(D905="", F905=""), "", F905 * VLOOKUP(D905, Products!A:E, 5, FALSE) * (1 - G905))</f>
        <v>971.90100000000007</v>
      </c>
      <c r="J905" s="10"/>
    </row>
    <row r="906" spans="1:10" ht="15.75" customHeight="1" x14ac:dyDescent="0.3">
      <c r="A906" s="5" t="s">
        <v>1773</v>
      </c>
      <c r="B906" s="11">
        <v>45775</v>
      </c>
      <c r="C906" s="5" t="s">
        <v>708</v>
      </c>
      <c r="D906" s="5" t="s">
        <v>43</v>
      </c>
      <c r="E906" s="5" t="s">
        <v>37</v>
      </c>
      <c r="F906" s="5">
        <v>5</v>
      </c>
      <c r="G906" s="19">
        <v>0.05</v>
      </c>
      <c r="H906" s="5" t="s">
        <v>454</v>
      </c>
      <c r="I906" s="10">
        <f>IF(OR(D906="", F906=""), "", F906 * VLOOKUP(D906, Products!A:E, 5, FALSE) * (1 - G906))</f>
        <v>7950.0275000000001</v>
      </c>
      <c r="J906" s="10"/>
    </row>
    <row r="907" spans="1:10" ht="15.75" customHeight="1" x14ac:dyDescent="0.3">
      <c r="A907" s="5" t="s">
        <v>1774</v>
      </c>
      <c r="B907" s="11">
        <v>45851</v>
      </c>
      <c r="C907" s="5" t="s">
        <v>507</v>
      </c>
      <c r="D907" s="5" t="s">
        <v>206</v>
      </c>
      <c r="E907" s="5" t="s">
        <v>29</v>
      </c>
      <c r="F907" s="5">
        <v>5</v>
      </c>
      <c r="G907" s="19">
        <v>0.15</v>
      </c>
      <c r="H907" s="5" t="s">
        <v>637</v>
      </c>
      <c r="I907" s="10">
        <f>IF(OR(D907="", F907=""), "", F907 * VLOOKUP(D907, Products!A:E, 5, FALSE) * (1 - G907))</f>
        <v>1295.0174999999999</v>
      </c>
      <c r="J907" s="10"/>
    </row>
    <row r="908" spans="1:10" ht="15.75" customHeight="1" x14ac:dyDescent="0.3">
      <c r="A908" s="5" t="s">
        <v>1775</v>
      </c>
      <c r="B908" s="11">
        <v>45683</v>
      </c>
      <c r="C908" s="5" t="s">
        <v>197</v>
      </c>
      <c r="D908" s="5" t="s">
        <v>269</v>
      </c>
      <c r="E908" s="5" t="s">
        <v>33</v>
      </c>
      <c r="F908" s="5">
        <v>5</v>
      </c>
      <c r="G908" s="19">
        <v>0.1</v>
      </c>
      <c r="H908" s="5" t="s">
        <v>637</v>
      </c>
      <c r="I908" s="10">
        <f>IF(OR(D908="", F908=""), "", F908 * VLOOKUP(D908, Products!A:E, 5, FALSE) * (1 - G908))</f>
        <v>8455.86</v>
      </c>
      <c r="J908" s="10"/>
    </row>
    <row r="909" spans="1:10" ht="15.75" customHeight="1" x14ac:dyDescent="0.3">
      <c r="A909" s="5" t="s">
        <v>1776</v>
      </c>
      <c r="B909" s="11">
        <v>45238</v>
      </c>
      <c r="C909" s="5" t="s">
        <v>752</v>
      </c>
      <c r="D909" s="5" t="s">
        <v>237</v>
      </c>
      <c r="E909" s="5" t="s">
        <v>25</v>
      </c>
      <c r="F909" s="5">
        <v>2</v>
      </c>
      <c r="G909" s="19">
        <v>0.1</v>
      </c>
      <c r="H909" s="5" t="s">
        <v>637</v>
      </c>
      <c r="I909" s="10">
        <f>IF(OR(D909="", F909=""), "", F909 * VLOOKUP(D909, Products!A:E, 5, FALSE) * (1 - G909))</f>
        <v>660.47400000000005</v>
      </c>
      <c r="J909" s="10"/>
    </row>
    <row r="910" spans="1:10" ht="15.75" customHeight="1" x14ac:dyDescent="0.3">
      <c r="A910" s="5" t="s">
        <v>1777</v>
      </c>
      <c r="B910" s="11">
        <v>45504</v>
      </c>
      <c r="C910" s="5" t="s">
        <v>752</v>
      </c>
      <c r="D910" s="5" t="s">
        <v>153</v>
      </c>
      <c r="E910" s="5" t="s">
        <v>37</v>
      </c>
      <c r="F910" s="5">
        <v>5</v>
      </c>
      <c r="G910" s="19">
        <v>0.15</v>
      </c>
      <c r="H910" s="5" t="s">
        <v>776</v>
      </c>
      <c r="I910" s="10">
        <f>IF(OR(D910="", F910=""), "", F910 * VLOOKUP(D910, Products!A:E, 5, FALSE) * (1 - G910))</f>
        <v>6321.4925000000003</v>
      </c>
      <c r="J910" s="10"/>
    </row>
    <row r="911" spans="1:10" ht="15.75" customHeight="1" x14ac:dyDescent="0.3">
      <c r="A911" s="5" t="s">
        <v>1778</v>
      </c>
      <c r="B911" s="11">
        <v>45361</v>
      </c>
      <c r="C911" s="5" t="s">
        <v>197</v>
      </c>
      <c r="D911" s="5" t="s">
        <v>65</v>
      </c>
      <c r="E911" s="5" t="s">
        <v>25</v>
      </c>
      <c r="F911" s="5">
        <v>3</v>
      </c>
      <c r="G911" s="19">
        <v>0.05</v>
      </c>
      <c r="H911" s="5" t="s">
        <v>454</v>
      </c>
      <c r="I911" s="10">
        <f>IF(OR(D911="", F911=""), "", F911 * VLOOKUP(D911, Products!A:E, 5, FALSE) * (1 - G911))</f>
        <v>4201.2419999999993</v>
      </c>
      <c r="J911" s="10"/>
    </row>
    <row r="912" spans="1:10" ht="15.75" customHeight="1" x14ac:dyDescent="0.3">
      <c r="A912" s="5" t="s">
        <v>1779</v>
      </c>
      <c r="B912" s="11">
        <v>45507</v>
      </c>
      <c r="C912" s="5" t="s">
        <v>474</v>
      </c>
      <c r="D912" s="5" t="s">
        <v>119</v>
      </c>
      <c r="E912" s="5" t="s">
        <v>29</v>
      </c>
      <c r="F912" s="5">
        <v>3</v>
      </c>
      <c r="G912" s="19">
        <v>0.15</v>
      </c>
      <c r="H912" s="5" t="s">
        <v>454</v>
      </c>
      <c r="I912" s="10">
        <f>IF(OR(D912="", F912=""), "", F912 * VLOOKUP(D912, Products!A:E, 5, FALSE) * (1 - G912))</f>
        <v>2753.7195000000002</v>
      </c>
      <c r="J912" s="10"/>
    </row>
    <row r="913" spans="1:10" ht="15.75" customHeight="1" x14ac:dyDescent="0.3">
      <c r="A913" s="5" t="s">
        <v>1780</v>
      </c>
      <c r="B913" s="11">
        <v>45361</v>
      </c>
      <c r="C913" s="5" t="s">
        <v>590</v>
      </c>
      <c r="D913" s="5" t="s">
        <v>89</v>
      </c>
      <c r="E913" s="5" t="s">
        <v>29</v>
      </c>
      <c r="F913" s="5">
        <v>5</v>
      </c>
      <c r="G913" s="19">
        <v>0.15</v>
      </c>
      <c r="H913" s="5" t="s">
        <v>637</v>
      </c>
      <c r="I913" s="10">
        <f>IF(OR(D913="", F913=""), "", F913 * VLOOKUP(D913, Products!A:E, 5, FALSE) * (1 - G913))</f>
        <v>4822.8999999999996</v>
      </c>
      <c r="J913" s="10"/>
    </row>
    <row r="914" spans="1:10" ht="15.75" customHeight="1" x14ac:dyDescent="0.3">
      <c r="A914" s="5" t="s">
        <v>1781</v>
      </c>
      <c r="B914" s="11">
        <v>45733</v>
      </c>
      <c r="C914" s="5" t="s">
        <v>322</v>
      </c>
      <c r="D914" s="5" t="s">
        <v>43</v>
      </c>
      <c r="E914" s="5" t="s">
        <v>25</v>
      </c>
      <c r="F914" s="5">
        <v>1</v>
      </c>
      <c r="G914" s="19">
        <v>0.05</v>
      </c>
      <c r="H914" s="5" t="s">
        <v>697</v>
      </c>
      <c r="I914" s="10">
        <f>IF(OR(D914="", F914=""), "", F914 * VLOOKUP(D914, Products!A:E, 5, FALSE) * (1 - G914))</f>
        <v>1590.0055</v>
      </c>
      <c r="J914" s="10"/>
    </row>
    <row r="915" spans="1:10" ht="15.75" customHeight="1" x14ac:dyDescent="0.3">
      <c r="A915" s="5" t="s">
        <v>1782</v>
      </c>
      <c r="B915" s="11">
        <v>45726</v>
      </c>
      <c r="C915" s="5" t="s">
        <v>779</v>
      </c>
      <c r="D915" s="5" t="s">
        <v>67</v>
      </c>
      <c r="E915" s="5" t="s">
        <v>29</v>
      </c>
      <c r="F915" s="5">
        <v>1</v>
      </c>
      <c r="G915" s="19">
        <v>0.05</v>
      </c>
      <c r="H915" s="5" t="s">
        <v>697</v>
      </c>
      <c r="I915" s="10">
        <f>IF(OR(D915="", F915=""), "", F915 * VLOOKUP(D915, Products!A:E, 5, FALSE) * (1 - G915))</f>
        <v>104.291</v>
      </c>
      <c r="J915" s="10"/>
    </row>
    <row r="916" spans="1:10" ht="15.75" customHeight="1" x14ac:dyDescent="0.3">
      <c r="A916" s="5" t="s">
        <v>1783</v>
      </c>
      <c r="B916" s="11">
        <v>45350</v>
      </c>
      <c r="C916" s="5" t="s">
        <v>546</v>
      </c>
      <c r="D916" s="5" t="s">
        <v>89</v>
      </c>
      <c r="E916" s="5" t="s">
        <v>21</v>
      </c>
      <c r="F916" s="5">
        <v>1</v>
      </c>
      <c r="G916" s="19">
        <v>0</v>
      </c>
      <c r="H916" s="5" t="s">
        <v>637</v>
      </c>
      <c r="I916" s="10">
        <f>IF(OR(D916="", F916=""), "", F916 * VLOOKUP(D916, Products!A:E, 5, FALSE) * (1 - G916))</f>
        <v>1134.8</v>
      </c>
      <c r="J916" s="10"/>
    </row>
    <row r="917" spans="1:10" ht="15.75" customHeight="1" x14ac:dyDescent="0.3">
      <c r="A917" s="5" t="s">
        <v>1784</v>
      </c>
      <c r="B917" s="11">
        <v>45838</v>
      </c>
      <c r="C917" s="5" t="s">
        <v>683</v>
      </c>
      <c r="D917" s="5" t="s">
        <v>256</v>
      </c>
      <c r="E917" s="5" t="s">
        <v>21</v>
      </c>
      <c r="F917" s="5">
        <v>1</v>
      </c>
      <c r="G917" s="19">
        <v>0.15</v>
      </c>
      <c r="H917" s="5" t="s">
        <v>776</v>
      </c>
      <c r="I917" s="10">
        <f>IF(OR(D917="", F917=""), "", F917 * VLOOKUP(D917, Products!A:E, 5, FALSE) * (1 - G917))</f>
        <v>1389.7584999999999</v>
      </c>
      <c r="J917" s="10"/>
    </row>
    <row r="918" spans="1:10" ht="15.75" customHeight="1" x14ac:dyDescent="0.3">
      <c r="A918" s="5" t="s">
        <v>1785</v>
      </c>
      <c r="B918" s="11">
        <v>45354</v>
      </c>
      <c r="C918" s="5" t="s">
        <v>235</v>
      </c>
      <c r="D918" s="5" t="s">
        <v>265</v>
      </c>
      <c r="E918" s="5" t="s">
        <v>29</v>
      </c>
      <c r="F918" s="5">
        <v>5</v>
      </c>
      <c r="G918" s="19">
        <v>0.05</v>
      </c>
      <c r="H918" s="5" t="s">
        <v>776</v>
      </c>
      <c r="I918" s="10">
        <f>IF(OR(D918="", F918=""), "", F918 * VLOOKUP(D918, Products!A:E, 5, FALSE) * (1 - G918))</f>
        <v>2680.9949999999999</v>
      </c>
      <c r="J918" s="10"/>
    </row>
    <row r="919" spans="1:10" ht="15.75" customHeight="1" x14ac:dyDescent="0.3">
      <c r="A919" s="5" t="s">
        <v>1786</v>
      </c>
      <c r="B919" s="11">
        <v>45717</v>
      </c>
      <c r="C919" s="5" t="s">
        <v>774</v>
      </c>
      <c r="D919" s="5" t="s">
        <v>153</v>
      </c>
      <c r="E919" s="5" t="s">
        <v>33</v>
      </c>
      <c r="F919" s="5">
        <v>3</v>
      </c>
      <c r="G919" s="19">
        <v>0.05</v>
      </c>
      <c r="H919" s="5" t="s">
        <v>697</v>
      </c>
      <c r="I919" s="10">
        <f>IF(OR(D919="", F919=""), "", F919 * VLOOKUP(D919, Products!A:E, 5, FALSE) * (1 - G919))</f>
        <v>4239.1185000000005</v>
      </c>
      <c r="J919" s="10"/>
    </row>
    <row r="920" spans="1:10" ht="15.75" customHeight="1" x14ac:dyDescent="0.3">
      <c r="A920" s="5" t="s">
        <v>1787</v>
      </c>
      <c r="B920" s="11">
        <v>45636</v>
      </c>
      <c r="C920" s="5" t="s">
        <v>842</v>
      </c>
      <c r="D920" s="5" t="s">
        <v>168</v>
      </c>
      <c r="E920" s="5" t="s">
        <v>29</v>
      </c>
      <c r="F920" s="5">
        <v>4</v>
      </c>
      <c r="G920" s="19">
        <v>0.05</v>
      </c>
      <c r="H920" s="5" t="s">
        <v>697</v>
      </c>
      <c r="I920" s="10">
        <f>IF(OR(D920="", F920=""), "", F920 * VLOOKUP(D920, Products!A:E, 5, FALSE) * (1 - G920))</f>
        <v>3859.8879999999999</v>
      </c>
      <c r="J920" s="10"/>
    </row>
    <row r="921" spans="1:10" ht="15.75" customHeight="1" x14ac:dyDescent="0.3">
      <c r="A921" s="5" t="s">
        <v>1788</v>
      </c>
      <c r="B921" s="11">
        <v>45726</v>
      </c>
      <c r="C921" s="5" t="s">
        <v>665</v>
      </c>
      <c r="D921" s="5" t="s">
        <v>243</v>
      </c>
      <c r="E921" s="5" t="s">
        <v>25</v>
      </c>
      <c r="F921" s="5">
        <v>1</v>
      </c>
      <c r="G921" s="19">
        <v>0</v>
      </c>
      <c r="H921" s="5" t="s">
        <v>454</v>
      </c>
      <c r="I921" s="10">
        <f>IF(OR(D921="", F921=""), "", F921 * VLOOKUP(D921, Products!A:E, 5, FALSE) * (1 - G921))</f>
        <v>540.94000000000005</v>
      </c>
      <c r="J921" s="10"/>
    </row>
    <row r="922" spans="1:10" ht="15.75" customHeight="1" x14ac:dyDescent="0.3">
      <c r="A922" s="5" t="s">
        <v>1789</v>
      </c>
      <c r="B922" s="11">
        <v>45748</v>
      </c>
      <c r="C922" s="5" t="s">
        <v>481</v>
      </c>
      <c r="D922" s="5" t="s">
        <v>221</v>
      </c>
      <c r="E922" s="5" t="s">
        <v>33</v>
      </c>
      <c r="F922" s="5">
        <v>4</v>
      </c>
      <c r="G922" s="19">
        <v>0.1</v>
      </c>
      <c r="H922" s="5" t="s">
        <v>637</v>
      </c>
      <c r="I922" s="10">
        <f>IF(OR(D922="", F922=""), "", F922 * VLOOKUP(D922, Products!A:E, 5, FALSE) * (1 - G922))</f>
        <v>5624.7480000000005</v>
      </c>
      <c r="J922" s="10"/>
    </row>
    <row r="923" spans="1:10" ht="15.75" customHeight="1" x14ac:dyDescent="0.3">
      <c r="A923" s="5" t="s">
        <v>1790</v>
      </c>
      <c r="B923" s="11">
        <v>45711</v>
      </c>
      <c r="C923" s="5" t="s">
        <v>286</v>
      </c>
      <c r="D923" s="5" t="s">
        <v>153</v>
      </c>
      <c r="E923" s="5" t="s">
        <v>37</v>
      </c>
      <c r="F923" s="5">
        <v>2</v>
      </c>
      <c r="G923" s="19">
        <v>0.15</v>
      </c>
      <c r="H923" s="5" t="s">
        <v>637</v>
      </c>
      <c r="I923" s="10">
        <f>IF(OR(D923="", F923=""), "", F923 * VLOOKUP(D923, Products!A:E, 5, FALSE) * (1 - G923))</f>
        <v>2528.5970000000002</v>
      </c>
      <c r="J923" s="10"/>
    </row>
    <row r="924" spans="1:10" ht="15.75" customHeight="1" x14ac:dyDescent="0.3">
      <c r="A924" s="5" t="s">
        <v>1791</v>
      </c>
      <c r="B924" s="11">
        <v>45600</v>
      </c>
      <c r="C924" s="5" t="s">
        <v>665</v>
      </c>
      <c r="D924" s="5" t="s">
        <v>89</v>
      </c>
      <c r="E924" s="5" t="s">
        <v>37</v>
      </c>
      <c r="F924" s="5">
        <v>3</v>
      </c>
      <c r="G924" s="19">
        <v>0.1</v>
      </c>
      <c r="H924" s="5" t="s">
        <v>637</v>
      </c>
      <c r="I924" s="10">
        <f>IF(OR(D924="", F924=""), "", F924 * VLOOKUP(D924, Products!A:E, 5, FALSE) * (1 - G924))</f>
        <v>3063.9599999999996</v>
      </c>
      <c r="J924" s="10"/>
    </row>
    <row r="925" spans="1:10" ht="15.75" customHeight="1" x14ac:dyDescent="0.3">
      <c r="A925" s="5" t="s">
        <v>1792</v>
      </c>
      <c r="B925" s="11">
        <v>45639</v>
      </c>
      <c r="C925" s="5" t="s">
        <v>676</v>
      </c>
      <c r="D925" s="5" t="s">
        <v>77</v>
      </c>
      <c r="E925" s="5" t="s">
        <v>25</v>
      </c>
      <c r="F925" s="5">
        <v>1</v>
      </c>
      <c r="G925" s="19">
        <v>0.15</v>
      </c>
      <c r="H925" s="5" t="s">
        <v>454</v>
      </c>
      <c r="I925" s="10">
        <f>IF(OR(D925="", F925=""), "", F925 * VLOOKUP(D925, Products!A:E, 5, FALSE) * (1 - G925))</f>
        <v>211.28449999999998</v>
      </c>
      <c r="J925" s="10"/>
    </row>
    <row r="926" spans="1:10" ht="15.75" customHeight="1" x14ac:dyDescent="0.3">
      <c r="A926" s="5" t="s">
        <v>1793</v>
      </c>
      <c r="B926" s="11">
        <v>45679</v>
      </c>
      <c r="C926" s="5" t="s">
        <v>519</v>
      </c>
      <c r="D926" s="5" t="s">
        <v>175</v>
      </c>
      <c r="E926" s="5" t="s">
        <v>33</v>
      </c>
      <c r="F926" s="5">
        <v>3</v>
      </c>
      <c r="G926" s="19">
        <v>0.05</v>
      </c>
      <c r="H926" s="5" t="s">
        <v>454</v>
      </c>
      <c r="I926" s="10">
        <f>IF(OR(D926="", F926=""), "", F926 * VLOOKUP(D926, Products!A:E, 5, FALSE) * (1 - G926))</f>
        <v>3625.8554999999997</v>
      </c>
      <c r="J926" s="10"/>
    </row>
    <row r="927" spans="1:10" ht="15.75" customHeight="1" x14ac:dyDescent="0.3">
      <c r="A927" s="5" t="s">
        <v>1794</v>
      </c>
      <c r="B927" s="11">
        <v>45606</v>
      </c>
      <c r="C927" s="5" t="s">
        <v>81</v>
      </c>
      <c r="D927" s="5" t="s">
        <v>43</v>
      </c>
      <c r="E927" s="5" t="s">
        <v>21</v>
      </c>
      <c r="F927" s="5">
        <v>5</v>
      </c>
      <c r="G927" s="19">
        <v>0.05</v>
      </c>
      <c r="H927" s="5" t="s">
        <v>454</v>
      </c>
      <c r="I927" s="10">
        <f>IF(OR(D927="", F927=""), "", F927 * VLOOKUP(D927, Products!A:E, 5, FALSE) * (1 - G927))</f>
        <v>7950.0275000000001</v>
      </c>
      <c r="J927" s="10"/>
    </row>
    <row r="928" spans="1:10" ht="15.75" customHeight="1" x14ac:dyDescent="0.3">
      <c r="A928" s="5" t="s">
        <v>1795</v>
      </c>
      <c r="B928" s="11">
        <v>45704</v>
      </c>
      <c r="C928" s="5" t="s">
        <v>443</v>
      </c>
      <c r="D928" s="5" t="s">
        <v>109</v>
      </c>
      <c r="E928" s="5" t="s">
        <v>33</v>
      </c>
      <c r="F928" s="5">
        <v>5</v>
      </c>
      <c r="G928" s="19">
        <v>0</v>
      </c>
      <c r="H928" s="5" t="s">
        <v>637</v>
      </c>
      <c r="I928" s="10">
        <f>IF(OR(D928="", F928=""), "", F928 * VLOOKUP(D928, Products!A:E, 5, FALSE) * (1 - G928))</f>
        <v>9293.75</v>
      </c>
      <c r="J928" s="10"/>
    </row>
    <row r="929" spans="1:10" ht="15.75" customHeight="1" x14ac:dyDescent="0.3">
      <c r="A929" s="5" t="s">
        <v>1796</v>
      </c>
      <c r="B929" s="11">
        <v>45204</v>
      </c>
      <c r="C929" s="5" t="s">
        <v>859</v>
      </c>
      <c r="D929" s="5" t="s">
        <v>168</v>
      </c>
      <c r="E929" s="5" t="s">
        <v>33</v>
      </c>
      <c r="F929" s="5">
        <v>3</v>
      </c>
      <c r="G929" s="19">
        <v>0</v>
      </c>
      <c r="H929" s="5" t="s">
        <v>637</v>
      </c>
      <c r="I929" s="10">
        <f>IF(OR(D929="", F929=""), "", F929 * VLOOKUP(D929, Products!A:E, 5, FALSE) * (1 - G929))</f>
        <v>3047.2799999999997</v>
      </c>
      <c r="J929" s="10"/>
    </row>
    <row r="930" spans="1:10" ht="15.75" customHeight="1" x14ac:dyDescent="0.3">
      <c r="A930" s="5" t="s">
        <v>1797</v>
      </c>
      <c r="B930" s="11">
        <v>45493</v>
      </c>
      <c r="C930" s="5" t="s">
        <v>447</v>
      </c>
      <c r="D930" s="5" t="s">
        <v>43</v>
      </c>
      <c r="E930" s="5" t="s">
        <v>37</v>
      </c>
      <c r="F930" s="5">
        <v>2</v>
      </c>
      <c r="G930" s="19">
        <v>0</v>
      </c>
      <c r="H930" s="5" t="s">
        <v>454</v>
      </c>
      <c r="I930" s="10">
        <f>IF(OR(D930="", F930=""), "", F930 * VLOOKUP(D930, Products!A:E, 5, FALSE) * (1 - G930))</f>
        <v>3347.38</v>
      </c>
      <c r="J930" s="10"/>
    </row>
    <row r="931" spans="1:10" ht="15.75" customHeight="1" x14ac:dyDescent="0.3">
      <c r="A931" s="5" t="s">
        <v>1798</v>
      </c>
      <c r="B931" s="11">
        <v>45872</v>
      </c>
      <c r="C931" s="5" t="s">
        <v>346</v>
      </c>
      <c r="D931" s="5" t="s">
        <v>57</v>
      </c>
      <c r="E931" s="5" t="s">
        <v>33</v>
      </c>
      <c r="F931" s="5">
        <v>5</v>
      </c>
      <c r="G931" s="19">
        <v>0.15</v>
      </c>
      <c r="H931" s="5" t="s">
        <v>637</v>
      </c>
      <c r="I931" s="10">
        <f>IF(OR(D931="", F931=""), "", F931 * VLOOKUP(D931, Products!A:E, 5, FALSE) * (1 - G931))</f>
        <v>5933.9350000000004</v>
      </c>
      <c r="J931" s="10"/>
    </row>
    <row r="932" spans="1:10" ht="15.75" customHeight="1" x14ac:dyDescent="0.3">
      <c r="A932" s="5" t="s">
        <v>1799</v>
      </c>
      <c r="B932" s="11">
        <v>45756</v>
      </c>
      <c r="C932" s="5" t="s">
        <v>405</v>
      </c>
      <c r="D932" s="5" t="s">
        <v>168</v>
      </c>
      <c r="E932" s="5" t="s">
        <v>25</v>
      </c>
      <c r="F932" s="5">
        <v>4</v>
      </c>
      <c r="G932" s="19">
        <v>0.15</v>
      </c>
      <c r="H932" s="5" t="s">
        <v>697</v>
      </c>
      <c r="I932" s="10">
        <f>IF(OR(D932="", F932=""), "", F932 * VLOOKUP(D932, Products!A:E, 5, FALSE) * (1 - G932))</f>
        <v>3453.5839999999998</v>
      </c>
      <c r="J932" s="10"/>
    </row>
    <row r="933" spans="1:10" ht="15.75" customHeight="1" x14ac:dyDescent="0.3">
      <c r="A933" s="5" t="s">
        <v>1800</v>
      </c>
      <c r="B933" s="11">
        <v>45894</v>
      </c>
      <c r="C933" s="5" t="s">
        <v>420</v>
      </c>
      <c r="D933" s="5" t="s">
        <v>50</v>
      </c>
      <c r="E933" s="5" t="s">
        <v>21</v>
      </c>
      <c r="F933" s="5">
        <v>4</v>
      </c>
      <c r="G933" s="19">
        <v>0.05</v>
      </c>
      <c r="H933" s="5" t="s">
        <v>454</v>
      </c>
      <c r="I933" s="10">
        <f>IF(OR(D933="", F933=""), "", F933 * VLOOKUP(D933, Products!A:E, 5, FALSE) * (1 - G933))</f>
        <v>1282.9939999999999</v>
      </c>
      <c r="J933" s="10"/>
    </row>
    <row r="934" spans="1:10" ht="15.75" customHeight="1" x14ac:dyDescent="0.3">
      <c r="A934" s="5" t="s">
        <v>1801</v>
      </c>
      <c r="B934" s="11">
        <v>45278</v>
      </c>
      <c r="C934" s="5" t="s">
        <v>440</v>
      </c>
      <c r="D934" s="5" t="s">
        <v>103</v>
      </c>
      <c r="E934" s="5" t="s">
        <v>37</v>
      </c>
      <c r="F934" s="5">
        <v>3</v>
      </c>
      <c r="G934" s="19">
        <v>0.15</v>
      </c>
      <c r="H934" s="5" t="s">
        <v>697</v>
      </c>
      <c r="I934" s="10">
        <f>IF(OR(D934="", F934=""), "", F934 * VLOOKUP(D934, Products!A:E, 5, FALSE) * (1 - G934))</f>
        <v>689.64749999999992</v>
      </c>
      <c r="J934" s="10"/>
    </row>
    <row r="935" spans="1:10" ht="15.75" customHeight="1" x14ac:dyDescent="0.3">
      <c r="A935" s="5" t="s">
        <v>1802</v>
      </c>
      <c r="B935" s="11">
        <v>45691</v>
      </c>
      <c r="C935" s="5" t="s">
        <v>181</v>
      </c>
      <c r="D935" s="5" t="s">
        <v>262</v>
      </c>
      <c r="E935" s="5" t="s">
        <v>25</v>
      </c>
      <c r="F935" s="5">
        <v>2</v>
      </c>
      <c r="G935" s="19">
        <v>0.1</v>
      </c>
      <c r="H935" s="5" t="s">
        <v>776</v>
      </c>
      <c r="I935" s="10">
        <f>IF(OR(D935="", F935=""), "", F935 * VLOOKUP(D935, Products!A:E, 5, FALSE) * (1 - G935))</f>
        <v>816.51600000000008</v>
      </c>
      <c r="J935" s="10"/>
    </row>
    <row r="936" spans="1:10" ht="15.75" customHeight="1" x14ac:dyDescent="0.3">
      <c r="A936" s="5" t="s">
        <v>1803</v>
      </c>
      <c r="B936" s="11">
        <v>45423</v>
      </c>
      <c r="C936" s="5" t="s">
        <v>758</v>
      </c>
      <c r="D936" s="5" t="s">
        <v>280</v>
      </c>
      <c r="E936" s="5" t="s">
        <v>33</v>
      </c>
      <c r="F936" s="5">
        <v>5</v>
      </c>
      <c r="G936" s="19">
        <v>0.15</v>
      </c>
      <c r="H936" s="5" t="s">
        <v>454</v>
      </c>
      <c r="I936" s="10">
        <f>IF(OR(D936="", F936=""), "", F936 * VLOOKUP(D936, Products!A:E, 5, FALSE) * (1 - G936))</f>
        <v>5169.5299999999988</v>
      </c>
      <c r="J936" s="10"/>
    </row>
    <row r="937" spans="1:10" ht="15.75" customHeight="1" x14ac:dyDescent="0.3">
      <c r="A937" s="5" t="s">
        <v>1804</v>
      </c>
      <c r="B937" s="11">
        <v>45556</v>
      </c>
      <c r="C937" s="5" t="s">
        <v>811</v>
      </c>
      <c r="D937" s="5" t="s">
        <v>168</v>
      </c>
      <c r="E937" s="5" t="s">
        <v>37</v>
      </c>
      <c r="F937" s="5">
        <v>4</v>
      </c>
      <c r="G937" s="19">
        <v>0.05</v>
      </c>
      <c r="H937" s="5" t="s">
        <v>454</v>
      </c>
      <c r="I937" s="10">
        <f>IF(OR(D937="", F937=""), "", F937 * VLOOKUP(D937, Products!A:E, 5, FALSE) * (1 - G937))</f>
        <v>3859.8879999999999</v>
      </c>
      <c r="J937" s="10"/>
    </row>
    <row r="938" spans="1:10" ht="15.75" customHeight="1" x14ac:dyDescent="0.3">
      <c r="A938" s="5" t="s">
        <v>1805</v>
      </c>
      <c r="B938" s="11">
        <v>45333</v>
      </c>
      <c r="C938" s="5" t="s">
        <v>100</v>
      </c>
      <c r="D938" s="5" t="s">
        <v>232</v>
      </c>
      <c r="E938" s="5" t="s">
        <v>25</v>
      </c>
      <c r="F938" s="5">
        <v>1</v>
      </c>
      <c r="G938" s="19">
        <v>0</v>
      </c>
      <c r="H938" s="5" t="s">
        <v>697</v>
      </c>
      <c r="I938" s="10">
        <f>IF(OR(D938="", F938=""), "", F938 * VLOOKUP(D938, Products!A:E, 5, FALSE) * (1 - G938))</f>
        <v>1952.65</v>
      </c>
      <c r="J938" s="10"/>
    </row>
    <row r="939" spans="1:10" ht="15.75" customHeight="1" x14ac:dyDescent="0.3">
      <c r="A939" s="5" t="s">
        <v>1806</v>
      </c>
      <c r="B939" s="11">
        <v>45424</v>
      </c>
      <c r="C939" s="5" t="s">
        <v>235</v>
      </c>
      <c r="D939" s="5" t="s">
        <v>140</v>
      </c>
      <c r="E939" s="5" t="s">
        <v>29</v>
      </c>
      <c r="F939" s="5">
        <v>3</v>
      </c>
      <c r="G939" s="19">
        <v>0.05</v>
      </c>
      <c r="H939" s="5" t="s">
        <v>637</v>
      </c>
      <c r="I939" s="10">
        <f>IF(OR(D939="", F939=""), "", F939 * VLOOKUP(D939, Products!A:E, 5, FALSE) * (1 - G939))</f>
        <v>72.874499999999998</v>
      </c>
      <c r="J939" s="10"/>
    </row>
    <row r="940" spans="1:10" ht="15.75" customHeight="1" x14ac:dyDescent="0.3">
      <c r="A940" s="5" t="s">
        <v>1807</v>
      </c>
      <c r="B940" s="11">
        <v>45764</v>
      </c>
      <c r="C940" s="5" t="s">
        <v>837</v>
      </c>
      <c r="D940" s="5" t="s">
        <v>212</v>
      </c>
      <c r="E940" s="5" t="s">
        <v>21</v>
      </c>
      <c r="F940" s="5">
        <v>2</v>
      </c>
      <c r="G940" s="19">
        <v>0</v>
      </c>
      <c r="H940" s="5" t="s">
        <v>697</v>
      </c>
      <c r="I940" s="10">
        <f>IF(OR(D940="", F940=""), "", F940 * VLOOKUP(D940, Products!A:E, 5, FALSE) * (1 - G940))</f>
        <v>3597.94</v>
      </c>
      <c r="J940" s="10"/>
    </row>
    <row r="941" spans="1:10" ht="15.75" customHeight="1" x14ac:dyDescent="0.3">
      <c r="A941" s="5" t="s">
        <v>1808</v>
      </c>
      <c r="B941" s="11">
        <v>45491</v>
      </c>
      <c r="C941" s="5" t="s">
        <v>91</v>
      </c>
      <c r="D941" s="5" t="s">
        <v>109</v>
      </c>
      <c r="E941" s="5" t="s">
        <v>33</v>
      </c>
      <c r="F941" s="5">
        <v>2</v>
      </c>
      <c r="G941" s="19">
        <v>0.1</v>
      </c>
      <c r="H941" s="5" t="s">
        <v>637</v>
      </c>
      <c r="I941" s="10">
        <f>IF(OR(D941="", F941=""), "", F941 * VLOOKUP(D941, Products!A:E, 5, FALSE) * (1 - G941))</f>
        <v>3345.75</v>
      </c>
      <c r="J941" s="10"/>
    </row>
    <row r="942" spans="1:10" ht="15.75" customHeight="1" x14ac:dyDescent="0.3">
      <c r="A942" s="5" t="s">
        <v>1809</v>
      </c>
      <c r="B942" s="11">
        <v>45315</v>
      </c>
      <c r="C942" s="5" t="s">
        <v>466</v>
      </c>
      <c r="D942" s="5" t="s">
        <v>206</v>
      </c>
      <c r="E942" s="5" t="s">
        <v>33</v>
      </c>
      <c r="F942" s="5">
        <v>3</v>
      </c>
      <c r="G942" s="19">
        <v>0.15</v>
      </c>
      <c r="H942" s="5" t="s">
        <v>776</v>
      </c>
      <c r="I942" s="10">
        <f>IF(OR(D942="", F942=""), "", F942 * VLOOKUP(D942, Products!A:E, 5, FALSE) * (1 - G942))</f>
        <v>777.01049999999987</v>
      </c>
      <c r="J942" s="10"/>
    </row>
    <row r="943" spans="1:10" ht="15.75" customHeight="1" x14ac:dyDescent="0.3">
      <c r="A943" s="5" t="s">
        <v>1810</v>
      </c>
      <c r="B943" s="11">
        <v>45779</v>
      </c>
      <c r="C943" s="5" t="s">
        <v>484</v>
      </c>
      <c r="D943" s="5" t="s">
        <v>95</v>
      </c>
      <c r="E943" s="5" t="s">
        <v>21</v>
      </c>
      <c r="F943" s="5">
        <v>2</v>
      </c>
      <c r="G943" s="19">
        <v>0</v>
      </c>
      <c r="H943" s="5" t="s">
        <v>454</v>
      </c>
      <c r="I943" s="10">
        <f>IF(OR(D943="", F943=""), "", F943 * VLOOKUP(D943, Products!A:E, 5, FALSE) * (1 - G943))</f>
        <v>2685.5</v>
      </c>
      <c r="J943" s="10"/>
    </row>
    <row r="944" spans="1:10" ht="15.75" customHeight="1" x14ac:dyDescent="0.3">
      <c r="A944" s="5" t="s">
        <v>1811</v>
      </c>
      <c r="B944" s="11">
        <v>45828</v>
      </c>
      <c r="C944" s="5" t="s">
        <v>876</v>
      </c>
      <c r="D944" s="5" t="s">
        <v>269</v>
      </c>
      <c r="E944" s="5" t="s">
        <v>33</v>
      </c>
      <c r="F944" s="5">
        <v>1</v>
      </c>
      <c r="G944" s="19">
        <v>0.15</v>
      </c>
      <c r="H944" s="5" t="s">
        <v>697</v>
      </c>
      <c r="I944" s="10">
        <f>IF(OR(D944="", F944=""), "", F944 * VLOOKUP(D944, Products!A:E, 5, FALSE) * (1 - G944))</f>
        <v>1597.2179999999998</v>
      </c>
      <c r="J944" s="10"/>
    </row>
    <row r="945" spans="1:10" ht="15.75" customHeight="1" x14ac:dyDescent="0.3">
      <c r="A945" s="5" t="s">
        <v>1812</v>
      </c>
      <c r="B945" s="11">
        <v>45617</v>
      </c>
      <c r="C945" s="5" t="s">
        <v>350</v>
      </c>
      <c r="D945" s="5" t="s">
        <v>122</v>
      </c>
      <c r="E945" s="5" t="s">
        <v>29</v>
      </c>
      <c r="F945" s="5">
        <v>4</v>
      </c>
      <c r="G945" s="19">
        <v>0</v>
      </c>
      <c r="H945" s="5" t="s">
        <v>776</v>
      </c>
      <c r="I945" s="10">
        <f>IF(OR(D945="", F945=""), "", F945 * VLOOKUP(D945, Products!A:E, 5, FALSE) * (1 - G945))</f>
        <v>7051.68</v>
      </c>
      <c r="J945" s="10"/>
    </row>
    <row r="946" spans="1:10" ht="15.75" customHeight="1" x14ac:dyDescent="0.3">
      <c r="A946" s="5" t="s">
        <v>1813</v>
      </c>
      <c r="B946" s="11">
        <v>45875</v>
      </c>
      <c r="C946" s="5" t="s">
        <v>869</v>
      </c>
      <c r="D946" s="5" t="s">
        <v>74</v>
      </c>
      <c r="E946" s="5" t="s">
        <v>25</v>
      </c>
      <c r="F946" s="5">
        <v>4</v>
      </c>
      <c r="G946" s="19">
        <v>0.15</v>
      </c>
      <c r="H946" s="5" t="s">
        <v>697</v>
      </c>
      <c r="I946" s="10">
        <f>IF(OR(D946="", F946=""), "", F946 * VLOOKUP(D946, Products!A:E, 5, FALSE) * (1 - G946))</f>
        <v>4060.0079999999994</v>
      </c>
      <c r="J946" s="10"/>
    </row>
    <row r="947" spans="1:10" ht="15.75" customHeight="1" x14ac:dyDescent="0.3">
      <c r="A947" s="5" t="s">
        <v>1814</v>
      </c>
      <c r="B947" s="11">
        <v>45858</v>
      </c>
      <c r="C947" s="5" t="s">
        <v>842</v>
      </c>
      <c r="D947" s="5" t="s">
        <v>103</v>
      </c>
      <c r="E947" s="5" t="s">
        <v>21</v>
      </c>
      <c r="F947" s="5">
        <v>2</v>
      </c>
      <c r="G947" s="19">
        <v>0.15</v>
      </c>
      <c r="H947" s="5" t="s">
        <v>776</v>
      </c>
      <c r="I947" s="10">
        <f>IF(OR(D947="", F947=""), "", F947 * VLOOKUP(D947, Products!A:E, 5, FALSE) * (1 - G947))</f>
        <v>459.76499999999999</v>
      </c>
      <c r="J947" s="10"/>
    </row>
    <row r="948" spans="1:10" ht="15.75" customHeight="1" x14ac:dyDescent="0.3">
      <c r="A948" s="5" t="s">
        <v>1815</v>
      </c>
      <c r="B948" s="11">
        <v>45654</v>
      </c>
      <c r="C948" s="5" t="s">
        <v>661</v>
      </c>
      <c r="D948" s="5" t="s">
        <v>226</v>
      </c>
      <c r="E948" s="5" t="s">
        <v>25</v>
      </c>
      <c r="F948" s="5">
        <v>4</v>
      </c>
      <c r="G948" s="19">
        <v>0.15</v>
      </c>
      <c r="H948" s="5" t="s">
        <v>454</v>
      </c>
      <c r="I948" s="10">
        <f>IF(OR(D948="", F948=""), "", F948 * VLOOKUP(D948, Products!A:E, 5, FALSE) * (1 - G948))</f>
        <v>5104.9639999999999</v>
      </c>
      <c r="J948" s="10"/>
    </row>
    <row r="949" spans="1:10" ht="15.75" customHeight="1" x14ac:dyDescent="0.3">
      <c r="A949" s="5" t="s">
        <v>1816</v>
      </c>
      <c r="B949" s="11">
        <v>45552</v>
      </c>
      <c r="C949" s="5" t="s">
        <v>477</v>
      </c>
      <c r="D949" s="5" t="s">
        <v>77</v>
      </c>
      <c r="E949" s="5" t="s">
        <v>25</v>
      </c>
      <c r="F949" s="5">
        <v>1</v>
      </c>
      <c r="G949" s="19">
        <v>0</v>
      </c>
      <c r="H949" s="5" t="s">
        <v>454</v>
      </c>
      <c r="I949" s="10">
        <f>IF(OR(D949="", F949=""), "", F949 * VLOOKUP(D949, Products!A:E, 5, FALSE) * (1 - G949))</f>
        <v>248.57</v>
      </c>
      <c r="J949" s="10"/>
    </row>
    <row r="950" spans="1:10" ht="15.75" customHeight="1" x14ac:dyDescent="0.3">
      <c r="A950" s="5" t="s">
        <v>1817</v>
      </c>
      <c r="B950" s="11">
        <v>45254</v>
      </c>
      <c r="C950" s="5" t="s">
        <v>624</v>
      </c>
      <c r="D950" s="5" t="s">
        <v>147</v>
      </c>
      <c r="E950" s="5" t="s">
        <v>29</v>
      </c>
      <c r="F950" s="5">
        <v>2</v>
      </c>
      <c r="G950" s="19">
        <v>0.1</v>
      </c>
      <c r="H950" s="5" t="s">
        <v>776</v>
      </c>
      <c r="I950" s="10">
        <f>IF(OR(D950="", F950=""), "", F950 * VLOOKUP(D950, Products!A:E, 5, FALSE) * (1 - G950))</f>
        <v>3381.2460000000001</v>
      </c>
      <c r="J950" s="10"/>
    </row>
    <row r="951" spans="1:10" ht="15.75" customHeight="1" x14ac:dyDescent="0.3">
      <c r="A951" s="5" t="s">
        <v>1818</v>
      </c>
      <c r="B951" s="11">
        <v>45275</v>
      </c>
      <c r="C951" s="5" t="s">
        <v>602</v>
      </c>
      <c r="D951" s="5" t="s">
        <v>249</v>
      </c>
      <c r="E951" s="5" t="s">
        <v>25</v>
      </c>
      <c r="F951" s="5">
        <v>1</v>
      </c>
      <c r="G951" s="19">
        <v>0.05</v>
      </c>
      <c r="H951" s="5" t="s">
        <v>637</v>
      </c>
      <c r="I951" s="10">
        <f>IF(OR(D951="", F951=""), "", F951 * VLOOKUP(D951, Products!A:E, 5, FALSE) * (1 - G951))</f>
        <v>1658.3294999999998</v>
      </c>
      <c r="J951" s="10"/>
    </row>
    <row r="952" spans="1:10" ht="15.75" customHeight="1" x14ac:dyDescent="0.3">
      <c r="A952" s="5" t="s">
        <v>1819</v>
      </c>
      <c r="B952" s="11">
        <v>45856</v>
      </c>
      <c r="C952" s="5" t="s">
        <v>481</v>
      </c>
      <c r="D952" s="5" t="s">
        <v>162</v>
      </c>
      <c r="E952" s="5" t="s">
        <v>21</v>
      </c>
      <c r="F952" s="5">
        <v>2</v>
      </c>
      <c r="G952" s="19">
        <v>0.1</v>
      </c>
      <c r="H952" s="5" t="s">
        <v>776</v>
      </c>
      <c r="I952" s="10">
        <f>IF(OR(D952="", F952=""), "", F952 * VLOOKUP(D952, Products!A:E, 5, FALSE) * (1 - G952))</f>
        <v>772.47</v>
      </c>
      <c r="J952" s="10"/>
    </row>
    <row r="953" spans="1:10" ht="15.75" customHeight="1" x14ac:dyDescent="0.3">
      <c r="A953" s="5" t="s">
        <v>1820</v>
      </c>
      <c r="B953" s="11">
        <v>45503</v>
      </c>
      <c r="C953" s="5" t="s">
        <v>546</v>
      </c>
      <c r="D953" s="5" t="s">
        <v>243</v>
      </c>
      <c r="E953" s="5" t="s">
        <v>25</v>
      </c>
      <c r="F953" s="5">
        <v>1</v>
      </c>
      <c r="G953" s="19">
        <v>0</v>
      </c>
      <c r="H953" s="5" t="s">
        <v>637</v>
      </c>
      <c r="I953" s="10">
        <f>IF(OR(D953="", F953=""), "", F953 * VLOOKUP(D953, Products!A:E, 5, FALSE) * (1 - G953))</f>
        <v>540.94000000000005</v>
      </c>
      <c r="J953" s="10"/>
    </row>
    <row r="954" spans="1:10" ht="15.75" customHeight="1" x14ac:dyDescent="0.3">
      <c r="A954" s="5" t="s">
        <v>1821</v>
      </c>
      <c r="B954" s="11">
        <v>45535</v>
      </c>
      <c r="C954" s="5" t="s">
        <v>802</v>
      </c>
      <c r="D954" s="5" t="s">
        <v>95</v>
      </c>
      <c r="E954" s="5" t="s">
        <v>37</v>
      </c>
      <c r="F954" s="5">
        <v>2</v>
      </c>
      <c r="G954" s="19">
        <v>0.1</v>
      </c>
      <c r="H954" s="5" t="s">
        <v>776</v>
      </c>
      <c r="I954" s="10">
        <f>IF(OR(D954="", F954=""), "", F954 * VLOOKUP(D954, Products!A:E, 5, FALSE) * (1 - G954))</f>
        <v>2416.9500000000003</v>
      </c>
      <c r="J954" s="10"/>
    </row>
    <row r="955" spans="1:10" ht="15.75" customHeight="1" x14ac:dyDescent="0.3">
      <c r="A955" s="5" t="s">
        <v>1822</v>
      </c>
      <c r="B955" s="11">
        <v>45515</v>
      </c>
      <c r="C955" s="5" t="s">
        <v>405</v>
      </c>
      <c r="D955" s="5" t="s">
        <v>65</v>
      </c>
      <c r="E955" s="5" t="s">
        <v>25</v>
      </c>
      <c r="F955" s="5">
        <v>4</v>
      </c>
      <c r="G955" s="19">
        <v>0</v>
      </c>
      <c r="H955" s="5" t="s">
        <v>454</v>
      </c>
      <c r="I955" s="10">
        <f>IF(OR(D955="", F955=""), "", F955 * VLOOKUP(D955, Products!A:E, 5, FALSE) * (1 - G955))</f>
        <v>5896.48</v>
      </c>
      <c r="J955" s="10"/>
    </row>
    <row r="956" spans="1:10" ht="15.75" customHeight="1" x14ac:dyDescent="0.3">
      <c r="A956" s="5" t="s">
        <v>1823</v>
      </c>
      <c r="B956" s="11">
        <v>45420</v>
      </c>
      <c r="C956" s="5" t="s">
        <v>862</v>
      </c>
      <c r="D956" s="5" t="s">
        <v>237</v>
      </c>
      <c r="E956" s="5" t="s">
        <v>21</v>
      </c>
      <c r="F956" s="5">
        <v>1</v>
      </c>
      <c r="G956" s="19">
        <v>0.1</v>
      </c>
      <c r="H956" s="5" t="s">
        <v>697</v>
      </c>
      <c r="I956" s="10">
        <f>IF(OR(D956="", F956=""), "", F956 * VLOOKUP(D956, Products!A:E, 5, FALSE) * (1 - G956))</f>
        <v>330.23700000000002</v>
      </c>
      <c r="J956" s="10"/>
    </row>
    <row r="957" spans="1:10" ht="15.75" customHeight="1" x14ac:dyDescent="0.3">
      <c r="A957" s="5" t="s">
        <v>1824</v>
      </c>
      <c r="B957" s="11">
        <v>45621</v>
      </c>
      <c r="C957" s="5" t="s">
        <v>811</v>
      </c>
      <c r="D957" s="5" t="s">
        <v>262</v>
      </c>
      <c r="E957" s="5" t="s">
        <v>37</v>
      </c>
      <c r="F957" s="5">
        <v>1</v>
      </c>
      <c r="G957" s="19">
        <v>0.05</v>
      </c>
      <c r="H957" s="5" t="s">
        <v>637</v>
      </c>
      <c r="I957" s="10">
        <f>IF(OR(D957="", F957=""), "", F957 * VLOOKUP(D957, Products!A:E, 5, FALSE) * (1 - G957))</f>
        <v>430.93899999999996</v>
      </c>
      <c r="J957" s="10"/>
    </row>
    <row r="958" spans="1:10" ht="15.75" customHeight="1" x14ac:dyDescent="0.3">
      <c r="A958" s="5" t="s">
        <v>1825</v>
      </c>
      <c r="B958" s="11">
        <v>45530</v>
      </c>
      <c r="C958" s="5" t="s">
        <v>389</v>
      </c>
      <c r="D958" s="5" t="s">
        <v>115</v>
      </c>
      <c r="E958" s="5" t="s">
        <v>29</v>
      </c>
      <c r="F958" s="5">
        <v>5</v>
      </c>
      <c r="G958" s="19">
        <v>0.1</v>
      </c>
      <c r="H958" s="5" t="s">
        <v>637</v>
      </c>
      <c r="I958" s="10">
        <f>IF(OR(D958="", F958=""), "", F958 * VLOOKUP(D958, Products!A:E, 5, FALSE) * (1 - G958))</f>
        <v>5607.4949999999999</v>
      </c>
      <c r="J958" s="10"/>
    </row>
    <row r="959" spans="1:10" ht="15.75" customHeight="1" x14ac:dyDescent="0.3">
      <c r="A959" s="5" t="s">
        <v>1826</v>
      </c>
      <c r="B959" s="11">
        <v>45210</v>
      </c>
      <c r="C959" s="5" t="s">
        <v>840</v>
      </c>
      <c r="D959" s="5" t="s">
        <v>122</v>
      </c>
      <c r="E959" s="5" t="s">
        <v>25</v>
      </c>
      <c r="F959" s="5">
        <v>1</v>
      </c>
      <c r="G959" s="19">
        <v>0.15</v>
      </c>
      <c r="H959" s="5" t="s">
        <v>454</v>
      </c>
      <c r="I959" s="10">
        <f>IF(OR(D959="", F959=""), "", F959 * VLOOKUP(D959, Products!A:E, 5, FALSE) * (1 - G959))</f>
        <v>1498.482</v>
      </c>
      <c r="J959" s="10"/>
    </row>
    <row r="960" spans="1:10" ht="15.75" customHeight="1" x14ac:dyDescent="0.3">
      <c r="A960" s="5" t="s">
        <v>1827</v>
      </c>
      <c r="B960" s="11">
        <v>45399</v>
      </c>
      <c r="C960" s="5" t="s">
        <v>833</v>
      </c>
      <c r="D960" s="5" t="s">
        <v>212</v>
      </c>
      <c r="E960" s="5" t="s">
        <v>25</v>
      </c>
      <c r="F960" s="5">
        <v>3</v>
      </c>
      <c r="G960" s="19">
        <v>0</v>
      </c>
      <c r="H960" s="5" t="s">
        <v>637</v>
      </c>
      <c r="I960" s="10">
        <f>IF(OR(D960="", F960=""), "", F960 * VLOOKUP(D960, Products!A:E, 5, FALSE) * (1 - G960))</f>
        <v>5396.91</v>
      </c>
      <c r="J960" s="10"/>
    </row>
    <row r="961" spans="1:10" ht="15.75" customHeight="1" x14ac:dyDescent="0.3">
      <c r="A961" s="5" t="s">
        <v>1828</v>
      </c>
      <c r="B961" s="11">
        <v>45856</v>
      </c>
      <c r="C961" s="5" t="s">
        <v>815</v>
      </c>
      <c r="D961" s="5" t="s">
        <v>128</v>
      </c>
      <c r="E961" s="5" t="s">
        <v>33</v>
      </c>
      <c r="F961" s="5">
        <v>5</v>
      </c>
      <c r="G961" s="19">
        <v>0.1</v>
      </c>
      <c r="H961" s="5" t="s">
        <v>637</v>
      </c>
      <c r="I961" s="10">
        <f>IF(OR(D961="", F961=""), "", F961 * VLOOKUP(D961, Products!A:E, 5, FALSE) * (1 - G961))</f>
        <v>1457.64</v>
      </c>
      <c r="J961" s="10"/>
    </row>
    <row r="962" spans="1:10" ht="15.75" customHeight="1" x14ac:dyDescent="0.3">
      <c r="A962" s="5" t="s">
        <v>1829</v>
      </c>
      <c r="B962" s="11">
        <v>45807</v>
      </c>
      <c r="C962" s="5" t="s">
        <v>346</v>
      </c>
      <c r="D962" s="5" t="s">
        <v>103</v>
      </c>
      <c r="E962" s="5" t="s">
        <v>37</v>
      </c>
      <c r="F962" s="5">
        <v>2</v>
      </c>
      <c r="G962" s="19">
        <v>0.1</v>
      </c>
      <c r="H962" s="5" t="s">
        <v>454</v>
      </c>
      <c r="I962" s="10">
        <f>IF(OR(D962="", F962=""), "", F962 * VLOOKUP(D962, Products!A:E, 5, FALSE) * (1 - G962))</f>
        <v>486.81</v>
      </c>
      <c r="J962" s="10"/>
    </row>
    <row r="963" spans="1:10" ht="15.75" customHeight="1" x14ac:dyDescent="0.3">
      <c r="A963" s="5" t="s">
        <v>1830</v>
      </c>
      <c r="B963" s="11">
        <v>45822</v>
      </c>
      <c r="C963" s="5" t="s">
        <v>840</v>
      </c>
      <c r="D963" s="5" t="s">
        <v>200</v>
      </c>
      <c r="E963" s="5" t="s">
        <v>33</v>
      </c>
      <c r="F963" s="5">
        <v>3</v>
      </c>
      <c r="G963" s="19">
        <v>0.05</v>
      </c>
      <c r="H963" s="5" t="s">
        <v>776</v>
      </c>
      <c r="I963" s="10">
        <f>IF(OR(D963="", F963=""), "", F963 * VLOOKUP(D963, Products!A:E, 5, FALSE) * (1 - G963))</f>
        <v>3122.8019999999997</v>
      </c>
      <c r="J963" s="10"/>
    </row>
    <row r="964" spans="1:10" ht="15.75" customHeight="1" x14ac:dyDescent="0.3">
      <c r="A964" s="5" t="s">
        <v>1831</v>
      </c>
      <c r="B964" s="11">
        <v>45189</v>
      </c>
      <c r="C964" s="5" t="s">
        <v>669</v>
      </c>
      <c r="D964" s="5" t="s">
        <v>276</v>
      </c>
      <c r="E964" s="5" t="s">
        <v>25</v>
      </c>
      <c r="F964" s="5">
        <v>4</v>
      </c>
      <c r="G964" s="19">
        <v>0.1</v>
      </c>
      <c r="H964" s="5" t="s">
        <v>454</v>
      </c>
      <c r="I964" s="10">
        <f>IF(OR(D964="", F964=""), "", F964 * VLOOKUP(D964, Products!A:E, 5, FALSE) * (1 - G964))</f>
        <v>4309.848</v>
      </c>
      <c r="J964" s="10"/>
    </row>
    <row r="965" spans="1:10" ht="15.75" customHeight="1" x14ac:dyDescent="0.3">
      <c r="A965" s="5" t="s">
        <v>1832</v>
      </c>
      <c r="B965" s="11">
        <v>45504</v>
      </c>
      <c r="C965" s="5" t="s">
        <v>676</v>
      </c>
      <c r="D965" s="5" t="s">
        <v>272</v>
      </c>
      <c r="E965" s="5" t="s">
        <v>29</v>
      </c>
      <c r="F965" s="5">
        <v>4</v>
      </c>
      <c r="G965" s="19">
        <v>0</v>
      </c>
      <c r="H965" s="5" t="s">
        <v>637</v>
      </c>
      <c r="I965" s="10">
        <f>IF(OR(D965="", F965=""), "", F965 * VLOOKUP(D965, Products!A:E, 5, FALSE) * (1 - G965))</f>
        <v>4661.4799999999996</v>
      </c>
      <c r="J965" s="10"/>
    </row>
    <row r="966" spans="1:10" ht="15.75" customHeight="1" x14ac:dyDescent="0.3">
      <c r="A966" s="5" t="s">
        <v>1833</v>
      </c>
      <c r="B966" s="11">
        <v>45739</v>
      </c>
      <c r="C966" s="5" t="s">
        <v>840</v>
      </c>
      <c r="D966" s="5" t="s">
        <v>193</v>
      </c>
      <c r="E966" s="5" t="s">
        <v>25</v>
      </c>
      <c r="F966" s="5">
        <v>1</v>
      </c>
      <c r="G966" s="19">
        <v>0.1</v>
      </c>
      <c r="H966" s="5" t="s">
        <v>697</v>
      </c>
      <c r="I966" s="10">
        <f>IF(OR(D966="", F966=""), "", F966 * VLOOKUP(D966, Products!A:E, 5, FALSE) * (1 - G966))</f>
        <v>26.315999999999999</v>
      </c>
      <c r="J966" s="10"/>
    </row>
    <row r="967" spans="1:10" ht="15.75" customHeight="1" x14ac:dyDescent="0.3">
      <c r="A967" s="5" t="s">
        <v>1834</v>
      </c>
      <c r="B967" s="11">
        <v>45324</v>
      </c>
      <c r="C967" s="5" t="s">
        <v>477</v>
      </c>
      <c r="D967" s="5" t="s">
        <v>50</v>
      </c>
      <c r="E967" s="5" t="s">
        <v>21</v>
      </c>
      <c r="F967" s="5">
        <v>5</v>
      </c>
      <c r="G967" s="19">
        <v>0.15</v>
      </c>
      <c r="H967" s="5" t="s">
        <v>697</v>
      </c>
      <c r="I967" s="10">
        <f>IF(OR(D967="", F967=""), "", F967 * VLOOKUP(D967, Products!A:E, 5, FALSE) * (1 - G967))</f>
        <v>1434.9275</v>
      </c>
      <c r="J967" s="10"/>
    </row>
    <row r="968" spans="1:10" ht="15.75" customHeight="1" x14ac:dyDescent="0.3">
      <c r="A968" s="5" t="s">
        <v>1835</v>
      </c>
      <c r="B968" s="11">
        <v>45542</v>
      </c>
      <c r="C968" s="5" t="s">
        <v>665</v>
      </c>
      <c r="D968" s="5" t="s">
        <v>140</v>
      </c>
      <c r="E968" s="5" t="s">
        <v>33</v>
      </c>
      <c r="F968" s="5">
        <v>5</v>
      </c>
      <c r="G968" s="19">
        <v>0.05</v>
      </c>
      <c r="H968" s="5" t="s">
        <v>454</v>
      </c>
      <c r="I968" s="10">
        <f>IF(OR(D968="", F968=""), "", F968 * VLOOKUP(D968, Products!A:E, 5, FALSE) * (1 - G968))</f>
        <v>121.4575</v>
      </c>
      <c r="J968" s="10"/>
    </row>
    <row r="969" spans="1:10" ht="15.75" customHeight="1" x14ac:dyDescent="0.3">
      <c r="A969" s="5" t="s">
        <v>1836</v>
      </c>
      <c r="B969" s="11">
        <v>45677</v>
      </c>
      <c r="C969" s="5" t="s">
        <v>477</v>
      </c>
      <c r="D969" s="5" t="s">
        <v>200</v>
      </c>
      <c r="E969" s="5" t="s">
        <v>33</v>
      </c>
      <c r="F969" s="5">
        <v>3</v>
      </c>
      <c r="G969" s="19">
        <v>0</v>
      </c>
      <c r="H969" s="5" t="s">
        <v>776</v>
      </c>
      <c r="I969" s="10">
        <f>IF(OR(D969="", F969=""), "", F969 * VLOOKUP(D969, Products!A:E, 5, FALSE) * (1 - G969))</f>
        <v>3287.16</v>
      </c>
      <c r="J969" s="10"/>
    </row>
    <row r="970" spans="1:10" ht="15.75" customHeight="1" x14ac:dyDescent="0.3">
      <c r="A970" s="5" t="s">
        <v>1837</v>
      </c>
      <c r="B970" s="11">
        <v>45296</v>
      </c>
      <c r="C970" s="5" t="s">
        <v>661</v>
      </c>
      <c r="D970" s="5" t="s">
        <v>77</v>
      </c>
      <c r="E970" s="5" t="s">
        <v>21</v>
      </c>
      <c r="F970" s="5">
        <v>1</v>
      </c>
      <c r="G970" s="19">
        <v>0.05</v>
      </c>
      <c r="H970" s="5" t="s">
        <v>697</v>
      </c>
      <c r="I970" s="10">
        <f>IF(OR(D970="", F970=""), "", F970 * VLOOKUP(D970, Products!A:E, 5, FALSE) * (1 - G970))</f>
        <v>236.14149999999998</v>
      </c>
      <c r="J970" s="10"/>
    </row>
    <row r="971" spans="1:10" ht="15.75" customHeight="1" x14ac:dyDescent="0.3">
      <c r="A971" s="5" t="s">
        <v>1838</v>
      </c>
      <c r="B971" s="11">
        <v>45599</v>
      </c>
      <c r="C971" s="5" t="s">
        <v>129</v>
      </c>
      <c r="D971" s="5" t="s">
        <v>262</v>
      </c>
      <c r="E971" s="5" t="s">
        <v>25</v>
      </c>
      <c r="F971" s="5">
        <v>1</v>
      </c>
      <c r="G971" s="19">
        <v>0.15</v>
      </c>
      <c r="H971" s="5" t="s">
        <v>697</v>
      </c>
      <c r="I971" s="10">
        <f>IF(OR(D971="", F971=""), "", F971 * VLOOKUP(D971, Products!A:E, 5, FALSE) * (1 - G971))</f>
        <v>385.577</v>
      </c>
      <c r="J971" s="10"/>
    </row>
    <row r="972" spans="1:10" ht="15.75" customHeight="1" x14ac:dyDescent="0.3">
      <c r="A972" s="5" t="s">
        <v>1839</v>
      </c>
      <c r="B972" s="11">
        <v>45856</v>
      </c>
      <c r="C972" s="5" t="s">
        <v>229</v>
      </c>
      <c r="D972" s="5" t="s">
        <v>109</v>
      </c>
      <c r="E972" s="5" t="s">
        <v>21</v>
      </c>
      <c r="F972" s="5">
        <v>5</v>
      </c>
      <c r="G972" s="19">
        <v>0.15</v>
      </c>
      <c r="H972" s="5" t="s">
        <v>637</v>
      </c>
      <c r="I972" s="10">
        <f>IF(OR(D972="", F972=""), "", F972 * VLOOKUP(D972, Products!A:E, 5, FALSE) * (1 - G972))</f>
        <v>7899.6875</v>
      </c>
      <c r="J972" s="10"/>
    </row>
    <row r="973" spans="1:10" ht="15.75" customHeight="1" x14ac:dyDescent="0.3">
      <c r="A973" s="5" t="s">
        <v>1840</v>
      </c>
      <c r="B973" s="11">
        <v>45733</v>
      </c>
      <c r="C973" s="5" t="s">
        <v>665</v>
      </c>
      <c r="D973" s="5" t="s">
        <v>232</v>
      </c>
      <c r="E973" s="5" t="s">
        <v>37</v>
      </c>
      <c r="F973" s="5">
        <v>5</v>
      </c>
      <c r="G973" s="19">
        <v>0.1</v>
      </c>
      <c r="H973" s="5" t="s">
        <v>776</v>
      </c>
      <c r="I973" s="10">
        <f>IF(OR(D973="", F973=""), "", F973 * VLOOKUP(D973, Products!A:E, 5, FALSE) * (1 - G973))</f>
        <v>8786.9250000000011</v>
      </c>
      <c r="J973" s="10"/>
    </row>
    <row r="974" spans="1:10" ht="15.75" customHeight="1" x14ac:dyDescent="0.3">
      <c r="A974" s="5" t="s">
        <v>1841</v>
      </c>
      <c r="B974" s="11">
        <v>45808</v>
      </c>
      <c r="C974" s="5" t="s">
        <v>519</v>
      </c>
      <c r="D974" s="5" t="s">
        <v>267</v>
      </c>
      <c r="E974" s="5" t="s">
        <v>25</v>
      </c>
      <c r="F974" s="5">
        <v>5</v>
      </c>
      <c r="G974" s="19">
        <v>0</v>
      </c>
      <c r="H974" s="5" t="s">
        <v>776</v>
      </c>
      <c r="I974" s="10">
        <f>IF(OR(D974="", F974=""), "", F974 * VLOOKUP(D974, Products!A:E, 5, FALSE) * (1 - G974))</f>
        <v>6432.75</v>
      </c>
      <c r="J974" s="10"/>
    </row>
    <row r="975" spans="1:10" ht="15.75" customHeight="1" x14ac:dyDescent="0.3">
      <c r="A975" s="5" t="s">
        <v>1842</v>
      </c>
      <c r="B975" s="11">
        <v>45377</v>
      </c>
      <c r="C975" s="5" t="s">
        <v>365</v>
      </c>
      <c r="D975" s="5" t="s">
        <v>269</v>
      </c>
      <c r="E975" s="5" t="s">
        <v>33</v>
      </c>
      <c r="F975" s="5">
        <v>1</v>
      </c>
      <c r="G975" s="19">
        <v>0.15</v>
      </c>
      <c r="H975" s="5" t="s">
        <v>776</v>
      </c>
      <c r="I975" s="10">
        <f>IF(OR(D975="", F975=""), "", F975 * VLOOKUP(D975, Products!A:E, 5, FALSE) * (1 - G975))</f>
        <v>1597.2179999999998</v>
      </c>
      <c r="J975" s="10"/>
    </row>
    <row r="976" spans="1:10" ht="15.75" customHeight="1" x14ac:dyDescent="0.3">
      <c r="A976" s="5" t="s">
        <v>1843</v>
      </c>
      <c r="B976" s="11">
        <v>45372</v>
      </c>
      <c r="C976" s="5" t="s">
        <v>515</v>
      </c>
      <c r="D976" s="5" t="s">
        <v>269</v>
      </c>
      <c r="E976" s="5" t="s">
        <v>37</v>
      </c>
      <c r="F976" s="5">
        <v>4</v>
      </c>
      <c r="G976" s="19">
        <v>0.1</v>
      </c>
      <c r="H976" s="5" t="s">
        <v>776</v>
      </c>
      <c r="I976" s="10">
        <f>IF(OR(D976="", F976=""), "", F976 * VLOOKUP(D976, Products!A:E, 5, FALSE) * (1 - G976))</f>
        <v>6764.6880000000001</v>
      </c>
      <c r="J976" s="10"/>
    </row>
    <row r="977" spans="1:10" ht="15.75" customHeight="1" x14ac:dyDescent="0.3">
      <c r="A977" s="5" t="s">
        <v>1844</v>
      </c>
      <c r="B977" s="11">
        <v>45760</v>
      </c>
      <c r="C977" s="5" t="s">
        <v>740</v>
      </c>
      <c r="D977" s="5" t="s">
        <v>269</v>
      </c>
      <c r="E977" s="5" t="s">
        <v>29</v>
      </c>
      <c r="F977" s="5">
        <v>5</v>
      </c>
      <c r="G977" s="19">
        <v>0</v>
      </c>
      <c r="H977" s="5" t="s">
        <v>776</v>
      </c>
      <c r="I977" s="10">
        <f>IF(OR(D977="", F977=""), "", F977 * VLOOKUP(D977, Products!A:E, 5, FALSE) * (1 - G977))</f>
        <v>9395.4</v>
      </c>
      <c r="J977" s="10"/>
    </row>
    <row r="978" spans="1:10" ht="15.75" customHeight="1" x14ac:dyDescent="0.3">
      <c r="A978" s="5" t="s">
        <v>1845</v>
      </c>
      <c r="B978" s="11">
        <v>45513</v>
      </c>
      <c r="C978" s="5" t="s">
        <v>458</v>
      </c>
      <c r="D978" s="5" t="s">
        <v>269</v>
      </c>
      <c r="E978" s="5" t="s">
        <v>21</v>
      </c>
      <c r="F978" s="5">
        <v>2</v>
      </c>
      <c r="G978" s="19">
        <v>0</v>
      </c>
      <c r="H978" s="5" t="s">
        <v>776</v>
      </c>
      <c r="I978" s="10">
        <f>IF(OR(D978="", F978=""), "", F978 * VLOOKUP(D978, Products!A:E, 5, FALSE) * (1 - G978))</f>
        <v>3758.16</v>
      </c>
      <c r="J978" s="10"/>
    </row>
    <row r="979" spans="1:10" ht="15.75" customHeight="1" x14ac:dyDescent="0.3">
      <c r="A979" s="5" t="s">
        <v>1846</v>
      </c>
      <c r="B979" s="11">
        <v>45659</v>
      </c>
      <c r="C979" s="5" t="s">
        <v>833</v>
      </c>
      <c r="D979" s="5" t="s">
        <v>212</v>
      </c>
      <c r="E979" s="5" t="s">
        <v>25</v>
      </c>
      <c r="F979" s="5">
        <v>5</v>
      </c>
      <c r="G979" s="19">
        <v>0.15</v>
      </c>
      <c r="H979" s="5" t="s">
        <v>697</v>
      </c>
      <c r="I979" s="10">
        <f>IF(OR(D979="", F979=""), "", F979 * VLOOKUP(D979, Products!A:E, 5, FALSE) * (1 - G979))</f>
        <v>7645.6225000000004</v>
      </c>
      <c r="J979" s="10"/>
    </row>
    <row r="980" spans="1:10" ht="15.75" customHeight="1" x14ac:dyDescent="0.3">
      <c r="A980" s="5" t="s">
        <v>1847</v>
      </c>
      <c r="B980" s="11">
        <v>45230</v>
      </c>
      <c r="C980" s="5" t="s">
        <v>350</v>
      </c>
      <c r="D980" s="5" t="s">
        <v>95</v>
      </c>
      <c r="E980" s="5" t="s">
        <v>37</v>
      </c>
      <c r="F980" s="5">
        <v>2</v>
      </c>
      <c r="G980" s="19">
        <v>0.05</v>
      </c>
      <c r="H980" s="5" t="s">
        <v>637</v>
      </c>
      <c r="I980" s="10">
        <f>IF(OR(D980="", F980=""), "", F980 * VLOOKUP(D980, Products!A:E, 5, FALSE) * (1 - G980))</f>
        <v>2551.2249999999999</v>
      </c>
      <c r="J980" s="10"/>
    </row>
    <row r="981" spans="1:10" ht="15.75" customHeight="1" x14ac:dyDescent="0.3">
      <c r="A981" s="5" t="s">
        <v>1848</v>
      </c>
      <c r="B981" s="11">
        <v>45638</v>
      </c>
      <c r="C981" s="5" t="s">
        <v>854</v>
      </c>
      <c r="D981" s="5" t="s">
        <v>43</v>
      </c>
      <c r="E981" s="5" t="s">
        <v>21</v>
      </c>
      <c r="F981" s="5">
        <v>5</v>
      </c>
      <c r="G981" s="19">
        <v>0.1</v>
      </c>
      <c r="H981" s="5" t="s">
        <v>637</v>
      </c>
      <c r="I981" s="10">
        <f>IF(OR(D981="", F981=""), "", F981 * VLOOKUP(D981, Products!A:E, 5, FALSE) * (1 - G981))</f>
        <v>7531.6050000000005</v>
      </c>
      <c r="J981" s="10"/>
    </row>
    <row r="982" spans="1:10" ht="15.75" customHeight="1" x14ac:dyDescent="0.3">
      <c r="A982" s="5" t="s">
        <v>1849</v>
      </c>
      <c r="B982" s="11">
        <v>45472</v>
      </c>
      <c r="C982" s="5" t="s">
        <v>811</v>
      </c>
      <c r="D982" s="5" t="s">
        <v>200</v>
      </c>
      <c r="E982" s="5" t="s">
        <v>33</v>
      </c>
      <c r="F982" s="5">
        <v>1</v>
      </c>
      <c r="G982" s="19">
        <v>0.05</v>
      </c>
      <c r="H982" s="5" t="s">
        <v>697</v>
      </c>
      <c r="I982" s="10">
        <f>IF(OR(D982="", F982=""), "", F982 * VLOOKUP(D982, Products!A:E, 5, FALSE) * (1 - G982))</f>
        <v>1040.934</v>
      </c>
      <c r="J982" s="10"/>
    </row>
    <row r="983" spans="1:10" ht="15.75" customHeight="1" x14ac:dyDescent="0.3">
      <c r="A983" s="5" t="s">
        <v>1850</v>
      </c>
      <c r="B983" s="11">
        <v>45867</v>
      </c>
      <c r="C983" s="5" t="s">
        <v>683</v>
      </c>
      <c r="D983" s="5" t="s">
        <v>47</v>
      </c>
      <c r="E983" s="5" t="s">
        <v>33</v>
      </c>
      <c r="F983" s="5">
        <v>5</v>
      </c>
      <c r="G983" s="19">
        <v>0.1</v>
      </c>
      <c r="H983" s="5" t="s">
        <v>697</v>
      </c>
      <c r="I983" s="10">
        <f>IF(OR(D983="", F983=""), "", F983 * VLOOKUP(D983, Products!A:E, 5, FALSE) * (1 - G983))</f>
        <v>3684.42</v>
      </c>
      <c r="J983" s="10"/>
    </row>
    <row r="984" spans="1:10" ht="15.75" customHeight="1" x14ac:dyDescent="0.3">
      <c r="A984" s="5" t="s">
        <v>1851</v>
      </c>
      <c r="B984" s="11">
        <v>45861</v>
      </c>
      <c r="C984" s="5" t="s">
        <v>671</v>
      </c>
      <c r="D984" s="5" t="s">
        <v>122</v>
      </c>
      <c r="E984" s="5" t="s">
        <v>37</v>
      </c>
      <c r="F984" s="5">
        <v>4</v>
      </c>
      <c r="G984" s="19">
        <v>0.1</v>
      </c>
      <c r="H984" s="5" t="s">
        <v>454</v>
      </c>
      <c r="I984" s="10">
        <f>IF(OR(D984="", F984=""), "", F984 * VLOOKUP(D984, Products!A:E, 5, FALSE) * (1 - G984))</f>
        <v>6346.5120000000006</v>
      </c>
      <c r="J984" s="10"/>
    </row>
    <row r="985" spans="1:10" ht="15.75" customHeight="1" x14ac:dyDescent="0.3">
      <c r="A985" s="5" t="s">
        <v>1852</v>
      </c>
      <c r="B985" s="11">
        <v>45583</v>
      </c>
      <c r="C985" s="5" t="s">
        <v>683</v>
      </c>
      <c r="D985" s="5" t="s">
        <v>188</v>
      </c>
      <c r="E985" s="5" t="s">
        <v>29</v>
      </c>
      <c r="F985" s="5">
        <v>3</v>
      </c>
      <c r="G985" s="19">
        <v>0.15</v>
      </c>
      <c r="H985" s="5" t="s">
        <v>637</v>
      </c>
      <c r="I985" s="10">
        <f>IF(OR(D985="", F985=""), "", F985 * VLOOKUP(D985, Products!A:E, 5, FALSE) * (1 - G985))</f>
        <v>3786.8774999999996</v>
      </c>
      <c r="J985" s="10"/>
    </row>
    <row r="986" spans="1:10" ht="15.75" customHeight="1" x14ac:dyDescent="0.3">
      <c r="A986" s="5" t="s">
        <v>1853</v>
      </c>
      <c r="B986" s="11">
        <v>45477</v>
      </c>
      <c r="C986" s="5" t="s">
        <v>833</v>
      </c>
      <c r="D986" s="5" t="s">
        <v>168</v>
      </c>
      <c r="E986" s="5" t="s">
        <v>29</v>
      </c>
      <c r="F986" s="5">
        <v>5</v>
      </c>
      <c r="G986" s="19">
        <v>0.05</v>
      </c>
      <c r="H986" s="5" t="s">
        <v>697</v>
      </c>
      <c r="I986" s="10">
        <f>IF(OR(D986="", F986=""), "", F986 * VLOOKUP(D986, Products!A:E, 5, FALSE) * (1 - G986))</f>
        <v>4824.8599999999997</v>
      </c>
      <c r="J986" s="10"/>
    </row>
    <row r="987" spans="1:10" ht="15.75" customHeight="1" x14ac:dyDescent="0.3">
      <c r="A987" s="5" t="s">
        <v>1854</v>
      </c>
      <c r="B987" s="11">
        <v>45525</v>
      </c>
      <c r="C987" s="5" t="s">
        <v>528</v>
      </c>
      <c r="D987" s="5" t="s">
        <v>153</v>
      </c>
      <c r="E987" s="5" t="s">
        <v>37</v>
      </c>
      <c r="F987" s="5">
        <v>3</v>
      </c>
      <c r="G987" s="19">
        <v>0.1</v>
      </c>
      <c r="H987" s="5" t="s">
        <v>637</v>
      </c>
      <c r="I987" s="10">
        <f>IF(OR(D987="", F987=""), "", F987 * VLOOKUP(D987, Products!A:E, 5, FALSE) * (1 - G987))</f>
        <v>4016.0070000000005</v>
      </c>
      <c r="J987" s="10"/>
    </row>
    <row r="988" spans="1:10" ht="15.75" customHeight="1" x14ac:dyDescent="0.3">
      <c r="A988" s="5" t="s">
        <v>1855</v>
      </c>
      <c r="B988" s="11">
        <v>45533</v>
      </c>
      <c r="C988" s="5" t="s">
        <v>593</v>
      </c>
      <c r="D988" s="5" t="s">
        <v>193</v>
      </c>
      <c r="E988" s="5" t="s">
        <v>33</v>
      </c>
      <c r="F988" s="5">
        <v>1</v>
      </c>
      <c r="G988" s="19">
        <v>0</v>
      </c>
      <c r="H988" s="5" t="s">
        <v>454</v>
      </c>
      <c r="I988" s="10">
        <f>IF(OR(D988="", F988=""), "", F988 * VLOOKUP(D988, Products!A:E, 5, FALSE) * (1 - G988))</f>
        <v>29.24</v>
      </c>
      <c r="J988" s="10"/>
    </row>
    <row r="989" spans="1:10" ht="15.75" customHeight="1" x14ac:dyDescent="0.3">
      <c r="A989" s="5" t="s">
        <v>1856</v>
      </c>
      <c r="B989" s="11">
        <v>45559</v>
      </c>
      <c r="C989" s="5" t="s">
        <v>724</v>
      </c>
      <c r="D989" s="5" t="s">
        <v>193</v>
      </c>
      <c r="E989" s="5" t="s">
        <v>21</v>
      </c>
      <c r="F989" s="5">
        <v>5</v>
      </c>
      <c r="G989" s="19">
        <v>0.05</v>
      </c>
      <c r="H989" s="5" t="s">
        <v>454</v>
      </c>
      <c r="I989" s="10">
        <f>IF(OR(D989="", F989=""), "", F989 * VLOOKUP(D989, Products!A:E, 5, FALSE) * (1 - G989))</f>
        <v>138.88999999999999</v>
      </c>
      <c r="J989" s="10"/>
    </row>
    <row r="990" spans="1:10" ht="15.75" customHeight="1" x14ac:dyDescent="0.3">
      <c r="A990" s="5" t="s">
        <v>1857</v>
      </c>
      <c r="B990" s="11">
        <v>45235</v>
      </c>
      <c r="C990" s="5" t="s">
        <v>69</v>
      </c>
      <c r="D990" s="5" t="s">
        <v>65</v>
      </c>
      <c r="E990" s="5" t="s">
        <v>29</v>
      </c>
      <c r="F990" s="5">
        <v>2</v>
      </c>
      <c r="G990" s="19">
        <v>0.05</v>
      </c>
      <c r="H990" s="5" t="s">
        <v>454</v>
      </c>
      <c r="I990" s="10">
        <f>IF(OR(D990="", F990=""), "", F990 * VLOOKUP(D990, Products!A:E, 5, FALSE) * (1 - G990))</f>
        <v>2800.8279999999995</v>
      </c>
      <c r="J990" s="10"/>
    </row>
    <row r="991" spans="1:10" ht="15.75" customHeight="1" x14ac:dyDescent="0.3">
      <c r="A991" s="5" t="s">
        <v>1858</v>
      </c>
      <c r="B991" s="11">
        <v>45803</v>
      </c>
      <c r="C991" s="5" t="s">
        <v>106</v>
      </c>
      <c r="D991" s="5" t="s">
        <v>128</v>
      </c>
      <c r="E991" s="5" t="s">
        <v>29</v>
      </c>
      <c r="F991" s="5">
        <v>5</v>
      </c>
      <c r="G991" s="19">
        <v>0.05</v>
      </c>
      <c r="H991" s="5" t="s">
        <v>776</v>
      </c>
      <c r="I991" s="10">
        <f>IF(OR(D991="", F991=""), "", F991 * VLOOKUP(D991, Products!A:E, 5, FALSE) * (1 - G991))</f>
        <v>1538.6200000000001</v>
      </c>
      <c r="J991" s="10"/>
    </row>
    <row r="992" spans="1:10" ht="15.75" customHeight="1" x14ac:dyDescent="0.3">
      <c r="A992" s="5" t="s">
        <v>1859</v>
      </c>
      <c r="B992" s="11">
        <v>45475</v>
      </c>
      <c r="C992" s="5" t="s">
        <v>137</v>
      </c>
      <c r="D992" s="5" t="s">
        <v>272</v>
      </c>
      <c r="E992" s="5" t="s">
        <v>33</v>
      </c>
      <c r="F992" s="5">
        <v>3</v>
      </c>
      <c r="G992" s="19">
        <v>0.05</v>
      </c>
      <c r="H992" s="5" t="s">
        <v>697</v>
      </c>
      <c r="I992" s="10">
        <f>IF(OR(D992="", F992=""), "", F992 * VLOOKUP(D992, Products!A:E, 5, FALSE) * (1 - G992))</f>
        <v>3321.3044999999997</v>
      </c>
      <c r="J992" s="10"/>
    </row>
    <row r="993" spans="1:10" ht="15.75" customHeight="1" x14ac:dyDescent="0.3">
      <c r="A993" s="5" t="s">
        <v>1860</v>
      </c>
      <c r="B993" s="11">
        <v>45273</v>
      </c>
      <c r="C993" s="5" t="s">
        <v>420</v>
      </c>
      <c r="D993" s="5" t="s">
        <v>77</v>
      </c>
      <c r="E993" s="5" t="s">
        <v>29</v>
      </c>
      <c r="F993" s="5">
        <v>5</v>
      </c>
      <c r="G993" s="19">
        <v>0.05</v>
      </c>
      <c r="H993" s="5" t="s">
        <v>697</v>
      </c>
      <c r="I993" s="10">
        <f>IF(OR(D993="", F993=""), "", F993 * VLOOKUP(D993, Products!A:E, 5, FALSE) * (1 - G993))</f>
        <v>1180.7074999999998</v>
      </c>
      <c r="J993" s="10"/>
    </row>
    <row r="994" spans="1:10" ht="15.75" customHeight="1" x14ac:dyDescent="0.3">
      <c r="A994" s="5" t="s">
        <v>1861</v>
      </c>
      <c r="B994" s="11">
        <v>45317</v>
      </c>
      <c r="C994" s="5" t="s">
        <v>412</v>
      </c>
      <c r="D994" s="5" t="s">
        <v>188</v>
      </c>
      <c r="E994" s="5" t="s">
        <v>29</v>
      </c>
      <c r="F994" s="5">
        <v>1</v>
      </c>
      <c r="G994" s="19">
        <v>0.15</v>
      </c>
      <c r="H994" s="5" t="s">
        <v>697</v>
      </c>
      <c r="I994" s="10">
        <f>IF(OR(D994="", F994=""), "", F994 * VLOOKUP(D994, Products!A:E, 5, FALSE) * (1 - G994))</f>
        <v>1262.2925</v>
      </c>
      <c r="J994" s="10"/>
    </row>
    <row r="995" spans="1:10" ht="15.75" customHeight="1" x14ac:dyDescent="0.3">
      <c r="A995" s="5" t="s">
        <v>1862</v>
      </c>
      <c r="B995" s="11">
        <v>45540</v>
      </c>
      <c r="C995" s="5" t="s">
        <v>840</v>
      </c>
      <c r="D995" s="5" t="s">
        <v>109</v>
      </c>
      <c r="E995" s="5" t="s">
        <v>21</v>
      </c>
      <c r="F995" s="5">
        <v>3</v>
      </c>
      <c r="G995" s="19">
        <v>0.15</v>
      </c>
      <c r="H995" s="5" t="s">
        <v>697</v>
      </c>
      <c r="I995" s="10">
        <f>IF(OR(D995="", F995=""), "", F995 * VLOOKUP(D995, Products!A:E, 5, FALSE) * (1 - G995))</f>
        <v>4739.8125</v>
      </c>
      <c r="J995" s="10"/>
    </row>
    <row r="996" spans="1:10" ht="15.75" customHeight="1" x14ac:dyDescent="0.3">
      <c r="A996" s="5" t="s">
        <v>1863</v>
      </c>
      <c r="B996" s="11">
        <v>45539</v>
      </c>
      <c r="C996" s="5" t="s">
        <v>628</v>
      </c>
      <c r="D996" s="5" t="s">
        <v>134</v>
      </c>
      <c r="E996" s="5" t="s">
        <v>37</v>
      </c>
      <c r="F996" s="5">
        <v>1</v>
      </c>
      <c r="G996" s="19">
        <v>0.1</v>
      </c>
      <c r="H996" s="5" t="s">
        <v>776</v>
      </c>
      <c r="I996" s="10">
        <f>IF(OR(D996="", F996=""), "", F996 * VLOOKUP(D996, Products!A:E, 5, FALSE) * (1 - G996))</f>
        <v>1104.5160000000001</v>
      </c>
      <c r="J996" s="10"/>
    </row>
    <row r="997" spans="1:10" ht="15.75" customHeight="1" x14ac:dyDescent="0.3">
      <c r="A997" s="5" t="s">
        <v>1864</v>
      </c>
      <c r="B997" s="11">
        <v>45533</v>
      </c>
      <c r="C997" s="5" t="s">
        <v>840</v>
      </c>
      <c r="D997" s="5" t="s">
        <v>206</v>
      </c>
      <c r="E997" s="5" t="s">
        <v>37</v>
      </c>
      <c r="F997" s="5">
        <v>4</v>
      </c>
      <c r="G997" s="19">
        <v>0</v>
      </c>
      <c r="H997" s="5" t="s">
        <v>776</v>
      </c>
      <c r="I997" s="10">
        <f>IF(OR(D997="", F997=""), "", F997 * VLOOKUP(D997, Products!A:E, 5, FALSE) * (1 - G997))</f>
        <v>1218.8399999999999</v>
      </c>
      <c r="J997" s="10"/>
    </row>
    <row r="998" spans="1:10" ht="15.75" customHeight="1" x14ac:dyDescent="0.3">
      <c r="A998" s="5" t="s">
        <v>1865</v>
      </c>
      <c r="B998" s="11">
        <v>45436</v>
      </c>
      <c r="C998" s="5" t="s">
        <v>872</v>
      </c>
      <c r="D998" s="5" t="s">
        <v>291</v>
      </c>
      <c r="E998" s="5" t="s">
        <v>29</v>
      </c>
      <c r="F998" s="5">
        <v>3</v>
      </c>
      <c r="G998" s="19">
        <v>0.15</v>
      </c>
      <c r="H998" s="5" t="s">
        <v>637</v>
      </c>
      <c r="I998" s="10">
        <f>IF(OR(D998="", F998=""), "", F998 * VLOOKUP(D998, Products!A:E, 5, FALSE) * (1 - G998))</f>
        <v>2663.8319999999999</v>
      </c>
      <c r="J998" s="10"/>
    </row>
    <row r="999" spans="1:10" ht="15.75" customHeight="1" x14ac:dyDescent="0.3">
      <c r="A999" s="5" t="s">
        <v>1866</v>
      </c>
      <c r="B999" s="11">
        <v>45596</v>
      </c>
      <c r="C999" s="5" t="s">
        <v>255</v>
      </c>
      <c r="D999" s="5" t="s">
        <v>95</v>
      </c>
      <c r="E999" s="5" t="s">
        <v>25</v>
      </c>
      <c r="F999" s="5">
        <v>5</v>
      </c>
      <c r="G999" s="19">
        <v>0</v>
      </c>
      <c r="H999" s="5" t="s">
        <v>637</v>
      </c>
      <c r="I999" s="10">
        <f>IF(OR(D999="", F999=""), "", F999 * VLOOKUP(D999, Products!A:E, 5, FALSE) * (1 - G999))</f>
        <v>6713.75</v>
      </c>
      <c r="J999" s="10"/>
    </row>
    <row r="1000" spans="1:10" ht="15.75" customHeight="1" x14ac:dyDescent="0.3">
      <c r="A1000" s="5" t="s">
        <v>1867</v>
      </c>
      <c r="B1000" s="11">
        <v>45303</v>
      </c>
      <c r="C1000" s="5" t="s">
        <v>159</v>
      </c>
      <c r="D1000" s="5" t="s">
        <v>153</v>
      </c>
      <c r="E1000" s="5" t="s">
        <v>29</v>
      </c>
      <c r="F1000" s="5">
        <v>5</v>
      </c>
      <c r="G1000" s="19">
        <v>0</v>
      </c>
      <c r="H1000" s="5" t="s">
        <v>454</v>
      </c>
      <c r="I1000" s="10">
        <f>IF(OR(D1000="", F1000=""), "", F1000 * VLOOKUP(D1000, Products!A:E, 5, FALSE) * (1 - G1000))</f>
        <v>7437.05</v>
      </c>
      <c r="J1000" s="10"/>
    </row>
    <row r="1001" spans="1:10" ht="15.75" customHeight="1" x14ac:dyDescent="0.3">
      <c r="A1001" s="5" t="s">
        <v>1868</v>
      </c>
      <c r="B1001" s="11">
        <v>45881</v>
      </c>
      <c r="C1001" s="5" t="s">
        <v>676</v>
      </c>
      <c r="D1001" s="5" t="s">
        <v>232</v>
      </c>
      <c r="E1001" s="5" t="s">
        <v>37</v>
      </c>
      <c r="F1001" s="5">
        <v>2</v>
      </c>
      <c r="G1001" s="19">
        <v>0.1</v>
      </c>
      <c r="H1001" s="5" t="s">
        <v>697</v>
      </c>
      <c r="I1001" s="10">
        <f>IF(OR(D1001="", F1001=""), "", F1001 * VLOOKUP(D1001, Products!A:E, 5, FALSE) * (1 - G1001))</f>
        <v>3514.7700000000004</v>
      </c>
      <c r="J1001" s="10"/>
    </row>
    <row r="1002" spans="1:10" ht="15.75" customHeight="1" x14ac:dyDescent="0.3">
      <c r="A1002" s="5" t="s">
        <v>1869</v>
      </c>
      <c r="B1002" s="11">
        <v>45654</v>
      </c>
      <c r="C1002" s="5" t="s">
        <v>308</v>
      </c>
      <c r="D1002" s="5" t="s">
        <v>276</v>
      </c>
      <c r="E1002" s="5" t="s">
        <v>21</v>
      </c>
      <c r="F1002" s="5">
        <v>4</v>
      </c>
      <c r="G1002" s="19">
        <v>0.15</v>
      </c>
      <c r="H1002" s="5" t="s">
        <v>776</v>
      </c>
      <c r="I1002" s="10">
        <f>IF(OR(D1002="", F1002=""), "", F1002 * VLOOKUP(D1002, Products!A:E, 5, FALSE) * (1 - G1002))</f>
        <v>4070.4120000000003</v>
      </c>
      <c r="J1002" s="10"/>
    </row>
    <row r="1003" spans="1:10" ht="15.75" customHeight="1" x14ac:dyDescent="0.3">
      <c r="A1003" s="5" t="s">
        <v>1870</v>
      </c>
      <c r="B1003" s="11">
        <v>45624</v>
      </c>
      <c r="C1003" s="5" t="s">
        <v>376</v>
      </c>
      <c r="D1003" s="5" t="s">
        <v>103</v>
      </c>
      <c r="E1003" s="5" t="s">
        <v>33</v>
      </c>
      <c r="F1003" s="5">
        <v>3</v>
      </c>
      <c r="G1003" s="19">
        <v>0.15</v>
      </c>
      <c r="H1003" s="5" t="s">
        <v>697</v>
      </c>
      <c r="I1003" s="10">
        <f>IF(OR(D1003="", F1003=""), "", F1003 * VLOOKUP(D1003, Products!A:E, 5, FALSE) * (1 - G1003))</f>
        <v>689.64749999999992</v>
      </c>
      <c r="J1003" s="10"/>
    </row>
    <row r="1004" spans="1:10" ht="15.75" customHeight="1" x14ac:dyDescent="0.3">
      <c r="A1004" s="5" t="s">
        <v>1871</v>
      </c>
      <c r="B1004" s="11">
        <v>45345</v>
      </c>
      <c r="C1004" s="5" t="s">
        <v>281</v>
      </c>
      <c r="D1004" s="5" t="s">
        <v>193</v>
      </c>
      <c r="E1004" s="5" t="s">
        <v>29</v>
      </c>
      <c r="F1004" s="5">
        <v>1</v>
      </c>
      <c r="G1004" s="19">
        <v>0.15</v>
      </c>
      <c r="H1004" s="5" t="s">
        <v>776</v>
      </c>
      <c r="I1004" s="10">
        <f>IF(OR(D1004="", F1004=""), "", F1004 * VLOOKUP(D1004, Products!A:E, 5, FALSE) * (1 - G1004))</f>
        <v>24.853999999999999</v>
      </c>
      <c r="J1004" s="10"/>
    </row>
    <row r="1005" spans="1:10" ht="15.75" customHeight="1" x14ac:dyDescent="0.3">
      <c r="A1005" s="5" t="s">
        <v>1872</v>
      </c>
      <c r="B1005" s="11">
        <v>45634</v>
      </c>
      <c r="C1005" s="5" t="s">
        <v>683</v>
      </c>
      <c r="D1005" s="5" t="s">
        <v>122</v>
      </c>
      <c r="E1005" s="5" t="s">
        <v>33</v>
      </c>
      <c r="F1005" s="5">
        <v>3</v>
      </c>
      <c r="G1005" s="19">
        <v>0</v>
      </c>
      <c r="H1005" s="5" t="s">
        <v>637</v>
      </c>
      <c r="I1005" s="10">
        <f>IF(OR(D1005="", F1005=""), "", F1005 * VLOOKUP(D1005, Products!A:E, 5, FALSE) * (1 - G1005))</f>
        <v>5288.76</v>
      </c>
      <c r="J1005" s="10"/>
    </row>
    <row r="1006" spans="1:10" ht="15.75" customHeight="1" x14ac:dyDescent="0.3">
      <c r="A1006" s="5" t="s">
        <v>1873</v>
      </c>
      <c r="B1006" s="11">
        <v>45442</v>
      </c>
      <c r="C1006" s="5" t="s">
        <v>641</v>
      </c>
      <c r="D1006" s="5" t="s">
        <v>95</v>
      </c>
      <c r="E1006" s="5" t="s">
        <v>33</v>
      </c>
      <c r="F1006" s="5">
        <v>2</v>
      </c>
      <c r="G1006" s="19">
        <v>0.05</v>
      </c>
      <c r="H1006" s="5" t="s">
        <v>637</v>
      </c>
      <c r="I1006" s="10">
        <f>IF(OR(D1006="", F1006=""), "", F1006 * VLOOKUP(D1006, Products!A:E, 5, FALSE) * (1 - G1006))</f>
        <v>2551.2249999999999</v>
      </c>
      <c r="J1006" s="10"/>
    </row>
    <row r="1007" spans="1:10" ht="15.75" customHeight="1" x14ac:dyDescent="0.3">
      <c r="A1007" s="5" t="s">
        <v>1874</v>
      </c>
      <c r="B1007" s="11">
        <v>45637</v>
      </c>
      <c r="C1007" s="5" t="s">
        <v>695</v>
      </c>
      <c r="D1007" s="5" t="s">
        <v>47</v>
      </c>
      <c r="E1007" s="5" t="s">
        <v>25</v>
      </c>
      <c r="F1007" s="5">
        <v>4</v>
      </c>
      <c r="G1007" s="19">
        <v>0.15</v>
      </c>
      <c r="H1007" s="5" t="s">
        <v>697</v>
      </c>
      <c r="I1007" s="10">
        <f>IF(OR(D1007="", F1007=""), "", F1007 * VLOOKUP(D1007, Products!A:E, 5, FALSE) * (1 - G1007))</f>
        <v>2783.7840000000001</v>
      </c>
      <c r="J1007" s="10"/>
    </row>
    <row r="1008" spans="1:10" ht="15.75" customHeight="1" x14ac:dyDescent="0.3">
      <c r="A1008" s="5" t="s">
        <v>1875</v>
      </c>
      <c r="B1008" s="11">
        <v>45370</v>
      </c>
      <c r="C1008" s="5" t="s">
        <v>695</v>
      </c>
      <c r="D1008" s="5" t="s">
        <v>119</v>
      </c>
      <c r="E1008" s="5" t="s">
        <v>37</v>
      </c>
      <c r="F1008" s="5">
        <v>5</v>
      </c>
      <c r="G1008" s="19">
        <v>0.05</v>
      </c>
      <c r="H1008" s="5" t="s">
        <v>697</v>
      </c>
      <c r="I1008" s="10">
        <f>IF(OR(D1008="", F1008=""), "", F1008 * VLOOKUP(D1008, Products!A:E, 5, FALSE) * (1 - G1008))</f>
        <v>5129.4775000000009</v>
      </c>
      <c r="J1008" s="10"/>
    </row>
    <row r="1009" spans="1:10" ht="15.75" customHeight="1" x14ac:dyDescent="0.3">
      <c r="A1009" s="5" t="s">
        <v>1876</v>
      </c>
      <c r="B1009" s="11">
        <v>45818</v>
      </c>
      <c r="C1009" s="5" t="s">
        <v>185</v>
      </c>
      <c r="D1009" s="5" t="s">
        <v>95</v>
      </c>
      <c r="E1009" s="5" t="s">
        <v>29</v>
      </c>
      <c r="F1009" s="5">
        <v>4</v>
      </c>
      <c r="G1009" s="19">
        <v>0.1</v>
      </c>
      <c r="H1009" s="5" t="s">
        <v>776</v>
      </c>
      <c r="I1009" s="10">
        <f>IF(OR(D1009="", F1009=""), "", F1009 * VLOOKUP(D1009, Products!A:E, 5, FALSE) * (1 - G1009))</f>
        <v>4833.9000000000005</v>
      </c>
      <c r="J1009" s="10"/>
    </row>
    <row r="1010" spans="1:10" ht="15.75" customHeight="1" x14ac:dyDescent="0.3">
      <c r="A1010" s="5" t="s">
        <v>1877</v>
      </c>
      <c r="B1010" s="11">
        <v>45231</v>
      </c>
      <c r="C1010" s="5" t="s">
        <v>245</v>
      </c>
      <c r="D1010" s="5" t="s">
        <v>276</v>
      </c>
      <c r="E1010" s="5" t="s">
        <v>33</v>
      </c>
      <c r="F1010" s="5">
        <v>4</v>
      </c>
      <c r="G1010" s="19">
        <v>0.1</v>
      </c>
      <c r="H1010" s="5" t="s">
        <v>454</v>
      </c>
      <c r="I1010" s="10">
        <f>IF(OR(D1010="", F1010=""), "", F1010 * VLOOKUP(D1010, Products!A:E, 5, FALSE) * (1 - G1010))</f>
        <v>4309.848</v>
      </c>
      <c r="J1010" s="10"/>
    </row>
    <row r="1011" spans="1:10" ht="15.75" customHeight="1" x14ac:dyDescent="0.3">
      <c r="A1011" s="5" t="s">
        <v>1878</v>
      </c>
      <c r="B1011" s="11">
        <v>45421</v>
      </c>
      <c r="C1011" s="5" t="s">
        <v>346</v>
      </c>
      <c r="D1011" s="5" t="s">
        <v>226</v>
      </c>
      <c r="E1011" s="5" t="s">
        <v>29</v>
      </c>
      <c r="F1011" s="5">
        <v>3</v>
      </c>
      <c r="G1011" s="19">
        <v>0</v>
      </c>
      <c r="H1011" s="5" t="s">
        <v>454</v>
      </c>
      <c r="I1011" s="10">
        <f>IF(OR(D1011="", F1011=""), "", F1011 * VLOOKUP(D1011, Products!A:E, 5, FALSE) * (1 - G1011))</f>
        <v>4504.38</v>
      </c>
      <c r="J1011" s="10"/>
    </row>
    <row r="1012" spans="1:10" ht="15.75" customHeight="1" x14ac:dyDescent="0.3">
      <c r="A1012" s="5" t="s">
        <v>1879</v>
      </c>
      <c r="B1012" s="11">
        <v>45403</v>
      </c>
      <c r="C1012" s="5" t="s">
        <v>326</v>
      </c>
      <c r="D1012" s="5" t="s">
        <v>43</v>
      </c>
      <c r="E1012" s="5" t="s">
        <v>29</v>
      </c>
      <c r="F1012" s="5">
        <v>5</v>
      </c>
      <c r="G1012" s="19">
        <v>0.15</v>
      </c>
      <c r="H1012" s="5" t="s">
        <v>697</v>
      </c>
      <c r="I1012" s="10">
        <f>IF(OR(D1012="", F1012=""), "", F1012 * VLOOKUP(D1012, Products!A:E, 5, FALSE) * (1 - G1012))</f>
        <v>7113.1825000000008</v>
      </c>
      <c r="J1012" s="10"/>
    </row>
    <row r="1013" spans="1:10" ht="15.75" customHeight="1" x14ac:dyDescent="0.3">
      <c r="A1013" s="5" t="s">
        <v>1880</v>
      </c>
      <c r="B1013" s="11">
        <v>45343</v>
      </c>
      <c r="C1013" s="5" t="s">
        <v>586</v>
      </c>
      <c r="D1013" s="5" t="s">
        <v>180</v>
      </c>
      <c r="E1013" s="5" t="s">
        <v>21</v>
      </c>
      <c r="F1013" s="5">
        <v>2</v>
      </c>
      <c r="G1013" s="19">
        <v>0.05</v>
      </c>
      <c r="H1013" s="5" t="s">
        <v>454</v>
      </c>
      <c r="I1013" s="10">
        <f>IF(OR(D1013="", F1013=""), "", F1013 * VLOOKUP(D1013, Products!A:E, 5, FALSE) * (1 - G1013))</f>
        <v>1280.1819999999998</v>
      </c>
      <c r="J1013" s="10"/>
    </row>
    <row r="1014" spans="1:10" ht="15.75" customHeight="1" x14ac:dyDescent="0.3">
      <c r="A1014" s="5" t="s">
        <v>1881</v>
      </c>
      <c r="B1014" s="11">
        <v>45341</v>
      </c>
      <c r="C1014" s="5" t="s">
        <v>308</v>
      </c>
      <c r="D1014" s="5" t="s">
        <v>128</v>
      </c>
      <c r="E1014" s="5" t="s">
        <v>21</v>
      </c>
      <c r="F1014" s="5">
        <v>1</v>
      </c>
      <c r="G1014" s="19">
        <v>0</v>
      </c>
      <c r="H1014" s="5" t="s">
        <v>697</v>
      </c>
      <c r="I1014" s="10">
        <f>IF(OR(D1014="", F1014=""), "", F1014 * VLOOKUP(D1014, Products!A:E, 5, FALSE) * (1 - G1014))</f>
        <v>323.92</v>
      </c>
      <c r="J1014" s="10"/>
    </row>
    <row r="1015" spans="1:10" ht="15.75" customHeight="1" x14ac:dyDescent="0.3">
      <c r="A1015" s="5" t="s">
        <v>1882</v>
      </c>
      <c r="B1015" s="11">
        <v>45790</v>
      </c>
      <c r="C1015" s="5" t="s">
        <v>744</v>
      </c>
      <c r="D1015" s="5" t="s">
        <v>67</v>
      </c>
      <c r="E1015" s="5" t="s">
        <v>25</v>
      </c>
      <c r="F1015" s="5">
        <v>3</v>
      </c>
      <c r="G1015" s="19">
        <v>0</v>
      </c>
      <c r="H1015" s="5" t="s">
        <v>454</v>
      </c>
      <c r="I1015" s="10">
        <f>IF(OR(D1015="", F1015=""), "", F1015 * VLOOKUP(D1015, Products!A:E, 5, FALSE) * (1 - G1015))</f>
        <v>329.34000000000003</v>
      </c>
      <c r="J1015" s="10"/>
    </row>
    <row r="1016" spans="1:10" ht="15.75" customHeight="1" x14ac:dyDescent="0.3">
      <c r="A1016" s="5" t="s">
        <v>1883</v>
      </c>
      <c r="B1016" s="11">
        <v>45828</v>
      </c>
      <c r="C1016" s="5" t="s">
        <v>805</v>
      </c>
      <c r="D1016" s="5" t="s">
        <v>57</v>
      </c>
      <c r="E1016" s="5" t="s">
        <v>21</v>
      </c>
      <c r="F1016" s="5">
        <v>3</v>
      </c>
      <c r="G1016" s="19">
        <v>0.15</v>
      </c>
      <c r="H1016" s="5" t="s">
        <v>637</v>
      </c>
      <c r="I1016" s="10">
        <f>IF(OR(D1016="", F1016=""), "", F1016 * VLOOKUP(D1016, Products!A:E, 5, FALSE) * (1 - G1016))</f>
        <v>3560.3609999999999</v>
      </c>
      <c r="J1016" s="10"/>
    </row>
    <row r="1017" spans="1:10" ht="15.75" customHeight="1" x14ac:dyDescent="0.3">
      <c r="A1017" s="5" t="s">
        <v>1884</v>
      </c>
      <c r="B1017" s="11">
        <v>45480</v>
      </c>
      <c r="C1017" s="5" t="s">
        <v>106</v>
      </c>
      <c r="D1017" s="5" t="s">
        <v>168</v>
      </c>
      <c r="E1017" s="5" t="s">
        <v>29</v>
      </c>
      <c r="F1017" s="5">
        <v>2</v>
      </c>
      <c r="G1017" s="19">
        <v>0.05</v>
      </c>
      <c r="H1017" s="5" t="s">
        <v>697</v>
      </c>
      <c r="I1017" s="10">
        <f>IF(OR(D1017="", F1017=""), "", F1017 * VLOOKUP(D1017, Products!A:E, 5, FALSE) * (1 - G1017))</f>
        <v>1929.944</v>
      </c>
      <c r="J1017" s="10"/>
    </row>
    <row r="1018" spans="1:10" ht="15.75" customHeight="1" x14ac:dyDescent="0.3">
      <c r="A1018" s="5" t="s">
        <v>1885</v>
      </c>
      <c r="B1018" s="11">
        <v>45243</v>
      </c>
      <c r="C1018" s="5" t="s">
        <v>680</v>
      </c>
      <c r="D1018" s="5" t="s">
        <v>272</v>
      </c>
      <c r="E1018" s="5" t="s">
        <v>37</v>
      </c>
      <c r="F1018" s="5">
        <v>3</v>
      </c>
      <c r="G1018" s="19">
        <v>0.15</v>
      </c>
      <c r="H1018" s="5" t="s">
        <v>697</v>
      </c>
      <c r="I1018" s="10">
        <f>IF(OR(D1018="", F1018=""), "", F1018 * VLOOKUP(D1018, Products!A:E, 5, FALSE) * (1 - G1018))</f>
        <v>2971.6934999999999</v>
      </c>
      <c r="J1018" s="10"/>
    </row>
    <row r="1019" spans="1:10" ht="15.75" customHeight="1" x14ac:dyDescent="0.3">
      <c r="A1019" s="5" t="s">
        <v>1886</v>
      </c>
      <c r="B1019" s="11">
        <v>45451</v>
      </c>
      <c r="C1019" s="5" t="s">
        <v>805</v>
      </c>
      <c r="D1019" s="5" t="s">
        <v>206</v>
      </c>
      <c r="E1019" s="5" t="s">
        <v>21</v>
      </c>
      <c r="F1019" s="5">
        <v>4</v>
      </c>
      <c r="G1019" s="19">
        <v>0</v>
      </c>
      <c r="H1019" s="5" t="s">
        <v>454</v>
      </c>
      <c r="I1019" s="10">
        <f>IF(OR(D1019="", F1019=""), "", F1019 * VLOOKUP(D1019, Products!A:E, 5, FALSE) * (1 - G1019))</f>
        <v>1218.8399999999999</v>
      </c>
      <c r="J1019" s="10"/>
    </row>
    <row r="1020" spans="1:10" ht="15.75" customHeight="1" x14ac:dyDescent="0.3">
      <c r="A1020" s="5" t="s">
        <v>1887</v>
      </c>
      <c r="B1020" s="11">
        <v>45470</v>
      </c>
      <c r="C1020" s="5" t="s">
        <v>326</v>
      </c>
      <c r="D1020" s="5" t="s">
        <v>243</v>
      </c>
      <c r="E1020" s="5" t="s">
        <v>21</v>
      </c>
      <c r="F1020" s="5">
        <v>3</v>
      </c>
      <c r="G1020" s="19">
        <v>0.05</v>
      </c>
      <c r="H1020" s="5" t="s">
        <v>454</v>
      </c>
      <c r="I1020" s="10">
        <f>IF(OR(D1020="", F1020=""), "", F1020 * VLOOKUP(D1020, Products!A:E, 5, FALSE) * (1 - G1020))</f>
        <v>1541.6790000000001</v>
      </c>
      <c r="J1020" s="10"/>
    </row>
    <row r="1021" spans="1:10" ht="15.75" customHeight="1" x14ac:dyDescent="0.3">
      <c r="A1021" s="5" t="s">
        <v>1888</v>
      </c>
      <c r="B1021" s="11">
        <v>45890</v>
      </c>
      <c r="C1021" s="5" t="s">
        <v>159</v>
      </c>
      <c r="D1021" s="5" t="s">
        <v>74</v>
      </c>
      <c r="E1021" s="5" t="s">
        <v>33</v>
      </c>
      <c r="F1021" s="5">
        <v>1</v>
      </c>
      <c r="G1021" s="19">
        <v>0</v>
      </c>
      <c r="H1021" s="5" t="s">
        <v>637</v>
      </c>
      <c r="I1021" s="10">
        <f>IF(OR(D1021="", F1021=""), "", F1021 * VLOOKUP(D1021, Products!A:E, 5, FALSE) * (1 - G1021))</f>
        <v>1194.1199999999999</v>
      </c>
      <c r="J1021" s="10"/>
    </row>
    <row r="1022" spans="1:10" ht="15.75" customHeight="1" x14ac:dyDescent="0.3">
      <c r="A1022" s="5" t="s">
        <v>1889</v>
      </c>
      <c r="B1022" s="11">
        <v>45333</v>
      </c>
      <c r="C1022" s="5" t="s">
        <v>779</v>
      </c>
      <c r="D1022" s="5" t="s">
        <v>61</v>
      </c>
      <c r="E1022" s="5" t="s">
        <v>29</v>
      </c>
      <c r="F1022" s="5">
        <v>3</v>
      </c>
      <c r="G1022" s="19">
        <v>0</v>
      </c>
      <c r="H1022" s="5" t="s">
        <v>776</v>
      </c>
      <c r="I1022" s="10">
        <f>IF(OR(D1022="", F1022=""), "", F1022 * VLOOKUP(D1022, Products!A:E, 5, FALSE) * (1 - G1022))</f>
        <v>954.15000000000009</v>
      </c>
      <c r="J1022" s="10"/>
    </row>
    <row r="1023" spans="1:10" ht="15.75" customHeight="1" x14ac:dyDescent="0.3">
      <c r="A1023" s="5" t="s">
        <v>1890</v>
      </c>
      <c r="B1023" s="11">
        <v>45359</v>
      </c>
      <c r="C1023" s="5" t="s">
        <v>447</v>
      </c>
      <c r="D1023" s="5" t="s">
        <v>168</v>
      </c>
      <c r="E1023" s="5" t="s">
        <v>33</v>
      </c>
      <c r="F1023" s="5">
        <v>2</v>
      </c>
      <c r="G1023" s="19">
        <v>0.15</v>
      </c>
      <c r="H1023" s="5" t="s">
        <v>776</v>
      </c>
      <c r="I1023" s="10">
        <f>IF(OR(D1023="", F1023=""), "", F1023 * VLOOKUP(D1023, Products!A:E, 5, FALSE) * (1 - G1023))</f>
        <v>1726.7919999999999</v>
      </c>
      <c r="J1023" s="10"/>
    </row>
    <row r="1024" spans="1:10" ht="15.75" customHeight="1" x14ac:dyDescent="0.3">
      <c r="A1024" s="5" t="s">
        <v>1891</v>
      </c>
      <c r="B1024" s="11">
        <v>45483</v>
      </c>
      <c r="C1024" s="5" t="s">
        <v>470</v>
      </c>
      <c r="D1024" s="5" t="s">
        <v>43</v>
      </c>
      <c r="E1024" s="5" t="s">
        <v>33</v>
      </c>
      <c r="F1024" s="5">
        <v>5</v>
      </c>
      <c r="G1024" s="19">
        <v>0</v>
      </c>
      <c r="H1024" s="5" t="s">
        <v>697</v>
      </c>
      <c r="I1024" s="10">
        <f>IF(OR(D1024="", F1024=""), "", F1024 * VLOOKUP(D1024, Products!A:E, 5, FALSE) * (1 - G1024))</f>
        <v>8368.4500000000007</v>
      </c>
      <c r="J1024" s="10"/>
    </row>
    <row r="1025" spans="1:10" ht="15.75" customHeight="1" x14ac:dyDescent="0.3">
      <c r="A1025" s="5" t="s">
        <v>1892</v>
      </c>
      <c r="B1025" s="11">
        <v>45630</v>
      </c>
      <c r="C1025" s="5" t="s">
        <v>353</v>
      </c>
      <c r="D1025" s="5" t="s">
        <v>243</v>
      </c>
      <c r="E1025" s="5" t="s">
        <v>37</v>
      </c>
      <c r="F1025" s="5">
        <v>4</v>
      </c>
      <c r="G1025" s="19">
        <v>0</v>
      </c>
      <c r="H1025" s="5" t="s">
        <v>776</v>
      </c>
      <c r="I1025" s="10">
        <f>IF(OR(D1025="", F1025=""), "", F1025 * VLOOKUP(D1025, Products!A:E, 5, FALSE) * (1 - G1025))</f>
        <v>2163.7600000000002</v>
      </c>
      <c r="J1025" s="10"/>
    </row>
    <row r="1026" spans="1:10" ht="15.75" customHeight="1" x14ac:dyDescent="0.3">
      <c r="A1026" s="5" t="s">
        <v>1893</v>
      </c>
      <c r="B1026" s="11">
        <v>45287</v>
      </c>
      <c r="C1026" s="5" t="s">
        <v>405</v>
      </c>
      <c r="D1026" s="5" t="s">
        <v>147</v>
      </c>
      <c r="E1026" s="5" t="s">
        <v>37</v>
      </c>
      <c r="F1026" s="5">
        <v>3</v>
      </c>
      <c r="G1026" s="19">
        <v>0.1</v>
      </c>
      <c r="H1026" s="5" t="s">
        <v>637</v>
      </c>
      <c r="I1026" s="10">
        <f>IF(OR(D1026="", F1026=""), "", F1026 * VLOOKUP(D1026, Products!A:E, 5, FALSE) * (1 - G1026))</f>
        <v>5071.8689999999997</v>
      </c>
      <c r="J1026" s="10"/>
    </row>
    <row r="1027" spans="1:10" ht="15.75" customHeight="1" x14ac:dyDescent="0.3">
      <c r="A1027" s="5" t="s">
        <v>1894</v>
      </c>
      <c r="B1027" s="11">
        <v>45195</v>
      </c>
      <c r="C1027" s="5" t="s">
        <v>543</v>
      </c>
      <c r="D1027" s="5" t="s">
        <v>267</v>
      </c>
      <c r="E1027" s="5" t="s">
        <v>25</v>
      </c>
      <c r="F1027" s="5">
        <v>1</v>
      </c>
      <c r="G1027" s="19">
        <v>0.1</v>
      </c>
      <c r="H1027" s="5" t="s">
        <v>454</v>
      </c>
      <c r="I1027" s="10">
        <f>IF(OR(D1027="", F1027=""), "", F1027 * VLOOKUP(D1027, Products!A:E, 5, FALSE) * (1 - G1027))</f>
        <v>1157.895</v>
      </c>
      <c r="J1027" s="10"/>
    </row>
    <row r="1028" spans="1:10" ht="15.75" customHeight="1" x14ac:dyDescent="0.3">
      <c r="A1028" s="5" t="s">
        <v>1895</v>
      </c>
      <c r="B1028" s="11">
        <v>45596</v>
      </c>
      <c r="C1028" s="5" t="s">
        <v>507</v>
      </c>
      <c r="D1028" s="5" t="s">
        <v>249</v>
      </c>
      <c r="E1028" s="5" t="s">
        <v>29</v>
      </c>
      <c r="F1028" s="5">
        <v>2</v>
      </c>
      <c r="G1028" s="19">
        <v>0.1</v>
      </c>
      <c r="H1028" s="5" t="s">
        <v>776</v>
      </c>
      <c r="I1028" s="10">
        <f>IF(OR(D1028="", F1028=""), "", F1028 * VLOOKUP(D1028, Products!A:E, 5, FALSE) * (1 - G1028))</f>
        <v>3142.098</v>
      </c>
      <c r="J1028" s="10"/>
    </row>
    <row r="1029" spans="1:10" ht="15.75" customHeight="1" x14ac:dyDescent="0.3">
      <c r="A1029" s="5" t="s">
        <v>1896</v>
      </c>
      <c r="B1029" s="11">
        <v>45726</v>
      </c>
      <c r="C1029" s="5" t="s">
        <v>750</v>
      </c>
      <c r="D1029" s="5" t="s">
        <v>47</v>
      </c>
      <c r="E1029" s="5" t="s">
        <v>29</v>
      </c>
      <c r="F1029" s="5">
        <v>4</v>
      </c>
      <c r="G1029" s="19">
        <v>0</v>
      </c>
      <c r="H1029" s="5" t="s">
        <v>454</v>
      </c>
      <c r="I1029" s="10">
        <f>IF(OR(D1029="", F1029=""), "", F1029 * VLOOKUP(D1029, Products!A:E, 5, FALSE) * (1 - G1029))</f>
        <v>3275.04</v>
      </c>
      <c r="J1029" s="10"/>
    </row>
    <row r="1030" spans="1:10" ht="15.75" customHeight="1" x14ac:dyDescent="0.3">
      <c r="A1030" s="5" t="s">
        <v>1897</v>
      </c>
      <c r="B1030" s="11">
        <v>45342</v>
      </c>
      <c r="C1030" s="5" t="s">
        <v>380</v>
      </c>
      <c r="D1030" s="5" t="s">
        <v>200</v>
      </c>
      <c r="E1030" s="5" t="s">
        <v>25</v>
      </c>
      <c r="F1030" s="5">
        <v>3</v>
      </c>
      <c r="G1030" s="19">
        <v>0.15</v>
      </c>
      <c r="H1030" s="5" t="s">
        <v>697</v>
      </c>
      <c r="I1030" s="10">
        <f>IF(OR(D1030="", F1030=""), "", F1030 * VLOOKUP(D1030, Products!A:E, 5, FALSE) * (1 - G1030))</f>
        <v>2794.0859999999998</v>
      </c>
      <c r="J1030" s="10"/>
    </row>
    <row r="1031" spans="1:10" ht="15.75" customHeight="1" x14ac:dyDescent="0.3">
      <c r="A1031" s="5" t="s">
        <v>1898</v>
      </c>
      <c r="B1031" s="11">
        <v>45270</v>
      </c>
      <c r="C1031" s="5" t="s">
        <v>209</v>
      </c>
      <c r="D1031" s="5" t="s">
        <v>43</v>
      </c>
      <c r="E1031" s="5" t="s">
        <v>33</v>
      </c>
      <c r="F1031" s="5">
        <v>5</v>
      </c>
      <c r="G1031" s="19">
        <v>0.05</v>
      </c>
      <c r="H1031" s="5" t="s">
        <v>637</v>
      </c>
      <c r="I1031" s="10">
        <f>IF(OR(D1031="", F1031=""), "", F1031 * VLOOKUP(D1031, Products!A:E, 5, FALSE) * (1 - G1031))</f>
        <v>7950.0275000000001</v>
      </c>
      <c r="J1031" s="10"/>
    </row>
    <row r="1032" spans="1:10" ht="15.75" customHeight="1" x14ac:dyDescent="0.3">
      <c r="A1032" s="5" t="s">
        <v>1899</v>
      </c>
      <c r="B1032" s="11">
        <v>45378</v>
      </c>
      <c r="C1032" s="5" t="s">
        <v>397</v>
      </c>
      <c r="D1032" s="5" t="s">
        <v>232</v>
      </c>
      <c r="E1032" s="5" t="s">
        <v>37</v>
      </c>
      <c r="F1032" s="5">
        <v>2</v>
      </c>
      <c r="G1032" s="19">
        <v>0.15</v>
      </c>
      <c r="H1032" s="5" t="s">
        <v>454</v>
      </c>
      <c r="I1032" s="10">
        <f>IF(OR(D1032="", F1032=""), "", F1032 * VLOOKUP(D1032, Products!A:E, 5, FALSE) * (1 - G1032))</f>
        <v>3319.5050000000001</v>
      </c>
      <c r="J1032" s="10"/>
    </row>
    <row r="1033" spans="1:10" ht="15.75" customHeight="1" x14ac:dyDescent="0.3">
      <c r="A1033" s="5" t="s">
        <v>1900</v>
      </c>
      <c r="B1033" s="11">
        <v>45453</v>
      </c>
      <c r="C1033" s="5" t="s">
        <v>729</v>
      </c>
      <c r="D1033" s="5" t="s">
        <v>122</v>
      </c>
      <c r="E1033" s="5" t="s">
        <v>29</v>
      </c>
      <c r="F1033" s="5">
        <v>4</v>
      </c>
      <c r="G1033" s="19">
        <v>0.05</v>
      </c>
      <c r="H1033" s="5" t="s">
        <v>697</v>
      </c>
      <c r="I1033" s="10">
        <f>IF(OR(D1033="", F1033=""), "", F1033 * VLOOKUP(D1033, Products!A:E, 5, FALSE) * (1 - G1033))</f>
        <v>6699.0959999999995</v>
      </c>
      <c r="J1033" s="10"/>
    </row>
    <row r="1034" spans="1:10" ht="15.75" customHeight="1" x14ac:dyDescent="0.3">
      <c r="A1034" s="5" t="s">
        <v>1901</v>
      </c>
      <c r="B1034" s="11">
        <v>45671</v>
      </c>
      <c r="C1034" s="5" t="s">
        <v>774</v>
      </c>
      <c r="D1034" s="5" t="s">
        <v>175</v>
      </c>
      <c r="E1034" s="5" t="s">
        <v>25</v>
      </c>
      <c r="F1034" s="5">
        <v>5</v>
      </c>
      <c r="G1034" s="19">
        <v>0.05</v>
      </c>
      <c r="H1034" s="5" t="s">
        <v>697</v>
      </c>
      <c r="I1034" s="10">
        <f>IF(OR(D1034="", F1034=""), "", F1034 * VLOOKUP(D1034, Products!A:E, 5, FALSE) * (1 - G1034))</f>
        <v>6043.0924999999997</v>
      </c>
      <c r="J1034" s="10"/>
    </row>
    <row r="1035" spans="1:10" ht="15.75" customHeight="1" x14ac:dyDescent="0.3">
      <c r="A1035" s="5" t="s">
        <v>1902</v>
      </c>
      <c r="B1035" s="11">
        <v>45211</v>
      </c>
      <c r="C1035" s="5" t="s">
        <v>466</v>
      </c>
      <c r="D1035" s="5" t="s">
        <v>74</v>
      </c>
      <c r="E1035" s="5" t="s">
        <v>37</v>
      </c>
      <c r="F1035" s="5">
        <v>2</v>
      </c>
      <c r="G1035" s="19">
        <v>0.15</v>
      </c>
      <c r="H1035" s="5" t="s">
        <v>697</v>
      </c>
      <c r="I1035" s="10">
        <f>IF(OR(D1035="", F1035=""), "", F1035 * VLOOKUP(D1035, Products!A:E, 5, FALSE) * (1 - G1035))</f>
        <v>2030.0039999999997</v>
      </c>
      <c r="J1035" s="10"/>
    </row>
    <row r="1036" spans="1:10" ht="15.75" customHeight="1" x14ac:dyDescent="0.3">
      <c r="A1036" s="5" t="s">
        <v>1903</v>
      </c>
      <c r="B1036" s="11">
        <v>45694</v>
      </c>
      <c r="C1036" s="5" t="s">
        <v>774</v>
      </c>
      <c r="D1036" s="5" t="s">
        <v>147</v>
      </c>
      <c r="E1036" s="5" t="s">
        <v>37</v>
      </c>
      <c r="F1036" s="5">
        <v>2</v>
      </c>
      <c r="G1036" s="19">
        <v>0.1</v>
      </c>
      <c r="H1036" s="5" t="s">
        <v>776</v>
      </c>
      <c r="I1036" s="10">
        <f>IF(OR(D1036="", F1036=""), "", F1036 * VLOOKUP(D1036, Products!A:E, 5, FALSE) * (1 - G1036))</f>
        <v>3381.2460000000001</v>
      </c>
      <c r="J1036" s="10"/>
    </row>
    <row r="1037" spans="1:10" ht="15.75" customHeight="1" x14ac:dyDescent="0.3">
      <c r="A1037" s="5" t="s">
        <v>1904</v>
      </c>
      <c r="B1037" s="11">
        <v>45508</v>
      </c>
      <c r="C1037" s="5" t="s">
        <v>691</v>
      </c>
      <c r="D1037" s="5" t="s">
        <v>47</v>
      </c>
      <c r="E1037" s="5" t="s">
        <v>37</v>
      </c>
      <c r="F1037" s="5">
        <v>1</v>
      </c>
      <c r="G1037" s="19">
        <v>0.05</v>
      </c>
      <c r="H1037" s="5" t="s">
        <v>454</v>
      </c>
      <c r="I1037" s="10">
        <f>IF(OR(D1037="", F1037=""), "", F1037 * VLOOKUP(D1037, Products!A:E, 5, FALSE) * (1 - G1037))</f>
        <v>777.822</v>
      </c>
      <c r="J1037" s="10"/>
    </row>
    <row r="1038" spans="1:10" ht="15.75" customHeight="1" x14ac:dyDescent="0.3">
      <c r="A1038" s="5" t="s">
        <v>1905</v>
      </c>
      <c r="B1038" s="11">
        <v>45588</v>
      </c>
      <c r="C1038" s="5" t="s">
        <v>300</v>
      </c>
      <c r="D1038" s="5" t="s">
        <v>291</v>
      </c>
      <c r="E1038" s="5" t="s">
        <v>21</v>
      </c>
      <c r="F1038" s="5">
        <v>3</v>
      </c>
      <c r="G1038" s="19">
        <v>0.15</v>
      </c>
      <c r="H1038" s="5" t="s">
        <v>637</v>
      </c>
      <c r="I1038" s="10">
        <f>IF(OR(D1038="", F1038=""), "", F1038 * VLOOKUP(D1038, Products!A:E, 5, FALSE) * (1 - G1038))</f>
        <v>2663.8319999999999</v>
      </c>
      <c r="J1038" s="10"/>
    </row>
    <row r="1039" spans="1:10" ht="15.75" customHeight="1" x14ac:dyDescent="0.3">
      <c r="A1039" s="5" t="s">
        <v>1906</v>
      </c>
      <c r="B1039" s="11">
        <v>45299</v>
      </c>
      <c r="C1039" s="5" t="s">
        <v>458</v>
      </c>
      <c r="D1039" s="5" t="s">
        <v>122</v>
      </c>
      <c r="E1039" s="5" t="s">
        <v>33</v>
      </c>
      <c r="F1039" s="5">
        <v>3</v>
      </c>
      <c r="G1039" s="19">
        <v>0.05</v>
      </c>
      <c r="H1039" s="5" t="s">
        <v>697</v>
      </c>
      <c r="I1039" s="10">
        <f>IF(OR(D1039="", F1039=""), "", F1039 * VLOOKUP(D1039, Products!A:E, 5, FALSE) * (1 - G1039))</f>
        <v>5024.3220000000001</v>
      </c>
      <c r="J1039" s="10"/>
    </row>
    <row r="1040" spans="1:10" ht="15.75" customHeight="1" x14ac:dyDescent="0.3">
      <c r="A1040" s="5" t="s">
        <v>1907</v>
      </c>
      <c r="B1040" s="11">
        <v>45821</v>
      </c>
      <c r="C1040" s="5" t="s">
        <v>240</v>
      </c>
      <c r="D1040" s="5" t="s">
        <v>193</v>
      </c>
      <c r="E1040" s="5" t="s">
        <v>25</v>
      </c>
      <c r="F1040" s="5">
        <v>2</v>
      </c>
      <c r="G1040" s="19">
        <v>0</v>
      </c>
      <c r="H1040" s="5" t="s">
        <v>454</v>
      </c>
      <c r="I1040" s="10">
        <f>IF(OR(D1040="", F1040=""), "", F1040 * VLOOKUP(D1040, Products!A:E, 5, FALSE) * (1 - G1040))</f>
        <v>58.48</v>
      </c>
      <c r="J1040" s="10"/>
    </row>
    <row r="1041" spans="1:10" ht="15.75" customHeight="1" x14ac:dyDescent="0.3">
      <c r="A1041" s="5" t="s">
        <v>1908</v>
      </c>
      <c r="B1041" s="11">
        <v>45377</v>
      </c>
      <c r="C1041" s="5" t="s">
        <v>733</v>
      </c>
      <c r="D1041" s="5" t="s">
        <v>267</v>
      </c>
      <c r="E1041" s="5" t="s">
        <v>37</v>
      </c>
      <c r="F1041" s="5">
        <v>5</v>
      </c>
      <c r="G1041" s="19">
        <v>0.05</v>
      </c>
      <c r="H1041" s="5" t="s">
        <v>697</v>
      </c>
      <c r="I1041" s="10">
        <f>IF(OR(D1041="", F1041=""), "", F1041 * VLOOKUP(D1041, Products!A:E, 5, FALSE) * (1 - G1041))</f>
        <v>6111.1124999999993</v>
      </c>
      <c r="J1041" s="10"/>
    </row>
    <row r="1042" spans="1:10" ht="15.75" customHeight="1" x14ac:dyDescent="0.3">
      <c r="A1042" s="5" t="s">
        <v>1909</v>
      </c>
      <c r="B1042" s="11">
        <v>45799</v>
      </c>
      <c r="C1042" s="5" t="s">
        <v>389</v>
      </c>
      <c r="D1042" s="5" t="s">
        <v>47</v>
      </c>
      <c r="E1042" s="5" t="s">
        <v>21</v>
      </c>
      <c r="F1042" s="5">
        <v>3</v>
      </c>
      <c r="G1042" s="19">
        <v>0</v>
      </c>
      <c r="H1042" s="5" t="s">
        <v>637</v>
      </c>
      <c r="I1042" s="10">
        <f>IF(OR(D1042="", F1042=""), "", F1042 * VLOOKUP(D1042, Products!A:E, 5, FALSE) * (1 - G1042))</f>
        <v>2456.2799999999997</v>
      </c>
      <c r="J1042" s="10"/>
    </row>
    <row r="1043" spans="1:10" ht="15.75" customHeight="1" x14ac:dyDescent="0.3">
      <c r="A1043" s="5" t="s">
        <v>1910</v>
      </c>
      <c r="B1043" s="11">
        <v>45584</v>
      </c>
      <c r="C1043" s="5" t="s">
        <v>286</v>
      </c>
      <c r="D1043" s="5" t="s">
        <v>43</v>
      </c>
      <c r="E1043" s="5" t="s">
        <v>37</v>
      </c>
      <c r="F1043" s="5">
        <v>5</v>
      </c>
      <c r="G1043" s="19">
        <v>0.15</v>
      </c>
      <c r="H1043" s="5" t="s">
        <v>454</v>
      </c>
      <c r="I1043" s="10">
        <f>IF(OR(D1043="", F1043=""), "", F1043 * VLOOKUP(D1043, Products!A:E, 5, FALSE) * (1 - G1043))</f>
        <v>7113.1825000000008</v>
      </c>
      <c r="J1043" s="10"/>
    </row>
    <row r="1044" spans="1:10" ht="15.75" customHeight="1" x14ac:dyDescent="0.3">
      <c r="A1044" s="5" t="s">
        <v>1911</v>
      </c>
      <c r="B1044" s="11">
        <v>45413</v>
      </c>
      <c r="C1044" s="5" t="s">
        <v>342</v>
      </c>
      <c r="D1044" s="5" t="s">
        <v>43</v>
      </c>
      <c r="E1044" s="5" t="s">
        <v>33</v>
      </c>
      <c r="F1044" s="5">
        <v>4</v>
      </c>
      <c r="G1044" s="19">
        <v>0.15</v>
      </c>
      <c r="H1044" s="5" t="s">
        <v>697</v>
      </c>
      <c r="I1044" s="10">
        <f>IF(OR(D1044="", F1044=""), "", F1044 * VLOOKUP(D1044, Products!A:E, 5, FALSE) * (1 - G1044))</f>
        <v>5690.5460000000003</v>
      </c>
      <c r="J1044" s="10"/>
    </row>
    <row r="1045" spans="1:10" ht="15.75" customHeight="1" x14ac:dyDescent="0.3">
      <c r="A1045" s="5" t="s">
        <v>1912</v>
      </c>
      <c r="B1045" s="11">
        <v>45485</v>
      </c>
      <c r="C1045" s="5" t="s">
        <v>317</v>
      </c>
      <c r="D1045" s="5" t="s">
        <v>180</v>
      </c>
      <c r="E1045" s="5" t="s">
        <v>25</v>
      </c>
      <c r="F1045" s="5">
        <v>2</v>
      </c>
      <c r="G1045" s="19">
        <v>0</v>
      </c>
      <c r="H1045" s="5" t="s">
        <v>637</v>
      </c>
      <c r="I1045" s="10">
        <f>IF(OR(D1045="", F1045=""), "", F1045 * VLOOKUP(D1045, Products!A:E, 5, FALSE) * (1 - G1045))</f>
        <v>1347.56</v>
      </c>
      <c r="J1045" s="10"/>
    </row>
    <row r="1046" spans="1:10" ht="15.75" customHeight="1" x14ac:dyDescent="0.3">
      <c r="A1046" s="5" t="s">
        <v>1913</v>
      </c>
      <c r="B1046" s="11">
        <v>45600</v>
      </c>
      <c r="C1046" s="5" t="s">
        <v>865</v>
      </c>
      <c r="D1046" s="5" t="s">
        <v>285</v>
      </c>
      <c r="E1046" s="5" t="s">
        <v>21</v>
      </c>
      <c r="F1046" s="5">
        <v>3</v>
      </c>
      <c r="G1046" s="19">
        <v>0.15</v>
      </c>
      <c r="H1046" s="5" t="s">
        <v>697</v>
      </c>
      <c r="I1046" s="10">
        <f>IF(OR(D1046="", F1046=""), "", F1046 * VLOOKUP(D1046, Products!A:E, 5, FALSE) * (1 - G1046))</f>
        <v>990.06299999999999</v>
      </c>
      <c r="J1046" s="10"/>
    </row>
    <row r="1047" spans="1:10" ht="15.75" customHeight="1" x14ac:dyDescent="0.3">
      <c r="A1047" s="5" t="s">
        <v>1914</v>
      </c>
      <c r="B1047" s="11">
        <v>45719</v>
      </c>
      <c r="C1047" s="5" t="s">
        <v>850</v>
      </c>
      <c r="D1047" s="5" t="s">
        <v>122</v>
      </c>
      <c r="E1047" s="5" t="s">
        <v>25</v>
      </c>
      <c r="F1047" s="5">
        <v>2</v>
      </c>
      <c r="G1047" s="19">
        <v>0</v>
      </c>
      <c r="H1047" s="5" t="s">
        <v>697</v>
      </c>
      <c r="I1047" s="10">
        <f>IF(OR(D1047="", F1047=""), "", F1047 * VLOOKUP(D1047, Products!A:E, 5, FALSE) * (1 - G1047))</f>
        <v>3525.84</v>
      </c>
      <c r="J1047" s="10"/>
    </row>
    <row r="1048" spans="1:10" ht="15.75" customHeight="1" x14ac:dyDescent="0.3">
      <c r="A1048" s="5" t="s">
        <v>1915</v>
      </c>
      <c r="B1048" s="11">
        <v>45184</v>
      </c>
      <c r="C1048" s="5" t="s">
        <v>586</v>
      </c>
      <c r="D1048" s="5" t="s">
        <v>226</v>
      </c>
      <c r="E1048" s="5" t="s">
        <v>37</v>
      </c>
      <c r="F1048" s="5">
        <v>4</v>
      </c>
      <c r="G1048" s="19">
        <v>0.1</v>
      </c>
      <c r="H1048" s="5" t="s">
        <v>637</v>
      </c>
      <c r="I1048" s="10">
        <f>IF(OR(D1048="", F1048=""), "", F1048 * VLOOKUP(D1048, Products!A:E, 5, FALSE) * (1 - G1048))</f>
        <v>5405.2560000000003</v>
      </c>
      <c r="J1048" s="10"/>
    </row>
    <row r="1049" spans="1:10" ht="15.75" customHeight="1" x14ac:dyDescent="0.3">
      <c r="A1049" s="5" t="s">
        <v>1916</v>
      </c>
      <c r="B1049" s="11">
        <v>45308</v>
      </c>
      <c r="C1049" s="5" t="s">
        <v>405</v>
      </c>
      <c r="D1049" s="5" t="s">
        <v>153</v>
      </c>
      <c r="E1049" s="5" t="s">
        <v>33</v>
      </c>
      <c r="F1049" s="5">
        <v>4</v>
      </c>
      <c r="G1049" s="19">
        <v>0</v>
      </c>
      <c r="H1049" s="5" t="s">
        <v>637</v>
      </c>
      <c r="I1049" s="10">
        <f>IF(OR(D1049="", F1049=""), "", F1049 * VLOOKUP(D1049, Products!A:E, 5, FALSE) * (1 - G1049))</f>
        <v>5949.64</v>
      </c>
      <c r="J1049" s="10"/>
    </row>
    <row r="1050" spans="1:10" ht="15.75" customHeight="1" x14ac:dyDescent="0.3">
      <c r="A1050" s="5" t="s">
        <v>1917</v>
      </c>
      <c r="B1050" s="11">
        <v>45282</v>
      </c>
      <c r="C1050" s="5" t="s">
        <v>829</v>
      </c>
      <c r="D1050" s="5" t="s">
        <v>128</v>
      </c>
      <c r="E1050" s="5" t="s">
        <v>29</v>
      </c>
      <c r="F1050" s="5">
        <v>4</v>
      </c>
      <c r="G1050" s="19">
        <v>0</v>
      </c>
      <c r="H1050" s="5" t="s">
        <v>776</v>
      </c>
      <c r="I1050" s="10">
        <f>IF(OR(D1050="", F1050=""), "", F1050 * VLOOKUP(D1050, Products!A:E, 5, FALSE) * (1 - G1050))</f>
        <v>1295.68</v>
      </c>
      <c r="J1050" s="10"/>
    </row>
    <row r="1051" spans="1:10" ht="15.75" customHeight="1" x14ac:dyDescent="0.3">
      <c r="A1051" s="5" t="s">
        <v>1918</v>
      </c>
      <c r="B1051" s="11">
        <v>45454</v>
      </c>
      <c r="C1051" s="5" t="s">
        <v>597</v>
      </c>
      <c r="D1051" s="5" t="s">
        <v>280</v>
      </c>
      <c r="E1051" s="5" t="s">
        <v>33</v>
      </c>
      <c r="F1051" s="5">
        <v>1</v>
      </c>
      <c r="G1051" s="19">
        <v>0.05</v>
      </c>
      <c r="H1051" s="5" t="s">
        <v>637</v>
      </c>
      <c r="I1051" s="10">
        <f>IF(OR(D1051="", F1051=""), "", F1051 * VLOOKUP(D1051, Products!A:E, 5, FALSE) * (1 - G1051))</f>
        <v>1155.5419999999999</v>
      </c>
      <c r="J1051" s="10"/>
    </row>
    <row r="1052" spans="1:10" ht="15.75" customHeight="1" x14ac:dyDescent="0.3">
      <c r="A1052" s="5" t="s">
        <v>1919</v>
      </c>
      <c r="B1052" s="11">
        <v>45530</v>
      </c>
      <c r="C1052" s="5" t="s">
        <v>842</v>
      </c>
      <c r="D1052" s="5" t="s">
        <v>109</v>
      </c>
      <c r="E1052" s="5" t="s">
        <v>21</v>
      </c>
      <c r="F1052" s="5">
        <v>5</v>
      </c>
      <c r="G1052" s="19">
        <v>0.15</v>
      </c>
      <c r="H1052" s="5" t="s">
        <v>776</v>
      </c>
      <c r="I1052" s="10">
        <f>IF(OR(D1052="", F1052=""), "", F1052 * VLOOKUP(D1052, Products!A:E, 5, FALSE) * (1 - G1052))</f>
        <v>7899.6875</v>
      </c>
      <c r="J1052" s="10"/>
    </row>
    <row r="1053" spans="1:10" ht="15.75" customHeight="1" x14ac:dyDescent="0.3">
      <c r="A1053" s="5" t="s">
        <v>1920</v>
      </c>
      <c r="B1053" s="11">
        <v>45643</v>
      </c>
      <c r="C1053" s="5" t="s">
        <v>346</v>
      </c>
      <c r="D1053" s="5" t="s">
        <v>206</v>
      </c>
      <c r="E1053" s="5" t="s">
        <v>29</v>
      </c>
      <c r="F1053" s="5">
        <v>4</v>
      </c>
      <c r="G1053" s="19">
        <v>0.15</v>
      </c>
      <c r="H1053" s="5" t="s">
        <v>454</v>
      </c>
      <c r="I1053" s="10">
        <f>IF(OR(D1053="", F1053=""), "", F1053 * VLOOKUP(D1053, Products!A:E, 5, FALSE) * (1 - G1053))</f>
        <v>1036.0139999999999</v>
      </c>
      <c r="J1053" s="10"/>
    </row>
    <row r="1054" spans="1:10" ht="15.75" customHeight="1" x14ac:dyDescent="0.3">
      <c r="A1054" s="5" t="s">
        <v>1921</v>
      </c>
      <c r="B1054" s="11">
        <v>45448</v>
      </c>
      <c r="C1054" s="5" t="s">
        <v>876</v>
      </c>
      <c r="D1054" s="5" t="s">
        <v>285</v>
      </c>
      <c r="E1054" s="5" t="s">
        <v>29</v>
      </c>
      <c r="F1054" s="5">
        <v>4</v>
      </c>
      <c r="G1054" s="19">
        <v>0.05</v>
      </c>
      <c r="H1054" s="5" t="s">
        <v>637</v>
      </c>
      <c r="I1054" s="10">
        <f>IF(OR(D1054="", F1054=""), "", F1054 * VLOOKUP(D1054, Products!A:E, 5, FALSE) * (1 - G1054))</f>
        <v>1475.3879999999999</v>
      </c>
      <c r="J1054" s="10"/>
    </row>
    <row r="1055" spans="1:10" ht="15.75" customHeight="1" x14ac:dyDescent="0.3">
      <c r="A1055" s="5" t="s">
        <v>1922</v>
      </c>
      <c r="B1055" s="11">
        <v>45710</v>
      </c>
      <c r="C1055" s="5" t="s">
        <v>450</v>
      </c>
      <c r="D1055" s="5" t="s">
        <v>82</v>
      </c>
      <c r="E1055" s="5" t="s">
        <v>37</v>
      </c>
      <c r="F1055" s="5">
        <v>1</v>
      </c>
      <c r="G1055" s="19">
        <v>0.05</v>
      </c>
      <c r="H1055" s="5" t="s">
        <v>637</v>
      </c>
      <c r="I1055" s="10">
        <f>IF(OR(D1055="", F1055=""), "", F1055 * VLOOKUP(D1055, Products!A:E, 5, FALSE) * (1 - G1055))</f>
        <v>1133.4354999999998</v>
      </c>
      <c r="J1055" s="10"/>
    </row>
    <row r="1056" spans="1:10" ht="15.75" customHeight="1" x14ac:dyDescent="0.3">
      <c r="A1056" s="5" t="s">
        <v>1923</v>
      </c>
      <c r="B1056" s="11">
        <v>45258</v>
      </c>
      <c r="C1056" s="5" t="s">
        <v>766</v>
      </c>
      <c r="D1056" s="5" t="s">
        <v>89</v>
      </c>
      <c r="E1056" s="5" t="s">
        <v>33</v>
      </c>
      <c r="F1056" s="5">
        <v>1</v>
      </c>
      <c r="G1056" s="19">
        <v>0</v>
      </c>
      <c r="H1056" s="5" t="s">
        <v>697</v>
      </c>
      <c r="I1056" s="10">
        <f>IF(OR(D1056="", F1056=""), "", F1056 * VLOOKUP(D1056, Products!A:E, 5, FALSE) * (1 - G1056))</f>
        <v>1134.8</v>
      </c>
      <c r="J1056" s="10"/>
    </row>
    <row r="1057" spans="1:10" ht="15.75" customHeight="1" x14ac:dyDescent="0.3">
      <c r="A1057" s="5" t="s">
        <v>1924</v>
      </c>
      <c r="B1057" s="11">
        <v>45275</v>
      </c>
      <c r="C1057" s="5" t="s">
        <v>878</v>
      </c>
      <c r="D1057" s="5" t="s">
        <v>95</v>
      </c>
      <c r="E1057" s="5" t="s">
        <v>37</v>
      </c>
      <c r="F1057" s="5">
        <v>5</v>
      </c>
      <c r="G1057" s="19">
        <v>0.05</v>
      </c>
      <c r="H1057" s="5" t="s">
        <v>637</v>
      </c>
      <c r="I1057" s="10">
        <f>IF(OR(D1057="", F1057=""), "", F1057 * VLOOKUP(D1057, Products!A:E, 5, FALSE) * (1 - G1057))</f>
        <v>6378.0625</v>
      </c>
      <c r="J1057" s="10"/>
    </row>
    <row r="1058" spans="1:10" ht="15.75" customHeight="1" x14ac:dyDescent="0.3">
      <c r="A1058" s="5" t="s">
        <v>1925</v>
      </c>
      <c r="B1058" s="11">
        <v>45285</v>
      </c>
      <c r="C1058" s="5" t="s">
        <v>560</v>
      </c>
      <c r="D1058" s="5" t="s">
        <v>47</v>
      </c>
      <c r="E1058" s="5" t="s">
        <v>29</v>
      </c>
      <c r="F1058" s="5">
        <v>4</v>
      </c>
      <c r="G1058" s="19">
        <v>0</v>
      </c>
      <c r="H1058" s="5" t="s">
        <v>697</v>
      </c>
      <c r="I1058" s="10">
        <f>IF(OR(D1058="", F1058=""), "", F1058 * VLOOKUP(D1058, Products!A:E, 5, FALSE) * (1 - G1058))</f>
        <v>3275.04</v>
      </c>
      <c r="J1058" s="10"/>
    </row>
    <row r="1059" spans="1:10" ht="15.75" customHeight="1" x14ac:dyDescent="0.3">
      <c r="A1059" s="5" t="s">
        <v>1926</v>
      </c>
      <c r="B1059" s="11">
        <v>45363</v>
      </c>
      <c r="C1059" s="5" t="s">
        <v>600</v>
      </c>
      <c r="D1059" s="5" t="s">
        <v>262</v>
      </c>
      <c r="E1059" s="5" t="s">
        <v>37</v>
      </c>
      <c r="F1059" s="5">
        <v>2</v>
      </c>
      <c r="G1059" s="19">
        <v>0.15</v>
      </c>
      <c r="H1059" s="5" t="s">
        <v>776</v>
      </c>
      <c r="I1059" s="10">
        <f>IF(OR(D1059="", F1059=""), "", F1059 * VLOOKUP(D1059, Products!A:E, 5, FALSE) * (1 - G1059))</f>
        <v>771.154</v>
      </c>
      <c r="J1059" s="10"/>
    </row>
    <row r="1060" spans="1:10" ht="15.75" customHeight="1" x14ac:dyDescent="0.3">
      <c r="A1060" s="5" t="s">
        <v>1927</v>
      </c>
      <c r="B1060" s="11">
        <v>45860</v>
      </c>
      <c r="C1060" s="5" t="s">
        <v>409</v>
      </c>
      <c r="D1060" s="5" t="s">
        <v>103</v>
      </c>
      <c r="E1060" s="5" t="s">
        <v>29</v>
      </c>
      <c r="F1060" s="5">
        <v>2</v>
      </c>
      <c r="G1060" s="19">
        <v>0</v>
      </c>
      <c r="H1060" s="5" t="s">
        <v>776</v>
      </c>
      <c r="I1060" s="10">
        <f>IF(OR(D1060="", F1060=""), "", F1060 * VLOOKUP(D1060, Products!A:E, 5, FALSE) * (1 - G1060))</f>
        <v>540.9</v>
      </c>
      <c r="J1060" s="10"/>
    </row>
    <row r="1061" spans="1:10" ht="15.75" customHeight="1" x14ac:dyDescent="0.3">
      <c r="A1061" s="5" t="s">
        <v>1928</v>
      </c>
      <c r="B1061" s="11">
        <v>45665</v>
      </c>
      <c r="C1061" s="5" t="s">
        <v>250</v>
      </c>
      <c r="D1061" s="5" t="s">
        <v>217</v>
      </c>
      <c r="E1061" s="5" t="s">
        <v>33</v>
      </c>
      <c r="F1061" s="5">
        <v>3</v>
      </c>
      <c r="G1061" s="19">
        <v>0</v>
      </c>
      <c r="H1061" s="5" t="s">
        <v>637</v>
      </c>
      <c r="I1061" s="10">
        <f>IF(OR(D1061="", F1061=""), "", F1061 * VLOOKUP(D1061, Products!A:E, 5, FALSE) * (1 - G1061))</f>
        <v>1284.1500000000001</v>
      </c>
      <c r="J1061" s="10"/>
    </row>
    <row r="1062" spans="1:10" ht="15.75" customHeight="1" x14ac:dyDescent="0.3">
      <c r="A1062" s="5" t="s">
        <v>1929</v>
      </c>
      <c r="B1062" s="11">
        <v>45563</v>
      </c>
      <c r="C1062" s="5" t="s">
        <v>837</v>
      </c>
      <c r="D1062" s="5" t="s">
        <v>237</v>
      </c>
      <c r="E1062" s="5" t="s">
        <v>37</v>
      </c>
      <c r="F1062" s="5">
        <v>5</v>
      </c>
      <c r="G1062" s="19">
        <v>0.05</v>
      </c>
      <c r="H1062" s="5" t="s">
        <v>637</v>
      </c>
      <c r="I1062" s="10">
        <f>IF(OR(D1062="", F1062=""), "", F1062 * VLOOKUP(D1062, Products!A:E, 5, FALSE) * (1 - G1062))</f>
        <v>1742.9175</v>
      </c>
      <c r="J1062" s="10"/>
    </row>
    <row r="1063" spans="1:10" ht="15.75" customHeight="1" x14ac:dyDescent="0.3">
      <c r="A1063" s="5" t="s">
        <v>1930</v>
      </c>
      <c r="B1063" s="11">
        <v>45388</v>
      </c>
      <c r="C1063" s="5" t="s">
        <v>683</v>
      </c>
      <c r="D1063" s="5" t="s">
        <v>212</v>
      </c>
      <c r="E1063" s="5" t="s">
        <v>33</v>
      </c>
      <c r="F1063" s="5">
        <v>1</v>
      </c>
      <c r="G1063" s="19">
        <v>0.05</v>
      </c>
      <c r="H1063" s="5" t="s">
        <v>454</v>
      </c>
      <c r="I1063" s="10">
        <f>IF(OR(D1063="", F1063=""), "", F1063 * VLOOKUP(D1063, Products!A:E, 5, FALSE) * (1 - G1063))</f>
        <v>1709.0214999999998</v>
      </c>
      <c r="J1063" s="10"/>
    </row>
    <row r="1064" spans="1:10" ht="15.75" customHeight="1" x14ac:dyDescent="0.3">
      <c r="A1064" s="5" t="s">
        <v>1931</v>
      </c>
      <c r="B1064" s="11">
        <v>45443</v>
      </c>
      <c r="C1064" s="5" t="s">
        <v>699</v>
      </c>
      <c r="D1064" s="5" t="s">
        <v>269</v>
      </c>
      <c r="E1064" s="5" t="s">
        <v>25</v>
      </c>
      <c r="F1064" s="5">
        <v>2</v>
      </c>
      <c r="G1064" s="19">
        <v>0.05</v>
      </c>
      <c r="H1064" s="5" t="s">
        <v>697</v>
      </c>
      <c r="I1064" s="10">
        <f>IF(OR(D1064="", F1064=""), "", F1064 * VLOOKUP(D1064, Products!A:E, 5, FALSE) * (1 - G1064))</f>
        <v>3570.2519999999995</v>
      </c>
      <c r="J1064" s="10"/>
    </row>
    <row r="1065" spans="1:10" ht="15.75" customHeight="1" x14ac:dyDescent="0.3">
      <c r="A1065" s="5" t="s">
        <v>1932</v>
      </c>
      <c r="B1065" s="11">
        <v>45256</v>
      </c>
      <c r="C1065" s="5" t="s">
        <v>869</v>
      </c>
      <c r="D1065" s="5" t="s">
        <v>249</v>
      </c>
      <c r="E1065" s="5" t="s">
        <v>21</v>
      </c>
      <c r="F1065" s="5">
        <v>4</v>
      </c>
      <c r="G1065" s="19">
        <v>0.1</v>
      </c>
      <c r="H1065" s="5" t="s">
        <v>454</v>
      </c>
      <c r="I1065" s="10">
        <f>IF(OR(D1065="", F1065=""), "", F1065 * VLOOKUP(D1065, Products!A:E, 5, FALSE) * (1 - G1065))</f>
        <v>6284.1959999999999</v>
      </c>
      <c r="J1065" s="10"/>
    </row>
    <row r="1066" spans="1:10" ht="15.75" customHeight="1" x14ac:dyDescent="0.3">
      <c r="A1066" s="5" t="s">
        <v>1933</v>
      </c>
      <c r="B1066" s="11">
        <v>45461</v>
      </c>
      <c r="C1066" s="5" t="s">
        <v>837</v>
      </c>
      <c r="D1066" s="5" t="s">
        <v>280</v>
      </c>
      <c r="E1066" s="5" t="s">
        <v>33</v>
      </c>
      <c r="F1066" s="5">
        <v>3</v>
      </c>
      <c r="G1066" s="19">
        <v>0.05</v>
      </c>
      <c r="H1066" s="5" t="s">
        <v>776</v>
      </c>
      <c r="I1066" s="10">
        <f>IF(OR(D1066="", F1066=""), "", F1066 * VLOOKUP(D1066, Products!A:E, 5, FALSE) * (1 - G1066))</f>
        <v>3466.6259999999997</v>
      </c>
      <c r="J1066" s="10"/>
    </row>
    <row r="1067" spans="1:10" ht="15.75" customHeight="1" x14ac:dyDescent="0.3">
      <c r="A1067" s="5" t="s">
        <v>1934</v>
      </c>
      <c r="B1067" s="11">
        <v>45724</v>
      </c>
      <c r="C1067" s="5" t="s">
        <v>281</v>
      </c>
      <c r="D1067" s="5" t="s">
        <v>232</v>
      </c>
      <c r="E1067" s="5" t="s">
        <v>25</v>
      </c>
      <c r="F1067" s="5">
        <v>1</v>
      </c>
      <c r="G1067" s="19">
        <v>0.1</v>
      </c>
      <c r="H1067" s="5" t="s">
        <v>776</v>
      </c>
      <c r="I1067" s="10">
        <f>IF(OR(D1067="", F1067=""), "", F1067 * VLOOKUP(D1067, Products!A:E, 5, FALSE) * (1 - G1067))</f>
        <v>1757.3850000000002</v>
      </c>
      <c r="J1067" s="10"/>
    </row>
    <row r="1068" spans="1:10" ht="15.75" customHeight="1" x14ac:dyDescent="0.3">
      <c r="A1068" s="5" t="s">
        <v>1935</v>
      </c>
      <c r="B1068" s="11">
        <v>45660</v>
      </c>
      <c r="C1068" s="5" t="s">
        <v>604</v>
      </c>
      <c r="D1068" s="5" t="s">
        <v>89</v>
      </c>
      <c r="E1068" s="5" t="s">
        <v>33</v>
      </c>
      <c r="F1068" s="5">
        <v>4</v>
      </c>
      <c r="G1068" s="19">
        <v>0</v>
      </c>
      <c r="H1068" s="5" t="s">
        <v>637</v>
      </c>
      <c r="I1068" s="10">
        <f>IF(OR(D1068="", F1068=""), "", F1068 * VLOOKUP(D1068, Products!A:E, 5, FALSE) * (1 - G1068))</f>
        <v>4539.2</v>
      </c>
      <c r="J1068" s="10"/>
    </row>
    <row r="1069" spans="1:10" ht="15.75" customHeight="1" x14ac:dyDescent="0.3">
      <c r="A1069" s="5" t="s">
        <v>1936</v>
      </c>
      <c r="B1069" s="11">
        <v>45594</v>
      </c>
      <c r="C1069" s="5" t="s">
        <v>393</v>
      </c>
      <c r="D1069" s="5" t="s">
        <v>285</v>
      </c>
      <c r="E1069" s="5" t="s">
        <v>25</v>
      </c>
      <c r="F1069" s="5">
        <v>5</v>
      </c>
      <c r="G1069" s="19">
        <v>0.15</v>
      </c>
      <c r="H1069" s="5" t="s">
        <v>637</v>
      </c>
      <c r="I1069" s="10">
        <f>IF(OR(D1069="", F1069=""), "", F1069 * VLOOKUP(D1069, Products!A:E, 5, FALSE) * (1 - G1069))</f>
        <v>1650.105</v>
      </c>
      <c r="J1069" s="10"/>
    </row>
    <row r="1070" spans="1:10" ht="15.75" customHeight="1" x14ac:dyDescent="0.3">
      <c r="A1070" s="5" t="s">
        <v>1937</v>
      </c>
      <c r="B1070" s="11">
        <v>45623</v>
      </c>
      <c r="C1070" s="5" t="s">
        <v>557</v>
      </c>
      <c r="D1070" s="5" t="s">
        <v>140</v>
      </c>
      <c r="E1070" s="5" t="s">
        <v>33</v>
      </c>
      <c r="F1070" s="5">
        <v>1</v>
      </c>
      <c r="G1070" s="19">
        <v>0</v>
      </c>
      <c r="H1070" s="5" t="s">
        <v>697</v>
      </c>
      <c r="I1070" s="10">
        <f>IF(OR(D1070="", F1070=""), "", F1070 * VLOOKUP(D1070, Products!A:E, 5, FALSE) * (1 - G1070))</f>
        <v>25.57</v>
      </c>
      <c r="J1070" s="10"/>
    </row>
    <row r="1071" spans="1:10" ht="15.75" customHeight="1" x14ac:dyDescent="0.3">
      <c r="A1071" s="5" t="s">
        <v>1938</v>
      </c>
      <c r="B1071" s="11">
        <v>45478</v>
      </c>
      <c r="C1071" s="5" t="s">
        <v>683</v>
      </c>
      <c r="D1071" s="5" t="s">
        <v>50</v>
      </c>
      <c r="E1071" s="5" t="s">
        <v>29</v>
      </c>
      <c r="F1071" s="5">
        <v>5</v>
      </c>
      <c r="G1071" s="19">
        <v>0.05</v>
      </c>
      <c r="H1071" s="5" t="s">
        <v>776</v>
      </c>
      <c r="I1071" s="10">
        <f>IF(OR(D1071="", F1071=""), "", F1071 * VLOOKUP(D1071, Products!A:E, 5, FALSE) * (1 - G1071))</f>
        <v>1603.7425000000001</v>
      </c>
      <c r="J1071" s="10"/>
    </row>
    <row r="1072" spans="1:10" ht="15.75" customHeight="1" x14ac:dyDescent="0.3">
      <c r="A1072" s="5" t="s">
        <v>1939</v>
      </c>
      <c r="B1072" s="11">
        <v>45722</v>
      </c>
      <c r="C1072" s="5" t="s">
        <v>342</v>
      </c>
      <c r="D1072" s="5" t="s">
        <v>243</v>
      </c>
      <c r="E1072" s="5" t="s">
        <v>25</v>
      </c>
      <c r="F1072" s="5">
        <v>1</v>
      </c>
      <c r="G1072" s="19">
        <v>0.1</v>
      </c>
      <c r="H1072" s="5" t="s">
        <v>776</v>
      </c>
      <c r="I1072" s="10">
        <f>IF(OR(D1072="", F1072=""), "", F1072 * VLOOKUP(D1072, Products!A:E, 5, FALSE) * (1 - G1072))</f>
        <v>486.84600000000006</v>
      </c>
      <c r="J1072" s="10"/>
    </row>
    <row r="1073" spans="1:10" ht="15.75" customHeight="1" x14ac:dyDescent="0.3">
      <c r="A1073" s="5" t="s">
        <v>1940</v>
      </c>
      <c r="B1073" s="11">
        <v>45348</v>
      </c>
      <c r="C1073" s="5" t="s">
        <v>300</v>
      </c>
      <c r="D1073" s="5" t="s">
        <v>89</v>
      </c>
      <c r="E1073" s="5" t="s">
        <v>21</v>
      </c>
      <c r="F1073" s="5">
        <v>5</v>
      </c>
      <c r="G1073" s="19">
        <v>0.1</v>
      </c>
      <c r="H1073" s="5" t="s">
        <v>454</v>
      </c>
      <c r="I1073" s="10">
        <f>IF(OR(D1073="", F1073=""), "", F1073 * VLOOKUP(D1073, Products!A:E, 5, FALSE) * (1 - G1073))</f>
        <v>5106.6000000000004</v>
      </c>
      <c r="J1073" s="10"/>
    </row>
    <row r="1074" spans="1:10" ht="15.75" customHeight="1" x14ac:dyDescent="0.3">
      <c r="A1074" s="5" t="s">
        <v>1941</v>
      </c>
      <c r="B1074" s="11">
        <v>45708</v>
      </c>
      <c r="C1074" s="5" t="s">
        <v>209</v>
      </c>
      <c r="D1074" s="5" t="s">
        <v>256</v>
      </c>
      <c r="E1074" s="5" t="s">
        <v>21</v>
      </c>
      <c r="F1074" s="5">
        <v>1</v>
      </c>
      <c r="G1074" s="19">
        <v>0.15</v>
      </c>
      <c r="H1074" s="5" t="s">
        <v>697</v>
      </c>
      <c r="I1074" s="10">
        <f>IF(OR(D1074="", F1074=""), "", F1074 * VLOOKUP(D1074, Products!A:E, 5, FALSE) * (1 - G1074))</f>
        <v>1389.7584999999999</v>
      </c>
      <c r="J1074" s="10"/>
    </row>
    <row r="1075" spans="1:10" ht="15.75" customHeight="1" x14ac:dyDescent="0.3">
      <c r="A1075" s="5" t="s">
        <v>1942</v>
      </c>
      <c r="B1075" s="11">
        <v>45480</v>
      </c>
      <c r="C1075" s="5" t="s">
        <v>317</v>
      </c>
      <c r="D1075" s="5" t="s">
        <v>269</v>
      </c>
      <c r="E1075" s="5" t="s">
        <v>29</v>
      </c>
      <c r="F1075" s="5">
        <v>5</v>
      </c>
      <c r="G1075" s="19">
        <v>0.05</v>
      </c>
      <c r="H1075" s="5" t="s">
        <v>637</v>
      </c>
      <c r="I1075" s="10">
        <f>IF(OR(D1075="", F1075=""), "", F1075 * VLOOKUP(D1075, Products!A:E, 5, FALSE) * (1 - G1075))</f>
        <v>8925.6299999999992</v>
      </c>
      <c r="J1075" s="10"/>
    </row>
    <row r="1076" spans="1:10" ht="15.75" customHeight="1" x14ac:dyDescent="0.3">
      <c r="A1076" s="5" t="s">
        <v>1943</v>
      </c>
      <c r="B1076" s="11">
        <v>45685</v>
      </c>
      <c r="C1076" s="5" t="s">
        <v>854</v>
      </c>
      <c r="D1076" s="5" t="s">
        <v>61</v>
      </c>
      <c r="E1076" s="5" t="s">
        <v>37</v>
      </c>
      <c r="F1076" s="5">
        <v>3</v>
      </c>
      <c r="G1076" s="19">
        <v>0</v>
      </c>
      <c r="H1076" s="5" t="s">
        <v>776</v>
      </c>
      <c r="I1076" s="10">
        <f>IF(OR(D1076="", F1076=""), "", F1076 * VLOOKUP(D1076, Products!A:E, 5, FALSE) * (1 - G1076))</f>
        <v>954.15000000000009</v>
      </c>
      <c r="J1076" s="10"/>
    </row>
    <row r="1077" spans="1:10" ht="15.75" customHeight="1" x14ac:dyDescent="0.3">
      <c r="A1077" s="5" t="s">
        <v>1944</v>
      </c>
      <c r="B1077" s="11">
        <v>45836</v>
      </c>
      <c r="C1077" s="5" t="s">
        <v>869</v>
      </c>
      <c r="D1077" s="5" t="s">
        <v>180</v>
      </c>
      <c r="E1077" s="5" t="s">
        <v>29</v>
      </c>
      <c r="F1077" s="5">
        <v>3</v>
      </c>
      <c r="G1077" s="19">
        <v>0.1</v>
      </c>
      <c r="H1077" s="5" t="s">
        <v>637</v>
      </c>
      <c r="I1077" s="10">
        <f>IF(OR(D1077="", F1077=""), "", F1077 * VLOOKUP(D1077, Products!A:E, 5, FALSE) * (1 - G1077))</f>
        <v>1819.2059999999999</v>
      </c>
      <c r="J1077" s="10"/>
    </row>
    <row r="1078" spans="1:10" ht="15.75" customHeight="1" x14ac:dyDescent="0.3">
      <c r="A1078" s="5" t="s">
        <v>1945</v>
      </c>
      <c r="B1078" s="11">
        <v>45800</v>
      </c>
      <c r="C1078" s="5" t="s">
        <v>181</v>
      </c>
      <c r="D1078" s="5" t="s">
        <v>115</v>
      </c>
      <c r="E1078" s="5" t="s">
        <v>33</v>
      </c>
      <c r="F1078" s="5">
        <v>5</v>
      </c>
      <c r="G1078" s="19">
        <v>0</v>
      </c>
      <c r="H1078" s="5" t="s">
        <v>454</v>
      </c>
      <c r="I1078" s="10">
        <f>IF(OR(D1078="", F1078=""), "", F1078 * VLOOKUP(D1078, Products!A:E, 5, FALSE) * (1 - G1078))</f>
        <v>6230.5499999999993</v>
      </c>
      <c r="J1078" s="10"/>
    </row>
    <row r="1079" spans="1:10" ht="15.75" customHeight="1" x14ac:dyDescent="0.3">
      <c r="A1079" s="5" t="s">
        <v>1946</v>
      </c>
      <c r="B1079" s="11">
        <v>45650</v>
      </c>
      <c r="C1079" s="5" t="s">
        <v>615</v>
      </c>
      <c r="D1079" s="5" t="s">
        <v>70</v>
      </c>
      <c r="E1079" s="5" t="s">
        <v>25</v>
      </c>
      <c r="F1079" s="5">
        <v>1</v>
      </c>
      <c r="G1079" s="19">
        <v>0.1</v>
      </c>
      <c r="H1079" s="5" t="s">
        <v>454</v>
      </c>
      <c r="I1079" s="10">
        <f>IF(OR(D1079="", F1079=""), "", F1079 * VLOOKUP(D1079, Products!A:E, 5, FALSE) * (1 - G1079))</f>
        <v>110.871</v>
      </c>
      <c r="J1079" s="10"/>
    </row>
    <row r="1080" spans="1:10" ht="15.75" customHeight="1" x14ac:dyDescent="0.3">
      <c r="A1080" s="5" t="s">
        <v>1947</v>
      </c>
      <c r="B1080" s="11">
        <v>45650</v>
      </c>
      <c r="C1080" s="5" t="s">
        <v>665</v>
      </c>
      <c r="D1080" s="5" t="s">
        <v>276</v>
      </c>
      <c r="E1080" s="5" t="s">
        <v>33</v>
      </c>
      <c r="F1080" s="5">
        <v>5</v>
      </c>
      <c r="G1080" s="19">
        <v>0.05</v>
      </c>
      <c r="H1080" s="5" t="s">
        <v>697</v>
      </c>
      <c r="I1080" s="10">
        <f>IF(OR(D1080="", F1080=""), "", F1080 * VLOOKUP(D1080, Products!A:E, 5, FALSE) * (1 - G1080))</f>
        <v>5686.6050000000005</v>
      </c>
      <c r="J1080" s="10"/>
    </row>
    <row r="1081" spans="1:10" ht="15.75" customHeight="1" x14ac:dyDescent="0.3">
      <c r="A1081" s="5" t="s">
        <v>1948</v>
      </c>
      <c r="B1081" s="11">
        <v>45540</v>
      </c>
      <c r="C1081" s="5" t="s">
        <v>736</v>
      </c>
      <c r="D1081" s="5" t="s">
        <v>54</v>
      </c>
      <c r="E1081" s="5" t="s">
        <v>21</v>
      </c>
      <c r="F1081" s="5">
        <v>1</v>
      </c>
      <c r="G1081" s="19">
        <v>0</v>
      </c>
      <c r="H1081" s="5" t="s">
        <v>637</v>
      </c>
      <c r="I1081" s="10">
        <f>IF(OR(D1081="", F1081=""), "", F1081 * VLOOKUP(D1081, Products!A:E, 5, FALSE) * (1 - G1081))</f>
        <v>1853.77</v>
      </c>
      <c r="J1081" s="10"/>
    </row>
    <row r="1082" spans="1:10" ht="15.75" customHeight="1" x14ac:dyDescent="0.3">
      <c r="A1082" s="5" t="s">
        <v>1949</v>
      </c>
      <c r="B1082" s="11">
        <v>45286</v>
      </c>
      <c r="C1082" s="5" t="s">
        <v>833</v>
      </c>
      <c r="D1082" s="5" t="s">
        <v>47</v>
      </c>
      <c r="E1082" s="5" t="s">
        <v>37</v>
      </c>
      <c r="F1082" s="5">
        <v>3</v>
      </c>
      <c r="G1082" s="19">
        <v>0.15</v>
      </c>
      <c r="H1082" s="5" t="s">
        <v>454</v>
      </c>
      <c r="I1082" s="10">
        <f>IF(OR(D1082="", F1082=""), "", F1082 * VLOOKUP(D1082, Products!A:E, 5, FALSE) * (1 - G1082))</f>
        <v>2087.8379999999997</v>
      </c>
      <c r="J1082" s="10"/>
    </row>
    <row r="1083" spans="1:10" ht="15.75" customHeight="1" x14ac:dyDescent="0.3">
      <c r="A1083" s="5" t="s">
        <v>1950</v>
      </c>
      <c r="B1083" s="11">
        <v>45270</v>
      </c>
      <c r="C1083" s="5" t="s">
        <v>416</v>
      </c>
      <c r="D1083" s="5" t="s">
        <v>122</v>
      </c>
      <c r="E1083" s="5" t="s">
        <v>37</v>
      </c>
      <c r="F1083" s="5">
        <v>5</v>
      </c>
      <c r="G1083" s="19">
        <v>0.1</v>
      </c>
      <c r="H1083" s="5" t="s">
        <v>697</v>
      </c>
      <c r="I1083" s="10">
        <f>IF(OR(D1083="", F1083=""), "", F1083 * VLOOKUP(D1083, Products!A:E, 5, FALSE) * (1 - G1083))</f>
        <v>7933.14</v>
      </c>
      <c r="J1083" s="10"/>
    </row>
    <row r="1084" spans="1:10" ht="15.75" customHeight="1" x14ac:dyDescent="0.3">
      <c r="A1084" s="5" t="s">
        <v>1951</v>
      </c>
      <c r="B1084" s="11">
        <v>45399</v>
      </c>
      <c r="C1084" s="5" t="s">
        <v>740</v>
      </c>
      <c r="D1084" s="5" t="s">
        <v>162</v>
      </c>
      <c r="E1084" s="5" t="s">
        <v>37</v>
      </c>
      <c r="F1084" s="5">
        <v>4</v>
      </c>
      <c r="G1084" s="19">
        <v>0.15</v>
      </c>
      <c r="H1084" s="5" t="s">
        <v>637</v>
      </c>
      <c r="I1084" s="10">
        <f>IF(OR(D1084="", F1084=""), "", F1084 * VLOOKUP(D1084, Products!A:E, 5, FALSE) * (1 - G1084))</f>
        <v>1459.11</v>
      </c>
      <c r="J1084" s="10"/>
    </row>
    <row r="1085" spans="1:10" ht="15.75" customHeight="1" x14ac:dyDescent="0.3">
      <c r="A1085" s="5" t="s">
        <v>1952</v>
      </c>
      <c r="B1085" s="11">
        <v>45745</v>
      </c>
      <c r="C1085" s="5" t="s">
        <v>338</v>
      </c>
      <c r="D1085" s="5" t="s">
        <v>70</v>
      </c>
      <c r="E1085" s="5" t="s">
        <v>37</v>
      </c>
      <c r="F1085" s="5">
        <v>2</v>
      </c>
      <c r="G1085" s="19">
        <v>0.1</v>
      </c>
      <c r="H1085" s="5" t="s">
        <v>697</v>
      </c>
      <c r="I1085" s="10">
        <f>IF(OR(D1085="", F1085=""), "", F1085 * VLOOKUP(D1085, Products!A:E, 5, FALSE) * (1 - G1085))</f>
        <v>221.74199999999999</v>
      </c>
      <c r="J1085" s="10"/>
    </row>
    <row r="1086" spans="1:10" ht="15.75" customHeight="1" x14ac:dyDescent="0.3">
      <c r="A1086" s="5" t="s">
        <v>1953</v>
      </c>
      <c r="B1086" s="11">
        <v>45621</v>
      </c>
      <c r="C1086" s="5" t="s">
        <v>16</v>
      </c>
      <c r="D1086" s="5" t="s">
        <v>103</v>
      </c>
      <c r="E1086" s="5" t="s">
        <v>21</v>
      </c>
      <c r="F1086" s="5">
        <v>1</v>
      </c>
      <c r="G1086" s="19">
        <v>0.15</v>
      </c>
      <c r="H1086" s="5" t="s">
        <v>776</v>
      </c>
      <c r="I1086" s="10">
        <f>IF(OR(D1086="", F1086=""), "", F1086 * VLOOKUP(D1086, Products!A:E, 5, FALSE) * (1 - G1086))</f>
        <v>229.88249999999999</v>
      </c>
      <c r="J1086" s="10"/>
    </row>
    <row r="1087" spans="1:10" ht="15.75" customHeight="1" x14ac:dyDescent="0.3">
      <c r="A1087" s="5" t="s">
        <v>1954</v>
      </c>
      <c r="B1087" s="11">
        <v>45751</v>
      </c>
      <c r="C1087" s="5" t="s">
        <v>842</v>
      </c>
      <c r="D1087" s="5" t="s">
        <v>237</v>
      </c>
      <c r="E1087" s="5" t="s">
        <v>25</v>
      </c>
      <c r="F1087" s="5">
        <v>5</v>
      </c>
      <c r="G1087" s="19">
        <v>0.15</v>
      </c>
      <c r="H1087" s="5" t="s">
        <v>637</v>
      </c>
      <c r="I1087" s="10">
        <f>IF(OR(D1087="", F1087=""), "", F1087 * VLOOKUP(D1087, Products!A:E, 5, FALSE) * (1 - G1087))</f>
        <v>1559.4525000000001</v>
      </c>
      <c r="J1087" s="10"/>
    </row>
    <row r="1088" spans="1:10" ht="15.75" customHeight="1" x14ac:dyDescent="0.3">
      <c r="A1088" s="5" t="s">
        <v>1955</v>
      </c>
      <c r="B1088" s="11">
        <v>45663</v>
      </c>
      <c r="C1088" s="5" t="s">
        <v>149</v>
      </c>
      <c r="D1088" s="5" t="s">
        <v>272</v>
      </c>
      <c r="E1088" s="5" t="s">
        <v>29</v>
      </c>
      <c r="F1088" s="5">
        <v>3</v>
      </c>
      <c r="G1088" s="19">
        <v>0.05</v>
      </c>
      <c r="H1088" s="5" t="s">
        <v>776</v>
      </c>
      <c r="I1088" s="10">
        <f>IF(OR(D1088="", F1088=""), "", F1088 * VLOOKUP(D1088, Products!A:E, 5, FALSE) * (1 - G1088))</f>
        <v>3321.3044999999997</v>
      </c>
      <c r="J1088" s="10"/>
    </row>
    <row r="1089" spans="1:10" ht="15.75" customHeight="1" x14ac:dyDescent="0.3">
      <c r="A1089" s="5" t="s">
        <v>1956</v>
      </c>
      <c r="B1089" s="11">
        <v>45353</v>
      </c>
      <c r="C1089" s="5" t="s">
        <v>758</v>
      </c>
      <c r="D1089" s="5" t="s">
        <v>57</v>
      </c>
      <c r="E1089" s="5" t="s">
        <v>25</v>
      </c>
      <c r="F1089" s="5">
        <v>3</v>
      </c>
      <c r="G1089" s="19">
        <v>0.1</v>
      </c>
      <c r="H1089" s="5" t="s">
        <v>776</v>
      </c>
      <c r="I1089" s="10">
        <f>IF(OR(D1089="", F1089=""), "", F1089 * VLOOKUP(D1089, Products!A:E, 5, FALSE) * (1 - G1089))</f>
        <v>3769.7939999999999</v>
      </c>
      <c r="J1089" s="10"/>
    </row>
    <row r="1090" spans="1:10" ht="15.75" customHeight="1" x14ac:dyDescent="0.3">
      <c r="A1090" s="5" t="s">
        <v>1957</v>
      </c>
      <c r="B1090" s="11">
        <v>45385</v>
      </c>
      <c r="C1090" s="5" t="s">
        <v>462</v>
      </c>
      <c r="D1090" s="5" t="s">
        <v>168</v>
      </c>
      <c r="E1090" s="5" t="s">
        <v>29</v>
      </c>
      <c r="F1090" s="5">
        <v>5</v>
      </c>
      <c r="G1090" s="19">
        <v>0.1</v>
      </c>
      <c r="H1090" s="5" t="s">
        <v>776</v>
      </c>
      <c r="I1090" s="10">
        <f>IF(OR(D1090="", F1090=""), "", F1090 * VLOOKUP(D1090, Products!A:E, 5, FALSE) * (1 - G1090))</f>
        <v>4570.92</v>
      </c>
      <c r="J1090" s="10"/>
    </row>
    <row r="1091" spans="1:10" ht="15.75" customHeight="1" x14ac:dyDescent="0.3">
      <c r="A1091" s="5" t="s">
        <v>1958</v>
      </c>
      <c r="B1091" s="11">
        <v>45371</v>
      </c>
      <c r="C1091" s="5" t="s">
        <v>250</v>
      </c>
      <c r="D1091" s="5" t="s">
        <v>70</v>
      </c>
      <c r="E1091" s="5" t="s">
        <v>29</v>
      </c>
      <c r="F1091" s="5">
        <v>3</v>
      </c>
      <c r="G1091" s="19">
        <v>0.15</v>
      </c>
      <c r="H1091" s="5" t="s">
        <v>776</v>
      </c>
      <c r="I1091" s="10">
        <f>IF(OR(D1091="", F1091=""), "", F1091 * VLOOKUP(D1091, Products!A:E, 5, FALSE) * (1 - G1091))</f>
        <v>314.1345</v>
      </c>
      <c r="J1091" s="10"/>
    </row>
    <row r="1092" spans="1:10" ht="15.75" customHeight="1" x14ac:dyDescent="0.3">
      <c r="A1092" s="5" t="s">
        <v>1959</v>
      </c>
      <c r="B1092" s="11">
        <v>45680</v>
      </c>
      <c r="C1092" s="5" t="s">
        <v>330</v>
      </c>
      <c r="D1092" s="5" t="s">
        <v>249</v>
      </c>
      <c r="E1092" s="5" t="s">
        <v>25</v>
      </c>
      <c r="F1092" s="5">
        <v>3</v>
      </c>
      <c r="G1092" s="19">
        <v>0.1</v>
      </c>
      <c r="H1092" s="5" t="s">
        <v>637</v>
      </c>
      <c r="I1092" s="10">
        <f>IF(OR(D1092="", F1092=""), "", F1092 * VLOOKUP(D1092, Products!A:E, 5, FALSE) * (1 - G1092))</f>
        <v>4713.1469999999999</v>
      </c>
      <c r="J1092" s="10"/>
    </row>
    <row r="1093" spans="1:10" ht="15.75" customHeight="1" x14ac:dyDescent="0.3">
      <c r="A1093" s="5" t="s">
        <v>1960</v>
      </c>
      <c r="B1093" s="11">
        <v>45850</v>
      </c>
      <c r="C1093" s="5" t="s">
        <v>618</v>
      </c>
      <c r="D1093" s="5" t="s">
        <v>256</v>
      </c>
      <c r="E1093" s="5" t="s">
        <v>21</v>
      </c>
      <c r="F1093" s="5">
        <v>2</v>
      </c>
      <c r="G1093" s="19">
        <v>0.15</v>
      </c>
      <c r="H1093" s="5" t="s">
        <v>697</v>
      </c>
      <c r="I1093" s="10">
        <f>IF(OR(D1093="", F1093=""), "", F1093 * VLOOKUP(D1093, Products!A:E, 5, FALSE) * (1 - G1093))</f>
        <v>2779.5169999999998</v>
      </c>
      <c r="J1093" s="10"/>
    </row>
    <row r="1094" spans="1:10" ht="15.75" customHeight="1" x14ac:dyDescent="0.3">
      <c r="A1094" s="5" t="s">
        <v>1961</v>
      </c>
      <c r="B1094" s="11">
        <v>45502</v>
      </c>
      <c r="C1094" s="5" t="s">
        <v>750</v>
      </c>
      <c r="D1094" s="5" t="s">
        <v>212</v>
      </c>
      <c r="E1094" s="5" t="s">
        <v>33</v>
      </c>
      <c r="F1094" s="5">
        <v>5</v>
      </c>
      <c r="G1094" s="19">
        <v>0.1</v>
      </c>
      <c r="H1094" s="5" t="s">
        <v>637</v>
      </c>
      <c r="I1094" s="10">
        <f>IF(OR(D1094="", F1094=""), "", F1094 * VLOOKUP(D1094, Products!A:E, 5, FALSE) * (1 - G1094))</f>
        <v>8095.3650000000007</v>
      </c>
      <c r="J1094" s="10"/>
    </row>
    <row r="1095" spans="1:10" ht="15.75" customHeight="1" x14ac:dyDescent="0.3">
      <c r="A1095" s="5" t="s">
        <v>1962</v>
      </c>
      <c r="B1095" s="11">
        <v>45441</v>
      </c>
      <c r="C1095" s="5" t="s">
        <v>560</v>
      </c>
      <c r="D1095" s="5" t="s">
        <v>128</v>
      </c>
      <c r="E1095" s="5" t="s">
        <v>21</v>
      </c>
      <c r="F1095" s="5">
        <v>5</v>
      </c>
      <c r="G1095" s="19">
        <v>0.1</v>
      </c>
      <c r="H1095" s="5" t="s">
        <v>454</v>
      </c>
      <c r="I1095" s="10">
        <f>IF(OR(D1095="", F1095=""), "", F1095 * VLOOKUP(D1095, Products!A:E, 5, FALSE) * (1 - G1095))</f>
        <v>1457.64</v>
      </c>
      <c r="J1095" s="10"/>
    </row>
    <row r="1096" spans="1:10" ht="15.75" customHeight="1" x14ac:dyDescent="0.3">
      <c r="A1096" s="5" t="s">
        <v>1963</v>
      </c>
      <c r="B1096" s="11">
        <v>45822</v>
      </c>
      <c r="C1096" s="5" t="s">
        <v>691</v>
      </c>
      <c r="D1096" s="5" t="s">
        <v>217</v>
      </c>
      <c r="E1096" s="5" t="s">
        <v>37</v>
      </c>
      <c r="F1096" s="5">
        <v>1</v>
      </c>
      <c r="G1096" s="19">
        <v>0.05</v>
      </c>
      <c r="H1096" s="5" t="s">
        <v>454</v>
      </c>
      <c r="I1096" s="10">
        <f>IF(OR(D1096="", F1096=""), "", F1096 * VLOOKUP(D1096, Products!A:E, 5, FALSE) * (1 - G1096))</f>
        <v>406.64749999999998</v>
      </c>
      <c r="J1096" s="10"/>
    </row>
    <row r="1097" spans="1:10" ht="15.75" customHeight="1" x14ac:dyDescent="0.3">
      <c r="A1097" s="5" t="s">
        <v>1964</v>
      </c>
      <c r="B1097" s="11">
        <v>45746</v>
      </c>
      <c r="C1097" s="5" t="s">
        <v>507</v>
      </c>
      <c r="D1097" s="5" t="s">
        <v>200</v>
      </c>
      <c r="E1097" s="5" t="s">
        <v>21</v>
      </c>
      <c r="F1097" s="5">
        <v>2</v>
      </c>
      <c r="G1097" s="19">
        <v>0.1</v>
      </c>
      <c r="H1097" s="5" t="s">
        <v>776</v>
      </c>
      <c r="I1097" s="10">
        <f>IF(OR(D1097="", F1097=""), "", F1097 * VLOOKUP(D1097, Products!A:E, 5, FALSE) * (1 - G1097))</f>
        <v>1972.296</v>
      </c>
      <c r="J1097" s="10"/>
    </row>
    <row r="1098" spans="1:10" ht="15.75" customHeight="1" x14ac:dyDescent="0.3">
      <c r="A1098" s="5" t="s">
        <v>1965</v>
      </c>
      <c r="B1098" s="11">
        <v>45550</v>
      </c>
      <c r="C1098" s="5" t="s">
        <v>491</v>
      </c>
      <c r="D1098" s="5" t="s">
        <v>47</v>
      </c>
      <c r="E1098" s="5" t="s">
        <v>33</v>
      </c>
      <c r="F1098" s="5">
        <v>5</v>
      </c>
      <c r="G1098" s="19">
        <v>0.05</v>
      </c>
      <c r="H1098" s="5" t="s">
        <v>637</v>
      </c>
      <c r="I1098" s="10">
        <f>IF(OR(D1098="", F1098=""), "", F1098 * VLOOKUP(D1098, Products!A:E, 5, FALSE) * (1 - G1098))</f>
        <v>3889.11</v>
      </c>
      <c r="J1098" s="10"/>
    </row>
    <row r="1099" spans="1:10" ht="15.75" customHeight="1" x14ac:dyDescent="0.3">
      <c r="A1099" s="5" t="s">
        <v>1966</v>
      </c>
      <c r="B1099" s="11">
        <v>45608</v>
      </c>
      <c r="C1099" s="5" t="s">
        <v>342</v>
      </c>
      <c r="D1099" s="5" t="s">
        <v>147</v>
      </c>
      <c r="E1099" s="5" t="s">
        <v>37</v>
      </c>
      <c r="F1099" s="5">
        <v>1</v>
      </c>
      <c r="G1099" s="19">
        <v>0.1</v>
      </c>
      <c r="H1099" s="5" t="s">
        <v>454</v>
      </c>
      <c r="I1099" s="10">
        <f>IF(OR(D1099="", F1099=""), "", F1099 * VLOOKUP(D1099, Products!A:E, 5, FALSE) * (1 - G1099))</f>
        <v>1690.623</v>
      </c>
      <c r="J1099" s="10"/>
    </row>
    <row r="1100" spans="1:10" ht="15.75" customHeight="1" x14ac:dyDescent="0.3">
      <c r="A1100" s="5" t="s">
        <v>1967</v>
      </c>
      <c r="B1100" s="11">
        <v>45844</v>
      </c>
      <c r="C1100" s="5" t="s">
        <v>819</v>
      </c>
      <c r="D1100" s="5" t="s">
        <v>82</v>
      </c>
      <c r="E1100" s="5" t="s">
        <v>21</v>
      </c>
      <c r="F1100" s="5">
        <v>3</v>
      </c>
      <c r="G1100" s="19">
        <v>0.15</v>
      </c>
      <c r="H1100" s="5" t="s">
        <v>776</v>
      </c>
      <c r="I1100" s="10">
        <f>IF(OR(D1100="", F1100=""), "", F1100 * VLOOKUP(D1100, Products!A:E, 5, FALSE) * (1 - G1100))</f>
        <v>3042.3794999999996</v>
      </c>
      <c r="J1100" s="10"/>
    </row>
    <row r="1101" spans="1:10" ht="15.75" customHeight="1" x14ac:dyDescent="0.3">
      <c r="A1101" s="5" t="s">
        <v>1968</v>
      </c>
      <c r="B1101" s="11">
        <v>45615</v>
      </c>
      <c r="C1101" s="5" t="s">
        <v>638</v>
      </c>
      <c r="D1101" s="5" t="s">
        <v>221</v>
      </c>
      <c r="E1101" s="5" t="s">
        <v>25</v>
      </c>
      <c r="F1101" s="5">
        <v>3</v>
      </c>
      <c r="G1101" s="19">
        <v>0.15</v>
      </c>
      <c r="H1101" s="5" t="s">
        <v>454</v>
      </c>
      <c r="I1101" s="10">
        <f>IF(OR(D1101="", F1101=""), "", F1101 * VLOOKUP(D1101, Products!A:E, 5, FALSE) * (1 - G1101))</f>
        <v>3984.1965</v>
      </c>
      <c r="J1101" s="10"/>
    </row>
    <row r="1102" spans="1:10" ht="15.75" customHeight="1" x14ac:dyDescent="0.3">
      <c r="A1102" s="5" t="s">
        <v>1969</v>
      </c>
      <c r="B1102" s="11">
        <v>45777</v>
      </c>
      <c r="C1102" s="5" t="s">
        <v>372</v>
      </c>
      <c r="D1102" s="5" t="s">
        <v>115</v>
      </c>
      <c r="E1102" s="5" t="s">
        <v>37</v>
      </c>
      <c r="F1102" s="5">
        <v>3</v>
      </c>
      <c r="G1102" s="19">
        <v>0.05</v>
      </c>
      <c r="H1102" s="5" t="s">
        <v>776</v>
      </c>
      <c r="I1102" s="10">
        <f>IF(OR(D1102="", F1102=""), "", F1102 * VLOOKUP(D1102, Products!A:E, 5, FALSE) * (1 - G1102))</f>
        <v>3551.4134999999997</v>
      </c>
      <c r="J1102" s="10"/>
    </row>
    <row r="1103" spans="1:10" ht="15.75" customHeight="1" x14ac:dyDescent="0.3">
      <c r="A1103" s="5" t="s">
        <v>1970</v>
      </c>
      <c r="B1103" s="11">
        <v>45835</v>
      </c>
      <c r="C1103" s="5" t="s">
        <v>526</v>
      </c>
      <c r="D1103" s="5" t="s">
        <v>217</v>
      </c>
      <c r="E1103" s="5" t="s">
        <v>21</v>
      </c>
      <c r="F1103" s="5">
        <v>2</v>
      </c>
      <c r="G1103" s="19">
        <v>0</v>
      </c>
      <c r="H1103" s="5" t="s">
        <v>637</v>
      </c>
      <c r="I1103" s="10">
        <f>IF(OR(D1103="", F1103=""), "", F1103 * VLOOKUP(D1103, Products!A:E, 5, FALSE) * (1 - G1103))</f>
        <v>856.1</v>
      </c>
      <c r="J1103" s="10"/>
    </row>
    <row r="1104" spans="1:10" ht="15.75" customHeight="1" x14ac:dyDescent="0.3">
      <c r="A1104" s="5" t="s">
        <v>1971</v>
      </c>
      <c r="B1104" s="11">
        <v>45815</v>
      </c>
      <c r="C1104" s="5" t="s">
        <v>645</v>
      </c>
      <c r="D1104" s="5" t="s">
        <v>119</v>
      </c>
      <c r="E1104" s="5" t="s">
        <v>21</v>
      </c>
      <c r="F1104" s="5">
        <v>4</v>
      </c>
      <c r="G1104" s="19">
        <v>0.05</v>
      </c>
      <c r="H1104" s="5" t="s">
        <v>697</v>
      </c>
      <c r="I1104" s="10">
        <f>IF(OR(D1104="", F1104=""), "", F1104 * VLOOKUP(D1104, Products!A:E, 5, FALSE) * (1 - G1104))</f>
        <v>4103.5820000000003</v>
      </c>
      <c r="J1104" s="10"/>
    </row>
    <row r="1105" spans="1:10" ht="15.75" customHeight="1" x14ac:dyDescent="0.3">
      <c r="A1105" s="5" t="s">
        <v>1972</v>
      </c>
      <c r="B1105" s="11">
        <v>45300</v>
      </c>
      <c r="C1105" s="5" t="s">
        <v>495</v>
      </c>
      <c r="D1105" s="5" t="s">
        <v>89</v>
      </c>
      <c r="E1105" s="5" t="s">
        <v>33</v>
      </c>
      <c r="F1105" s="5">
        <v>5</v>
      </c>
      <c r="G1105" s="19">
        <v>0.1</v>
      </c>
      <c r="H1105" s="5" t="s">
        <v>454</v>
      </c>
      <c r="I1105" s="10">
        <f>IF(OR(D1105="", F1105=""), "", F1105 * VLOOKUP(D1105, Products!A:E, 5, FALSE) * (1 - G1105))</f>
        <v>5106.6000000000004</v>
      </c>
      <c r="J1105" s="10"/>
    </row>
    <row r="1106" spans="1:10" ht="15.75" customHeight="1" x14ac:dyDescent="0.3">
      <c r="A1106" s="5" t="s">
        <v>1973</v>
      </c>
      <c r="B1106" s="11">
        <v>45779</v>
      </c>
      <c r="C1106" s="5" t="s">
        <v>296</v>
      </c>
      <c r="D1106" s="5" t="s">
        <v>77</v>
      </c>
      <c r="E1106" s="5" t="s">
        <v>21</v>
      </c>
      <c r="F1106" s="5">
        <v>5</v>
      </c>
      <c r="G1106" s="19">
        <v>0.05</v>
      </c>
      <c r="H1106" s="5" t="s">
        <v>697</v>
      </c>
      <c r="I1106" s="10">
        <f>IF(OR(D1106="", F1106=""), "", F1106 * VLOOKUP(D1106, Products!A:E, 5, FALSE) * (1 - G1106))</f>
        <v>1180.7074999999998</v>
      </c>
      <c r="J1106" s="10"/>
    </row>
    <row r="1107" spans="1:10" ht="15.75" customHeight="1" x14ac:dyDescent="0.3">
      <c r="A1107" s="5" t="s">
        <v>1974</v>
      </c>
      <c r="B1107" s="11">
        <v>45388</v>
      </c>
      <c r="C1107" s="5" t="s">
        <v>833</v>
      </c>
      <c r="D1107" s="5" t="s">
        <v>175</v>
      </c>
      <c r="E1107" s="5" t="s">
        <v>21</v>
      </c>
      <c r="F1107" s="5">
        <v>4</v>
      </c>
      <c r="G1107" s="19">
        <v>0.15</v>
      </c>
      <c r="H1107" s="5" t="s">
        <v>776</v>
      </c>
      <c r="I1107" s="10">
        <f>IF(OR(D1107="", F1107=""), "", F1107 * VLOOKUP(D1107, Products!A:E, 5, FALSE) * (1 - G1107))</f>
        <v>4325.5820000000003</v>
      </c>
      <c r="J1107" s="10"/>
    </row>
    <row r="1108" spans="1:10" ht="15.75" customHeight="1" x14ac:dyDescent="0.3">
      <c r="A1108" s="5" t="s">
        <v>1975</v>
      </c>
      <c r="B1108" s="11">
        <v>45808</v>
      </c>
      <c r="C1108" s="5" t="s">
        <v>69</v>
      </c>
      <c r="D1108" s="5" t="s">
        <v>70</v>
      </c>
      <c r="E1108" s="5" t="s">
        <v>29</v>
      </c>
      <c r="F1108" s="5">
        <v>1</v>
      </c>
      <c r="G1108" s="19">
        <v>0</v>
      </c>
      <c r="H1108" s="5" t="s">
        <v>454</v>
      </c>
      <c r="I1108" s="10">
        <f>IF(OR(D1108="", F1108=""), "", F1108 * VLOOKUP(D1108, Products!A:E, 5, FALSE) * (1 - G1108))</f>
        <v>123.19</v>
      </c>
      <c r="J1108" s="10"/>
    </row>
    <row r="1109" spans="1:10" ht="15.75" customHeight="1" x14ac:dyDescent="0.3">
      <c r="A1109" s="5" t="s">
        <v>1976</v>
      </c>
      <c r="B1109" s="11">
        <v>45888</v>
      </c>
      <c r="C1109" s="5" t="s">
        <v>611</v>
      </c>
      <c r="D1109" s="5" t="s">
        <v>109</v>
      </c>
      <c r="E1109" s="5" t="s">
        <v>21</v>
      </c>
      <c r="F1109" s="5">
        <v>1</v>
      </c>
      <c r="G1109" s="19">
        <v>0.1</v>
      </c>
      <c r="H1109" s="5" t="s">
        <v>776</v>
      </c>
      <c r="I1109" s="10">
        <f>IF(OR(D1109="", F1109=""), "", F1109 * VLOOKUP(D1109, Products!A:E, 5, FALSE) * (1 - G1109))</f>
        <v>1672.875</v>
      </c>
      <c r="J1109" s="10"/>
    </row>
    <row r="1110" spans="1:10" ht="15.75" customHeight="1" x14ac:dyDescent="0.3">
      <c r="A1110" s="5" t="s">
        <v>1977</v>
      </c>
      <c r="B1110" s="11">
        <v>45785</v>
      </c>
      <c r="C1110" s="5" t="s">
        <v>708</v>
      </c>
      <c r="D1110" s="5" t="s">
        <v>54</v>
      </c>
      <c r="E1110" s="5" t="s">
        <v>29</v>
      </c>
      <c r="F1110" s="5">
        <v>2</v>
      </c>
      <c r="G1110" s="19">
        <v>0.1</v>
      </c>
      <c r="H1110" s="5" t="s">
        <v>697</v>
      </c>
      <c r="I1110" s="10">
        <f>IF(OR(D1110="", F1110=""), "", F1110 * VLOOKUP(D1110, Products!A:E, 5, FALSE) * (1 - G1110))</f>
        <v>3336.7860000000001</v>
      </c>
      <c r="J1110" s="10"/>
    </row>
    <row r="1111" spans="1:10" ht="15.75" customHeight="1" x14ac:dyDescent="0.3">
      <c r="A1111" s="5" t="s">
        <v>1978</v>
      </c>
      <c r="B1111" s="11">
        <v>45330</v>
      </c>
      <c r="C1111" s="5" t="s">
        <v>350</v>
      </c>
      <c r="D1111" s="5" t="s">
        <v>61</v>
      </c>
      <c r="E1111" s="5" t="s">
        <v>29</v>
      </c>
      <c r="F1111" s="5">
        <v>3</v>
      </c>
      <c r="G1111" s="19">
        <v>0.1</v>
      </c>
      <c r="H1111" s="5" t="s">
        <v>637</v>
      </c>
      <c r="I1111" s="10">
        <f>IF(OR(D1111="", F1111=""), "", F1111 * VLOOKUP(D1111, Products!A:E, 5, FALSE) * (1 - G1111))</f>
        <v>858.73500000000013</v>
      </c>
      <c r="J1111" s="10"/>
    </row>
    <row r="1112" spans="1:10" ht="15.75" customHeight="1" x14ac:dyDescent="0.3">
      <c r="A1112" s="5" t="s">
        <v>1979</v>
      </c>
      <c r="B1112" s="11">
        <v>45533</v>
      </c>
      <c r="C1112" s="5" t="s">
        <v>786</v>
      </c>
      <c r="D1112" s="5" t="s">
        <v>134</v>
      </c>
      <c r="E1112" s="5" t="s">
        <v>21</v>
      </c>
      <c r="F1112" s="5">
        <v>3</v>
      </c>
      <c r="G1112" s="19">
        <v>0.05</v>
      </c>
      <c r="H1112" s="5" t="s">
        <v>697</v>
      </c>
      <c r="I1112" s="10">
        <f>IF(OR(D1112="", F1112=""), "", F1112 * VLOOKUP(D1112, Products!A:E, 5, FALSE) * (1 - G1112))</f>
        <v>3497.634</v>
      </c>
      <c r="J1112" s="10"/>
    </row>
    <row r="1113" spans="1:10" ht="15.75" customHeight="1" x14ac:dyDescent="0.3">
      <c r="A1113" s="5" t="s">
        <v>1980</v>
      </c>
      <c r="B1113" s="11">
        <v>45670</v>
      </c>
      <c r="C1113" s="5" t="s">
        <v>433</v>
      </c>
      <c r="D1113" s="5" t="s">
        <v>269</v>
      </c>
      <c r="E1113" s="5" t="s">
        <v>21</v>
      </c>
      <c r="F1113" s="5">
        <v>1</v>
      </c>
      <c r="G1113" s="19">
        <v>0</v>
      </c>
      <c r="H1113" s="5" t="s">
        <v>697</v>
      </c>
      <c r="I1113" s="10">
        <f>IF(OR(D1113="", F1113=""), "", F1113 * VLOOKUP(D1113, Products!A:E, 5, FALSE) * (1 - G1113))</f>
        <v>1879.08</v>
      </c>
      <c r="J1113" s="10"/>
    </row>
    <row r="1114" spans="1:10" ht="15.75" customHeight="1" x14ac:dyDescent="0.3">
      <c r="A1114" s="5" t="s">
        <v>1981</v>
      </c>
      <c r="B1114" s="11">
        <v>45255</v>
      </c>
      <c r="C1114" s="5" t="s">
        <v>676</v>
      </c>
      <c r="D1114" s="5" t="s">
        <v>162</v>
      </c>
      <c r="E1114" s="5" t="s">
        <v>29</v>
      </c>
      <c r="F1114" s="5">
        <v>5</v>
      </c>
      <c r="G1114" s="19">
        <v>0.1</v>
      </c>
      <c r="H1114" s="5" t="s">
        <v>454</v>
      </c>
      <c r="I1114" s="10">
        <f>IF(OR(D1114="", F1114=""), "", F1114 * VLOOKUP(D1114, Products!A:E, 5, FALSE) * (1 - G1114))</f>
        <v>1931.175</v>
      </c>
      <c r="J1114" s="10"/>
    </row>
    <row r="1115" spans="1:10" ht="15.75" customHeight="1" x14ac:dyDescent="0.3">
      <c r="A1115" s="5" t="s">
        <v>1982</v>
      </c>
      <c r="B1115" s="11">
        <v>45788</v>
      </c>
      <c r="C1115" s="5" t="s">
        <v>296</v>
      </c>
      <c r="D1115" s="5" t="s">
        <v>188</v>
      </c>
      <c r="E1115" s="5" t="s">
        <v>29</v>
      </c>
      <c r="F1115" s="5">
        <v>5</v>
      </c>
      <c r="G1115" s="19">
        <v>0.05</v>
      </c>
      <c r="H1115" s="5" t="s">
        <v>697</v>
      </c>
      <c r="I1115" s="10">
        <f>IF(OR(D1115="", F1115=""), "", F1115 * VLOOKUP(D1115, Products!A:E, 5, FALSE) * (1 - G1115))</f>
        <v>7053.9874999999993</v>
      </c>
      <c r="J1115" s="10"/>
    </row>
    <row r="1116" spans="1:10" ht="15.75" customHeight="1" x14ac:dyDescent="0.3">
      <c r="A1116" s="5" t="s">
        <v>1983</v>
      </c>
      <c r="B1116" s="11">
        <v>45288</v>
      </c>
      <c r="C1116" s="5" t="s">
        <v>185</v>
      </c>
      <c r="D1116" s="5" t="s">
        <v>262</v>
      </c>
      <c r="E1116" s="5" t="s">
        <v>29</v>
      </c>
      <c r="F1116" s="5">
        <v>5</v>
      </c>
      <c r="G1116" s="19">
        <v>0.1</v>
      </c>
      <c r="H1116" s="5" t="s">
        <v>637</v>
      </c>
      <c r="I1116" s="10">
        <f>IF(OR(D1116="", F1116=""), "", F1116 * VLOOKUP(D1116, Products!A:E, 5, FALSE) * (1 - G1116))</f>
        <v>2041.29</v>
      </c>
      <c r="J1116" s="10"/>
    </row>
    <row r="1117" spans="1:10" ht="15.75" customHeight="1" x14ac:dyDescent="0.3">
      <c r="A1117" s="5" t="s">
        <v>1984</v>
      </c>
      <c r="B1117" s="11">
        <v>45212</v>
      </c>
      <c r="C1117" s="5" t="s">
        <v>155</v>
      </c>
      <c r="D1117" s="5" t="s">
        <v>128</v>
      </c>
      <c r="E1117" s="5" t="s">
        <v>25</v>
      </c>
      <c r="F1117" s="5">
        <v>1</v>
      </c>
      <c r="G1117" s="19">
        <v>0.15</v>
      </c>
      <c r="H1117" s="5" t="s">
        <v>776</v>
      </c>
      <c r="I1117" s="10">
        <f>IF(OR(D1117="", F1117=""), "", F1117 * VLOOKUP(D1117, Products!A:E, 5, FALSE) * (1 - G1117))</f>
        <v>275.33199999999999</v>
      </c>
      <c r="J1117" s="10"/>
    </row>
    <row r="1118" spans="1:10" ht="15.75" customHeight="1" x14ac:dyDescent="0.3">
      <c r="A1118" s="5" t="s">
        <v>1985</v>
      </c>
      <c r="B1118" s="11">
        <v>45283</v>
      </c>
      <c r="C1118" s="5" t="s">
        <v>240</v>
      </c>
      <c r="D1118" s="5" t="s">
        <v>82</v>
      </c>
      <c r="E1118" s="5" t="s">
        <v>33</v>
      </c>
      <c r="F1118" s="5">
        <v>1</v>
      </c>
      <c r="G1118" s="19">
        <v>0</v>
      </c>
      <c r="H1118" s="5" t="s">
        <v>637</v>
      </c>
      <c r="I1118" s="10">
        <f>IF(OR(D1118="", F1118=""), "", F1118 * VLOOKUP(D1118, Products!A:E, 5, FALSE) * (1 - G1118))</f>
        <v>1193.0899999999999</v>
      </c>
      <c r="J1118" s="10"/>
    </row>
    <row r="1119" spans="1:10" ht="15.75" customHeight="1" x14ac:dyDescent="0.3">
      <c r="A1119" s="5" t="s">
        <v>1986</v>
      </c>
      <c r="B1119" s="11">
        <v>45487</v>
      </c>
      <c r="C1119" s="5" t="s">
        <v>543</v>
      </c>
      <c r="D1119" s="5" t="s">
        <v>47</v>
      </c>
      <c r="E1119" s="5" t="s">
        <v>25</v>
      </c>
      <c r="F1119" s="5">
        <v>5</v>
      </c>
      <c r="G1119" s="19">
        <v>0.15</v>
      </c>
      <c r="H1119" s="5" t="s">
        <v>454</v>
      </c>
      <c r="I1119" s="10">
        <f>IF(OR(D1119="", F1119=""), "", F1119 * VLOOKUP(D1119, Products!A:E, 5, FALSE) * (1 - G1119))</f>
        <v>3479.73</v>
      </c>
      <c r="J1119" s="10"/>
    </row>
    <row r="1120" spans="1:10" ht="15.75" customHeight="1" x14ac:dyDescent="0.3">
      <c r="A1120" s="5" t="s">
        <v>1987</v>
      </c>
      <c r="B1120" s="11">
        <v>45408</v>
      </c>
      <c r="C1120" s="5" t="s">
        <v>466</v>
      </c>
      <c r="D1120" s="5" t="s">
        <v>140</v>
      </c>
      <c r="E1120" s="5" t="s">
        <v>29</v>
      </c>
      <c r="F1120" s="5">
        <v>2</v>
      </c>
      <c r="G1120" s="19">
        <v>0</v>
      </c>
      <c r="H1120" s="5" t="s">
        <v>637</v>
      </c>
      <c r="I1120" s="10">
        <f>IF(OR(D1120="", F1120=""), "", F1120 * VLOOKUP(D1120, Products!A:E, 5, FALSE) * (1 - G1120))</f>
        <v>51.14</v>
      </c>
      <c r="J1120" s="10"/>
    </row>
    <row r="1121" spans="1:10" ht="15.75" customHeight="1" x14ac:dyDescent="0.3">
      <c r="A1121" s="5" t="s">
        <v>1988</v>
      </c>
      <c r="B1121" s="11">
        <v>45817</v>
      </c>
      <c r="C1121" s="5" t="s">
        <v>703</v>
      </c>
      <c r="D1121" s="5" t="s">
        <v>134</v>
      </c>
      <c r="E1121" s="5" t="s">
        <v>25</v>
      </c>
      <c r="F1121" s="5">
        <v>1</v>
      </c>
      <c r="G1121" s="19">
        <v>0.15</v>
      </c>
      <c r="H1121" s="5" t="s">
        <v>776</v>
      </c>
      <c r="I1121" s="10">
        <f>IF(OR(D1121="", F1121=""), "", F1121 * VLOOKUP(D1121, Products!A:E, 5, FALSE) * (1 - G1121))</f>
        <v>1043.154</v>
      </c>
      <c r="J1121" s="10"/>
    </row>
    <row r="1122" spans="1:10" ht="15.75" customHeight="1" x14ac:dyDescent="0.3">
      <c r="A1122" s="5" t="s">
        <v>1989</v>
      </c>
      <c r="B1122" s="11">
        <v>45234</v>
      </c>
      <c r="C1122" s="5" t="s">
        <v>600</v>
      </c>
      <c r="D1122" s="5" t="s">
        <v>168</v>
      </c>
      <c r="E1122" s="5" t="s">
        <v>29</v>
      </c>
      <c r="F1122" s="5">
        <v>4</v>
      </c>
      <c r="G1122" s="19">
        <v>0.15</v>
      </c>
      <c r="H1122" s="5" t="s">
        <v>697</v>
      </c>
      <c r="I1122" s="10">
        <f>IF(OR(D1122="", F1122=""), "", F1122 * VLOOKUP(D1122, Products!A:E, 5, FALSE) * (1 - G1122))</f>
        <v>3453.5839999999998</v>
      </c>
      <c r="J1122" s="10"/>
    </row>
    <row r="1123" spans="1:10" ht="15.75" customHeight="1" x14ac:dyDescent="0.3">
      <c r="A1123" s="5" t="s">
        <v>1990</v>
      </c>
      <c r="B1123" s="11">
        <v>45472</v>
      </c>
      <c r="C1123" s="5" t="s">
        <v>380</v>
      </c>
      <c r="D1123" s="5" t="s">
        <v>249</v>
      </c>
      <c r="E1123" s="5" t="s">
        <v>25</v>
      </c>
      <c r="F1123" s="5">
        <v>5</v>
      </c>
      <c r="G1123" s="19">
        <v>0.1</v>
      </c>
      <c r="H1123" s="5" t="s">
        <v>454</v>
      </c>
      <c r="I1123" s="10">
        <f>IF(OR(D1123="", F1123=""), "", F1123 * VLOOKUP(D1123, Products!A:E, 5, FALSE) * (1 - G1123))</f>
        <v>7855.2449999999999</v>
      </c>
      <c r="J1123" s="10"/>
    </row>
    <row r="1124" spans="1:10" ht="15.75" customHeight="1" x14ac:dyDescent="0.3">
      <c r="A1124" s="5" t="s">
        <v>1991</v>
      </c>
      <c r="B1124" s="11">
        <v>45862</v>
      </c>
      <c r="C1124" s="5" t="s">
        <v>543</v>
      </c>
      <c r="D1124" s="5" t="s">
        <v>134</v>
      </c>
      <c r="E1124" s="5" t="s">
        <v>25</v>
      </c>
      <c r="F1124" s="5">
        <v>3</v>
      </c>
      <c r="G1124" s="19">
        <v>0.1</v>
      </c>
      <c r="H1124" s="5" t="s">
        <v>637</v>
      </c>
      <c r="I1124" s="10">
        <f>IF(OR(D1124="", F1124=""), "", F1124 * VLOOKUP(D1124, Products!A:E, 5, FALSE) * (1 - G1124))</f>
        <v>3313.5480000000002</v>
      </c>
      <c r="J1124" s="10"/>
    </row>
    <row r="1125" spans="1:10" ht="15.75" customHeight="1" x14ac:dyDescent="0.3">
      <c r="A1125" s="5" t="s">
        <v>1992</v>
      </c>
      <c r="B1125" s="11">
        <v>45581</v>
      </c>
      <c r="C1125" s="5" t="s">
        <v>628</v>
      </c>
      <c r="D1125" s="5" t="s">
        <v>134</v>
      </c>
      <c r="E1125" s="5" t="s">
        <v>21</v>
      </c>
      <c r="F1125" s="5">
        <v>1</v>
      </c>
      <c r="G1125" s="19">
        <v>0.15</v>
      </c>
      <c r="H1125" s="5" t="s">
        <v>776</v>
      </c>
      <c r="I1125" s="10">
        <f>IF(OR(D1125="", F1125=""), "", F1125 * VLOOKUP(D1125, Products!A:E, 5, FALSE) * (1 - G1125))</f>
        <v>1043.154</v>
      </c>
      <c r="J1125" s="10"/>
    </row>
    <row r="1126" spans="1:10" ht="15.75" customHeight="1" x14ac:dyDescent="0.3">
      <c r="A1126" s="5" t="s">
        <v>1993</v>
      </c>
      <c r="B1126" s="11">
        <v>45735</v>
      </c>
      <c r="C1126" s="5" t="s">
        <v>503</v>
      </c>
      <c r="D1126" s="5" t="s">
        <v>206</v>
      </c>
      <c r="E1126" s="5" t="s">
        <v>33</v>
      </c>
      <c r="F1126" s="5">
        <v>4</v>
      </c>
      <c r="G1126" s="19">
        <v>0.05</v>
      </c>
      <c r="H1126" s="5" t="s">
        <v>454</v>
      </c>
      <c r="I1126" s="10">
        <f>IF(OR(D1126="", F1126=""), "", F1126 * VLOOKUP(D1126, Products!A:E, 5, FALSE) * (1 - G1126))</f>
        <v>1157.8979999999999</v>
      </c>
      <c r="J1126" s="10"/>
    </row>
    <row r="1127" spans="1:10" ht="15.75" customHeight="1" x14ac:dyDescent="0.3">
      <c r="A1127" s="5" t="s">
        <v>1994</v>
      </c>
      <c r="B1127" s="11">
        <v>45717</v>
      </c>
      <c r="C1127" s="5" t="s">
        <v>869</v>
      </c>
      <c r="D1127" s="5" t="s">
        <v>221</v>
      </c>
      <c r="E1127" s="5" t="s">
        <v>29</v>
      </c>
      <c r="F1127" s="5">
        <v>5</v>
      </c>
      <c r="G1127" s="19">
        <v>0.05</v>
      </c>
      <c r="H1127" s="5" t="s">
        <v>776</v>
      </c>
      <c r="I1127" s="10">
        <f>IF(OR(D1127="", F1127=""), "", F1127 * VLOOKUP(D1127, Products!A:E, 5, FALSE) * (1 - G1127))</f>
        <v>7421.5425000000005</v>
      </c>
      <c r="J1127" s="10"/>
    </row>
    <row r="1128" spans="1:10" ht="15.75" customHeight="1" x14ac:dyDescent="0.3">
      <c r="A1128" s="5" t="s">
        <v>1995</v>
      </c>
      <c r="B1128" s="11">
        <v>45835</v>
      </c>
      <c r="C1128" s="5" t="s">
        <v>554</v>
      </c>
      <c r="D1128" s="5" t="s">
        <v>168</v>
      </c>
      <c r="E1128" s="5" t="s">
        <v>21</v>
      </c>
      <c r="F1128" s="5">
        <v>3</v>
      </c>
      <c r="G1128" s="19">
        <v>0</v>
      </c>
      <c r="H1128" s="5" t="s">
        <v>454</v>
      </c>
      <c r="I1128" s="10">
        <f>IF(OR(D1128="", F1128=""), "", F1128 * VLOOKUP(D1128, Products!A:E, 5, FALSE) * (1 - G1128))</f>
        <v>3047.2799999999997</v>
      </c>
      <c r="J1128" s="10"/>
    </row>
    <row r="1129" spans="1:10" ht="15.75" customHeight="1" x14ac:dyDescent="0.3">
      <c r="A1129" s="5" t="s">
        <v>1996</v>
      </c>
      <c r="B1129" s="11">
        <v>45251</v>
      </c>
      <c r="C1129" s="5" t="s">
        <v>671</v>
      </c>
      <c r="D1129" s="5" t="s">
        <v>200</v>
      </c>
      <c r="E1129" s="5" t="s">
        <v>33</v>
      </c>
      <c r="F1129" s="5">
        <v>4</v>
      </c>
      <c r="G1129" s="19">
        <v>0.15</v>
      </c>
      <c r="H1129" s="5" t="s">
        <v>697</v>
      </c>
      <c r="I1129" s="10">
        <f>IF(OR(D1129="", F1129=""), "", F1129 * VLOOKUP(D1129, Products!A:E, 5, FALSE) * (1 - G1129))</f>
        <v>3725.4479999999999</v>
      </c>
      <c r="J1129" s="10"/>
    </row>
    <row r="1130" spans="1:10" ht="15.75" customHeight="1" x14ac:dyDescent="0.3">
      <c r="A1130" s="5" t="s">
        <v>1997</v>
      </c>
      <c r="B1130" s="11">
        <v>45320</v>
      </c>
      <c r="C1130" s="5" t="s">
        <v>744</v>
      </c>
      <c r="D1130" s="5" t="s">
        <v>226</v>
      </c>
      <c r="E1130" s="5" t="s">
        <v>25</v>
      </c>
      <c r="F1130" s="5">
        <v>5</v>
      </c>
      <c r="G1130" s="19">
        <v>0.05</v>
      </c>
      <c r="H1130" s="5" t="s">
        <v>637</v>
      </c>
      <c r="I1130" s="10">
        <f>IF(OR(D1130="", F1130=""), "", F1130 * VLOOKUP(D1130, Products!A:E, 5, FALSE) * (1 - G1130))</f>
        <v>7131.9349999999995</v>
      </c>
      <c r="J1130" s="10"/>
    </row>
    <row r="1131" spans="1:10" ht="15.75" customHeight="1" x14ac:dyDescent="0.3">
      <c r="A1131" s="5" t="s">
        <v>1998</v>
      </c>
      <c r="B1131" s="11">
        <v>45348</v>
      </c>
      <c r="C1131" s="5" t="s">
        <v>536</v>
      </c>
      <c r="D1131" s="5" t="s">
        <v>82</v>
      </c>
      <c r="E1131" s="5" t="s">
        <v>21</v>
      </c>
      <c r="F1131" s="5">
        <v>3</v>
      </c>
      <c r="G1131" s="19">
        <v>0.05</v>
      </c>
      <c r="H1131" s="5" t="s">
        <v>637</v>
      </c>
      <c r="I1131" s="10">
        <f>IF(OR(D1131="", F1131=""), "", F1131 * VLOOKUP(D1131, Products!A:E, 5, FALSE) * (1 - G1131))</f>
        <v>3400.3064999999992</v>
      </c>
      <c r="J1131" s="10"/>
    </row>
    <row r="1132" spans="1:10" ht="15.75" customHeight="1" x14ac:dyDescent="0.3">
      <c r="A1132" s="5" t="s">
        <v>1999</v>
      </c>
      <c r="B1132" s="11">
        <v>45273</v>
      </c>
      <c r="C1132" s="5" t="s">
        <v>583</v>
      </c>
      <c r="D1132" s="5" t="s">
        <v>61</v>
      </c>
      <c r="E1132" s="5" t="s">
        <v>37</v>
      </c>
      <c r="F1132" s="5">
        <v>3</v>
      </c>
      <c r="G1132" s="19">
        <v>0.05</v>
      </c>
      <c r="H1132" s="5" t="s">
        <v>697</v>
      </c>
      <c r="I1132" s="10">
        <f>IF(OR(D1132="", F1132=""), "", F1132 * VLOOKUP(D1132, Products!A:E, 5, FALSE) * (1 - G1132))</f>
        <v>906.4425</v>
      </c>
      <c r="J1132" s="10"/>
    </row>
    <row r="1133" spans="1:10" ht="15.75" customHeight="1" x14ac:dyDescent="0.3">
      <c r="A1133" s="5" t="s">
        <v>2000</v>
      </c>
      <c r="B1133" s="11">
        <v>45201</v>
      </c>
      <c r="C1133" s="5" t="s">
        <v>779</v>
      </c>
      <c r="D1133" s="5" t="s">
        <v>153</v>
      </c>
      <c r="E1133" s="5" t="s">
        <v>21</v>
      </c>
      <c r="F1133" s="5">
        <v>5</v>
      </c>
      <c r="G1133" s="19">
        <v>0.15</v>
      </c>
      <c r="H1133" s="5" t="s">
        <v>776</v>
      </c>
      <c r="I1133" s="10">
        <f>IF(OR(D1133="", F1133=""), "", F1133 * VLOOKUP(D1133, Products!A:E, 5, FALSE) * (1 - G1133))</f>
        <v>6321.4925000000003</v>
      </c>
      <c r="J1133" s="10"/>
    </row>
    <row r="1134" spans="1:10" ht="15.75" customHeight="1" x14ac:dyDescent="0.3">
      <c r="A1134" s="5" t="s">
        <v>2001</v>
      </c>
      <c r="B1134" s="11">
        <v>45556</v>
      </c>
      <c r="C1134" s="5" t="s">
        <v>722</v>
      </c>
      <c r="D1134" s="5" t="s">
        <v>89</v>
      </c>
      <c r="E1134" s="5" t="s">
        <v>37</v>
      </c>
      <c r="F1134" s="5">
        <v>4</v>
      </c>
      <c r="G1134" s="19">
        <v>0.1</v>
      </c>
      <c r="H1134" s="5" t="s">
        <v>776</v>
      </c>
      <c r="I1134" s="10">
        <f>IF(OR(D1134="", F1134=""), "", F1134 * VLOOKUP(D1134, Products!A:E, 5, FALSE) * (1 - G1134))</f>
        <v>4085.2799999999997</v>
      </c>
      <c r="J1134" s="10"/>
    </row>
    <row r="1135" spans="1:10" ht="15.75" customHeight="1" x14ac:dyDescent="0.3">
      <c r="A1135" s="5" t="s">
        <v>2002</v>
      </c>
      <c r="B1135" s="11">
        <v>45671</v>
      </c>
      <c r="C1135" s="5" t="s">
        <v>590</v>
      </c>
      <c r="D1135" s="5" t="s">
        <v>115</v>
      </c>
      <c r="E1135" s="5" t="s">
        <v>25</v>
      </c>
      <c r="F1135" s="5">
        <v>3</v>
      </c>
      <c r="G1135" s="19">
        <v>0.15</v>
      </c>
      <c r="H1135" s="5" t="s">
        <v>776</v>
      </c>
      <c r="I1135" s="10">
        <f>IF(OR(D1135="", F1135=""), "", F1135 * VLOOKUP(D1135, Products!A:E, 5, FALSE) * (1 - G1135))</f>
        <v>3177.5805</v>
      </c>
      <c r="J1135" s="10"/>
    </row>
    <row r="1136" spans="1:10" ht="15.75" customHeight="1" x14ac:dyDescent="0.3">
      <c r="A1136" s="5" t="s">
        <v>2003</v>
      </c>
      <c r="B1136" s="11">
        <v>45663</v>
      </c>
      <c r="C1136" s="5" t="s">
        <v>727</v>
      </c>
      <c r="D1136" s="5" t="s">
        <v>147</v>
      </c>
      <c r="E1136" s="5" t="s">
        <v>21</v>
      </c>
      <c r="F1136" s="5">
        <v>5</v>
      </c>
      <c r="G1136" s="19">
        <v>0.15</v>
      </c>
      <c r="H1136" s="5" t="s">
        <v>454</v>
      </c>
      <c r="I1136" s="10">
        <f>IF(OR(D1136="", F1136=""), "", F1136 * VLOOKUP(D1136, Products!A:E, 5, FALSE) * (1 - G1136))</f>
        <v>7983.4975000000004</v>
      </c>
      <c r="J1136" s="10"/>
    </row>
    <row r="1137" spans="1:10" ht="15.75" customHeight="1" x14ac:dyDescent="0.3">
      <c r="A1137" s="5" t="s">
        <v>2004</v>
      </c>
      <c r="B1137" s="11">
        <v>45729</v>
      </c>
      <c r="C1137" s="5" t="s">
        <v>634</v>
      </c>
      <c r="D1137" s="5" t="s">
        <v>232</v>
      </c>
      <c r="E1137" s="5" t="s">
        <v>21</v>
      </c>
      <c r="F1137" s="5">
        <v>1</v>
      </c>
      <c r="G1137" s="19">
        <v>0.05</v>
      </c>
      <c r="H1137" s="5" t="s">
        <v>697</v>
      </c>
      <c r="I1137" s="10">
        <f>IF(OR(D1137="", F1137=""), "", F1137 * VLOOKUP(D1137, Products!A:E, 5, FALSE) * (1 - G1137))</f>
        <v>1855.0174999999999</v>
      </c>
      <c r="J1137" s="10"/>
    </row>
    <row r="1138" spans="1:10" ht="15.75" customHeight="1" x14ac:dyDescent="0.3">
      <c r="A1138" s="5" t="s">
        <v>2005</v>
      </c>
      <c r="B1138" s="11">
        <v>45882</v>
      </c>
      <c r="C1138" s="5" t="s">
        <v>711</v>
      </c>
      <c r="D1138" s="5" t="s">
        <v>217</v>
      </c>
      <c r="E1138" s="5" t="s">
        <v>21</v>
      </c>
      <c r="F1138" s="5">
        <v>2</v>
      </c>
      <c r="G1138" s="19">
        <v>0.05</v>
      </c>
      <c r="H1138" s="5" t="s">
        <v>637</v>
      </c>
      <c r="I1138" s="10">
        <f>IF(OR(D1138="", F1138=""), "", F1138 * VLOOKUP(D1138, Products!A:E, 5, FALSE) * (1 - G1138))</f>
        <v>813.29499999999996</v>
      </c>
      <c r="J1138" s="10"/>
    </row>
    <row r="1139" spans="1:10" ht="15.75" customHeight="1" x14ac:dyDescent="0.3">
      <c r="A1139" s="5" t="s">
        <v>2006</v>
      </c>
      <c r="B1139" s="11">
        <v>45485</v>
      </c>
      <c r="C1139" s="5" t="s">
        <v>671</v>
      </c>
      <c r="D1139" s="5" t="s">
        <v>262</v>
      </c>
      <c r="E1139" s="5" t="s">
        <v>29</v>
      </c>
      <c r="F1139" s="5">
        <v>4</v>
      </c>
      <c r="G1139" s="19">
        <v>0.15</v>
      </c>
      <c r="H1139" s="5" t="s">
        <v>697</v>
      </c>
      <c r="I1139" s="10">
        <f>IF(OR(D1139="", F1139=""), "", F1139 * VLOOKUP(D1139, Products!A:E, 5, FALSE) * (1 - G1139))</f>
        <v>1542.308</v>
      </c>
      <c r="J1139" s="10"/>
    </row>
    <row r="1140" spans="1:10" ht="15.75" customHeight="1" x14ac:dyDescent="0.3">
      <c r="A1140" s="5" t="s">
        <v>2007</v>
      </c>
      <c r="B1140" s="11">
        <v>45793</v>
      </c>
      <c r="C1140" s="5" t="s">
        <v>361</v>
      </c>
      <c r="D1140" s="5" t="s">
        <v>276</v>
      </c>
      <c r="E1140" s="5" t="s">
        <v>29</v>
      </c>
      <c r="F1140" s="5">
        <v>3</v>
      </c>
      <c r="G1140" s="19">
        <v>0.1</v>
      </c>
      <c r="H1140" s="5" t="s">
        <v>637</v>
      </c>
      <c r="I1140" s="10">
        <f>IF(OR(D1140="", F1140=""), "", F1140 * VLOOKUP(D1140, Products!A:E, 5, FALSE) * (1 - G1140))</f>
        <v>3232.386</v>
      </c>
      <c r="J1140" s="10"/>
    </row>
    <row r="1141" spans="1:10" ht="15.75" customHeight="1" x14ac:dyDescent="0.3">
      <c r="A1141" s="5" t="s">
        <v>2008</v>
      </c>
      <c r="B1141" s="11">
        <v>45883</v>
      </c>
      <c r="C1141" s="5" t="s">
        <v>826</v>
      </c>
      <c r="D1141" s="5" t="s">
        <v>115</v>
      </c>
      <c r="E1141" s="5" t="s">
        <v>29</v>
      </c>
      <c r="F1141" s="5">
        <v>1</v>
      </c>
      <c r="G1141" s="19">
        <v>0</v>
      </c>
      <c r="H1141" s="5" t="s">
        <v>637</v>
      </c>
      <c r="I1141" s="10">
        <f>IF(OR(D1141="", F1141=""), "", F1141 * VLOOKUP(D1141, Products!A:E, 5, FALSE) * (1 - G1141))</f>
        <v>1246.1099999999999</v>
      </c>
      <c r="J1141" s="10"/>
    </row>
    <row r="1142" spans="1:10" ht="15.75" customHeight="1" x14ac:dyDescent="0.3">
      <c r="A1142" s="5" t="s">
        <v>2009</v>
      </c>
      <c r="B1142" s="11">
        <v>45701</v>
      </c>
      <c r="C1142" s="5" t="s">
        <v>274</v>
      </c>
      <c r="D1142" s="5" t="s">
        <v>122</v>
      </c>
      <c r="E1142" s="5" t="s">
        <v>29</v>
      </c>
      <c r="F1142" s="5">
        <v>1</v>
      </c>
      <c r="G1142" s="19">
        <v>0.1</v>
      </c>
      <c r="H1142" s="5" t="s">
        <v>776</v>
      </c>
      <c r="I1142" s="10">
        <f>IF(OR(D1142="", F1142=""), "", F1142 * VLOOKUP(D1142, Products!A:E, 5, FALSE) * (1 - G1142))</f>
        <v>1586.6280000000002</v>
      </c>
      <c r="J1142" s="10"/>
    </row>
    <row r="1143" spans="1:10" ht="15.75" customHeight="1" x14ac:dyDescent="0.3">
      <c r="A1143" s="5" t="s">
        <v>2010</v>
      </c>
      <c r="B1143" s="11">
        <v>45352</v>
      </c>
      <c r="C1143" s="5" t="s">
        <v>16</v>
      </c>
      <c r="D1143" s="5" t="s">
        <v>272</v>
      </c>
      <c r="E1143" s="5" t="s">
        <v>37</v>
      </c>
      <c r="F1143" s="5">
        <v>3</v>
      </c>
      <c r="G1143" s="19">
        <v>0</v>
      </c>
      <c r="H1143" s="5" t="s">
        <v>454</v>
      </c>
      <c r="I1143" s="10">
        <f>IF(OR(D1143="", F1143=""), "", F1143 * VLOOKUP(D1143, Products!A:E, 5, FALSE) * (1 - G1143))</f>
        <v>3496.1099999999997</v>
      </c>
      <c r="J1143" s="10"/>
    </row>
    <row r="1144" spans="1:10" ht="15.75" customHeight="1" x14ac:dyDescent="0.3">
      <c r="A1144" s="5" t="s">
        <v>2011</v>
      </c>
      <c r="B1144" s="11">
        <v>45693</v>
      </c>
      <c r="C1144" s="5" t="s">
        <v>121</v>
      </c>
      <c r="D1144" s="5" t="s">
        <v>147</v>
      </c>
      <c r="E1144" s="5" t="s">
        <v>25</v>
      </c>
      <c r="F1144" s="5">
        <v>4</v>
      </c>
      <c r="G1144" s="19">
        <v>0.15</v>
      </c>
      <c r="H1144" s="5" t="s">
        <v>454</v>
      </c>
      <c r="I1144" s="10">
        <f>IF(OR(D1144="", F1144=""), "", F1144 * VLOOKUP(D1144, Products!A:E, 5, FALSE) * (1 - G1144))</f>
        <v>6386.7979999999998</v>
      </c>
      <c r="J1144" s="10"/>
    </row>
    <row r="1145" spans="1:10" ht="15.75" customHeight="1" x14ac:dyDescent="0.3">
      <c r="A1145" s="5" t="s">
        <v>2012</v>
      </c>
      <c r="B1145" s="11">
        <v>45394</v>
      </c>
      <c r="C1145" s="5" t="s">
        <v>823</v>
      </c>
      <c r="D1145" s="5" t="s">
        <v>134</v>
      </c>
      <c r="E1145" s="5" t="s">
        <v>33</v>
      </c>
      <c r="F1145" s="5">
        <v>4</v>
      </c>
      <c r="G1145" s="19">
        <v>0.15</v>
      </c>
      <c r="H1145" s="5" t="s">
        <v>637</v>
      </c>
      <c r="I1145" s="10">
        <f>IF(OR(D1145="", F1145=""), "", F1145 * VLOOKUP(D1145, Products!A:E, 5, FALSE) * (1 - G1145))</f>
        <v>4172.616</v>
      </c>
      <c r="J1145" s="10"/>
    </row>
    <row r="1146" spans="1:10" ht="15.75" customHeight="1" x14ac:dyDescent="0.3">
      <c r="A1146" s="5" t="s">
        <v>2013</v>
      </c>
      <c r="B1146" s="11">
        <v>45870</v>
      </c>
      <c r="C1146" s="5" t="s">
        <v>680</v>
      </c>
      <c r="D1146" s="5" t="s">
        <v>128</v>
      </c>
      <c r="E1146" s="5" t="s">
        <v>25</v>
      </c>
      <c r="F1146" s="5">
        <v>2</v>
      </c>
      <c r="G1146" s="19">
        <v>0.15</v>
      </c>
      <c r="H1146" s="5" t="s">
        <v>697</v>
      </c>
      <c r="I1146" s="10">
        <f>IF(OR(D1146="", F1146=""), "", F1146 * VLOOKUP(D1146, Products!A:E, 5, FALSE) * (1 - G1146))</f>
        <v>550.66399999999999</v>
      </c>
      <c r="J1146" s="10"/>
    </row>
    <row r="1147" spans="1:10" ht="15.75" customHeight="1" x14ac:dyDescent="0.3">
      <c r="A1147" s="5" t="s">
        <v>2014</v>
      </c>
      <c r="B1147" s="11">
        <v>45544</v>
      </c>
      <c r="C1147" s="5" t="s">
        <v>346</v>
      </c>
      <c r="D1147" s="5" t="s">
        <v>262</v>
      </c>
      <c r="E1147" s="5" t="s">
        <v>37</v>
      </c>
      <c r="F1147" s="5">
        <v>4</v>
      </c>
      <c r="G1147" s="19">
        <v>0.1</v>
      </c>
      <c r="H1147" s="5" t="s">
        <v>637</v>
      </c>
      <c r="I1147" s="10">
        <f>IF(OR(D1147="", F1147=""), "", F1147 * VLOOKUP(D1147, Products!A:E, 5, FALSE) * (1 - G1147))</f>
        <v>1633.0320000000002</v>
      </c>
      <c r="J1147" s="10"/>
    </row>
    <row r="1148" spans="1:10" ht="15.75" customHeight="1" x14ac:dyDescent="0.3">
      <c r="A1148" s="5" t="s">
        <v>2015</v>
      </c>
      <c r="B1148" s="11">
        <v>45262</v>
      </c>
      <c r="C1148" s="5" t="s">
        <v>308</v>
      </c>
      <c r="D1148" s="5" t="s">
        <v>256</v>
      </c>
      <c r="E1148" s="5" t="s">
        <v>29</v>
      </c>
      <c r="F1148" s="5">
        <v>2</v>
      </c>
      <c r="G1148" s="19">
        <v>0.05</v>
      </c>
      <c r="H1148" s="5" t="s">
        <v>776</v>
      </c>
      <c r="I1148" s="10">
        <f>IF(OR(D1148="", F1148=""), "", F1148 * VLOOKUP(D1148, Products!A:E, 5, FALSE) * (1 - G1148))</f>
        <v>3106.5189999999998</v>
      </c>
      <c r="J1148" s="10"/>
    </row>
    <row r="1149" spans="1:10" ht="15.75" customHeight="1" x14ac:dyDescent="0.3">
      <c r="A1149" s="5" t="s">
        <v>2016</v>
      </c>
      <c r="B1149" s="11">
        <v>45564</v>
      </c>
      <c r="C1149" s="5" t="s">
        <v>185</v>
      </c>
      <c r="D1149" s="5" t="s">
        <v>47</v>
      </c>
      <c r="E1149" s="5" t="s">
        <v>21</v>
      </c>
      <c r="F1149" s="5">
        <v>2</v>
      </c>
      <c r="G1149" s="19">
        <v>0.15</v>
      </c>
      <c r="H1149" s="5" t="s">
        <v>637</v>
      </c>
      <c r="I1149" s="10">
        <f>IF(OR(D1149="", F1149=""), "", F1149 * VLOOKUP(D1149, Products!A:E, 5, FALSE) * (1 - G1149))</f>
        <v>1391.8920000000001</v>
      </c>
      <c r="J1149" s="10"/>
    </row>
    <row r="1150" spans="1:10" ht="15.75" customHeight="1" x14ac:dyDescent="0.3">
      <c r="A1150" s="5" t="s">
        <v>2017</v>
      </c>
      <c r="B1150" s="11">
        <v>45858</v>
      </c>
      <c r="C1150" s="5" t="s">
        <v>286</v>
      </c>
      <c r="D1150" s="5" t="s">
        <v>217</v>
      </c>
      <c r="E1150" s="5" t="s">
        <v>21</v>
      </c>
      <c r="F1150" s="5">
        <v>2</v>
      </c>
      <c r="G1150" s="19">
        <v>0.15</v>
      </c>
      <c r="H1150" s="5" t="s">
        <v>637</v>
      </c>
      <c r="I1150" s="10">
        <f>IF(OR(D1150="", F1150=""), "", F1150 * VLOOKUP(D1150, Products!A:E, 5, FALSE) * (1 - G1150))</f>
        <v>727.68499999999995</v>
      </c>
      <c r="J1150" s="10"/>
    </row>
    <row r="1151" spans="1:10" ht="15.75" customHeight="1" x14ac:dyDescent="0.3">
      <c r="A1151" s="5" t="s">
        <v>2018</v>
      </c>
      <c r="B1151" s="11">
        <v>45402</v>
      </c>
      <c r="C1151" s="5" t="s">
        <v>808</v>
      </c>
      <c r="D1151" s="5" t="s">
        <v>188</v>
      </c>
      <c r="E1151" s="5" t="s">
        <v>37</v>
      </c>
      <c r="F1151" s="5">
        <v>4</v>
      </c>
      <c r="G1151" s="19">
        <v>0.05</v>
      </c>
      <c r="H1151" s="5" t="s">
        <v>637</v>
      </c>
      <c r="I1151" s="10">
        <f>IF(OR(D1151="", F1151=""), "", F1151 * VLOOKUP(D1151, Products!A:E, 5, FALSE) * (1 - G1151))</f>
        <v>5643.19</v>
      </c>
      <c r="J1151" s="10"/>
    </row>
    <row r="1152" spans="1:10" ht="15.75" customHeight="1" x14ac:dyDescent="0.3">
      <c r="A1152" s="5" t="s">
        <v>2019</v>
      </c>
      <c r="B1152" s="11">
        <v>45597</v>
      </c>
      <c r="C1152" s="5" t="s">
        <v>649</v>
      </c>
      <c r="D1152" s="5" t="s">
        <v>188</v>
      </c>
      <c r="E1152" s="5" t="s">
        <v>33</v>
      </c>
      <c r="F1152" s="5">
        <v>5</v>
      </c>
      <c r="G1152" s="19">
        <v>0.15</v>
      </c>
      <c r="H1152" s="5" t="s">
        <v>637</v>
      </c>
      <c r="I1152" s="10">
        <f>IF(OR(D1152="", F1152=""), "", F1152 * VLOOKUP(D1152, Products!A:E, 5, FALSE) * (1 - G1152))</f>
        <v>6311.4624999999996</v>
      </c>
      <c r="J1152" s="10"/>
    </row>
    <row r="1153" spans="1:10" ht="15.75" customHeight="1" x14ac:dyDescent="0.3">
      <c r="A1153" s="5" t="s">
        <v>2020</v>
      </c>
      <c r="B1153" s="11">
        <v>45323</v>
      </c>
      <c r="C1153" s="5" t="s">
        <v>507</v>
      </c>
      <c r="D1153" s="5" t="s">
        <v>70</v>
      </c>
      <c r="E1153" s="5" t="s">
        <v>25</v>
      </c>
      <c r="F1153" s="5">
        <v>2</v>
      </c>
      <c r="G1153" s="19">
        <v>0.15</v>
      </c>
      <c r="H1153" s="5" t="s">
        <v>776</v>
      </c>
      <c r="I1153" s="10">
        <f>IF(OR(D1153="", F1153=""), "", F1153 * VLOOKUP(D1153, Products!A:E, 5, FALSE) * (1 - G1153))</f>
        <v>209.423</v>
      </c>
      <c r="J1153" s="10"/>
    </row>
    <row r="1154" spans="1:10" ht="15.75" customHeight="1" x14ac:dyDescent="0.3">
      <c r="A1154" s="5" t="s">
        <v>2021</v>
      </c>
      <c r="B1154" s="11">
        <v>45283</v>
      </c>
      <c r="C1154" s="5" t="s">
        <v>708</v>
      </c>
      <c r="D1154" s="5" t="s">
        <v>272</v>
      </c>
      <c r="E1154" s="5" t="s">
        <v>33</v>
      </c>
      <c r="F1154" s="5">
        <v>2</v>
      </c>
      <c r="G1154" s="19">
        <v>0.1</v>
      </c>
      <c r="H1154" s="5" t="s">
        <v>637</v>
      </c>
      <c r="I1154" s="10">
        <f>IF(OR(D1154="", F1154=""), "", F1154 * VLOOKUP(D1154, Products!A:E, 5, FALSE) * (1 - G1154))</f>
        <v>2097.6659999999997</v>
      </c>
      <c r="J1154" s="10"/>
    </row>
    <row r="1155" spans="1:10" ht="15.75" customHeight="1" x14ac:dyDescent="0.3">
      <c r="A1155" s="5" t="s">
        <v>2022</v>
      </c>
      <c r="B1155" s="11">
        <v>45651</v>
      </c>
      <c r="C1155" s="5" t="s">
        <v>680</v>
      </c>
      <c r="D1155" s="5" t="s">
        <v>200</v>
      </c>
      <c r="E1155" s="5" t="s">
        <v>37</v>
      </c>
      <c r="F1155" s="5">
        <v>3</v>
      </c>
      <c r="G1155" s="19">
        <v>0</v>
      </c>
      <c r="H1155" s="5" t="s">
        <v>776</v>
      </c>
      <c r="I1155" s="10">
        <f>IF(OR(D1155="", F1155=""), "", F1155 * VLOOKUP(D1155, Products!A:E, 5, FALSE) * (1 - G1155))</f>
        <v>3287.16</v>
      </c>
      <c r="J1155" s="10"/>
    </row>
    <row r="1156" spans="1:10" ht="15.75" customHeight="1" x14ac:dyDescent="0.3">
      <c r="A1156" s="5" t="s">
        <v>2023</v>
      </c>
      <c r="B1156" s="11">
        <v>45792</v>
      </c>
      <c r="C1156" s="5" t="s">
        <v>703</v>
      </c>
      <c r="D1156" s="5" t="s">
        <v>269</v>
      </c>
      <c r="E1156" s="5" t="s">
        <v>33</v>
      </c>
      <c r="F1156" s="5">
        <v>3</v>
      </c>
      <c r="G1156" s="19">
        <v>0</v>
      </c>
      <c r="H1156" s="5" t="s">
        <v>637</v>
      </c>
      <c r="I1156" s="10">
        <f>IF(OR(D1156="", F1156=""), "", F1156 * VLOOKUP(D1156, Products!A:E, 5, FALSE) * (1 - G1156))</f>
        <v>5637.24</v>
      </c>
      <c r="J1156" s="10"/>
    </row>
    <row r="1157" spans="1:10" ht="15.75" customHeight="1" x14ac:dyDescent="0.3">
      <c r="A1157" s="5" t="s">
        <v>2024</v>
      </c>
      <c r="B1157" s="11">
        <v>45319</v>
      </c>
      <c r="C1157" s="5" t="s">
        <v>802</v>
      </c>
      <c r="D1157" s="5" t="s">
        <v>237</v>
      </c>
      <c r="E1157" s="5" t="s">
        <v>21</v>
      </c>
      <c r="F1157" s="5">
        <v>2</v>
      </c>
      <c r="G1157" s="19">
        <v>0.1</v>
      </c>
      <c r="H1157" s="5" t="s">
        <v>637</v>
      </c>
      <c r="I1157" s="10">
        <f>IF(OR(D1157="", F1157=""), "", F1157 * VLOOKUP(D1157, Products!A:E, 5, FALSE) * (1 - G1157))</f>
        <v>660.47400000000005</v>
      </c>
      <c r="J1157" s="10"/>
    </row>
    <row r="1158" spans="1:10" ht="15.75" customHeight="1" x14ac:dyDescent="0.3">
      <c r="A1158" s="5" t="s">
        <v>2025</v>
      </c>
      <c r="B1158" s="11">
        <v>45578</v>
      </c>
      <c r="C1158" s="5" t="s">
        <v>657</v>
      </c>
      <c r="D1158" s="5" t="s">
        <v>217</v>
      </c>
      <c r="E1158" s="5" t="s">
        <v>21</v>
      </c>
      <c r="F1158" s="5">
        <v>5</v>
      </c>
      <c r="G1158" s="19">
        <v>0</v>
      </c>
      <c r="H1158" s="5" t="s">
        <v>697</v>
      </c>
      <c r="I1158" s="10">
        <f>IF(OR(D1158="", F1158=""), "", F1158 * VLOOKUP(D1158, Products!A:E, 5, FALSE) * (1 - G1158))</f>
        <v>2140.25</v>
      </c>
      <c r="J1158" s="10"/>
    </row>
    <row r="1159" spans="1:10" ht="15.75" customHeight="1" x14ac:dyDescent="0.3">
      <c r="A1159" s="5" t="s">
        <v>2026</v>
      </c>
      <c r="B1159" s="11">
        <v>45803</v>
      </c>
      <c r="C1159" s="5" t="s">
        <v>615</v>
      </c>
      <c r="D1159" s="5" t="s">
        <v>200</v>
      </c>
      <c r="E1159" s="5" t="s">
        <v>21</v>
      </c>
      <c r="F1159" s="5">
        <v>5</v>
      </c>
      <c r="G1159" s="19">
        <v>0.1</v>
      </c>
      <c r="H1159" s="5" t="s">
        <v>776</v>
      </c>
      <c r="I1159" s="10">
        <f>IF(OR(D1159="", F1159=""), "", F1159 * VLOOKUP(D1159, Products!A:E, 5, FALSE) * (1 - G1159))</f>
        <v>4930.7400000000007</v>
      </c>
      <c r="J1159" s="10"/>
    </row>
    <row r="1160" spans="1:10" ht="15.75" customHeight="1" x14ac:dyDescent="0.3">
      <c r="A1160" s="5" t="s">
        <v>2027</v>
      </c>
      <c r="B1160" s="11">
        <v>45603</v>
      </c>
      <c r="C1160" s="5" t="s">
        <v>495</v>
      </c>
      <c r="D1160" s="5" t="s">
        <v>77</v>
      </c>
      <c r="E1160" s="5" t="s">
        <v>37</v>
      </c>
      <c r="F1160" s="5">
        <v>1</v>
      </c>
      <c r="G1160" s="19">
        <v>0.15</v>
      </c>
      <c r="H1160" s="5" t="s">
        <v>637</v>
      </c>
      <c r="I1160" s="10">
        <f>IF(OR(D1160="", F1160=""), "", F1160 * VLOOKUP(D1160, Products!A:E, 5, FALSE) * (1 - G1160))</f>
        <v>211.28449999999998</v>
      </c>
      <c r="J1160" s="10"/>
    </row>
    <row r="1161" spans="1:10" ht="15.75" customHeight="1" x14ac:dyDescent="0.3">
      <c r="A1161" s="5" t="s">
        <v>2028</v>
      </c>
      <c r="B1161" s="11">
        <v>45683</v>
      </c>
      <c r="C1161" s="5" t="s">
        <v>652</v>
      </c>
      <c r="D1161" s="5" t="s">
        <v>269</v>
      </c>
      <c r="E1161" s="5" t="s">
        <v>33</v>
      </c>
      <c r="F1161" s="5">
        <v>5</v>
      </c>
      <c r="G1161" s="19">
        <v>0.1</v>
      </c>
      <c r="H1161" s="5" t="s">
        <v>637</v>
      </c>
      <c r="I1161" s="10">
        <f>IF(OR(D1161="", F1161=""), "", F1161 * VLOOKUP(D1161, Products!A:E, 5, FALSE) * (1 - G1161))</f>
        <v>8455.86</v>
      </c>
      <c r="J1161" s="10"/>
    </row>
    <row r="1162" spans="1:10" ht="15.75" customHeight="1" x14ac:dyDescent="0.3">
      <c r="A1162" s="5" t="s">
        <v>2029</v>
      </c>
      <c r="B1162" s="11">
        <v>45893</v>
      </c>
      <c r="C1162" s="5" t="s">
        <v>507</v>
      </c>
      <c r="D1162" s="5" t="s">
        <v>70</v>
      </c>
      <c r="E1162" s="5" t="s">
        <v>29</v>
      </c>
      <c r="F1162" s="5">
        <v>3</v>
      </c>
      <c r="G1162" s="19">
        <v>0.05</v>
      </c>
      <c r="H1162" s="5" t="s">
        <v>776</v>
      </c>
      <c r="I1162" s="10">
        <f>IF(OR(D1162="", F1162=""), "", F1162 * VLOOKUP(D1162, Products!A:E, 5, FALSE) * (1 - G1162))</f>
        <v>351.0915</v>
      </c>
      <c r="J1162" s="10"/>
    </row>
    <row r="1163" spans="1:10" ht="15.75" customHeight="1" x14ac:dyDescent="0.3">
      <c r="A1163" s="5" t="s">
        <v>2030</v>
      </c>
      <c r="B1163" s="11">
        <v>45567</v>
      </c>
      <c r="C1163" s="5" t="s">
        <v>805</v>
      </c>
      <c r="D1163" s="5" t="s">
        <v>256</v>
      </c>
      <c r="E1163" s="5" t="s">
        <v>37</v>
      </c>
      <c r="F1163" s="5">
        <v>3</v>
      </c>
      <c r="G1163" s="19">
        <v>0.1</v>
      </c>
      <c r="H1163" s="5" t="s">
        <v>776</v>
      </c>
      <c r="I1163" s="10">
        <f>IF(OR(D1163="", F1163=""), "", F1163 * VLOOKUP(D1163, Products!A:E, 5, FALSE) * (1 - G1163))</f>
        <v>4414.527</v>
      </c>
      <c r="J1163" s="10"/>
    </row>
    <row r="1164" spans="1:10" ht="15.75" customHeight="1" x14ac:dyDescent="0.3">
      <c r="A1164" s="5" t="s">
        <v>2031</v>
      </c>
      <c r="B1164" s="11">
        <v>45206</v>
      </c>
      <c r="C1164" s="5" t="s">
        <v>752</v>
      </c>
      <c r="D1164" s="5" t="s">
        <v>212</v>
      </c>
      <c r="E1164" s="5" t="s">
        <v>33</v>
      </c>
      <c r="F1164" s="5">
        <v>5</v>
      </c>
      <c r="G1164" s="19">
        <v>0.05</v>
      </c>
      <c r="H1164" s="5" t="s">
        <v>776</v>
      </c>
      <c r="I1164" s="10">
        <f>IF(OR(D1164="", F1164=""), "", F1164 * VLOOKUP(D1164, Products!A:E, 5, FALSE) * (1 - G1164))</f>
        <v>8545.1075000000001</v>
      </c>
      <c r="J1164" s="10"/>
    </row>
    <row r="1165" spans="1:10" ht="15.75" customHeight="1" x14ac:dyDescent="0.3">
      <c r="A1165" s="5" t="s">
        <v>2032</v>
      </c>
      <c r="B1165" s="11">
        <v>45287</v>
      </c>
      <c r="C1165" s="5" t="s">
        <v>773</v>
      </c>
      <c r="D1165" s="5" t="s">
        <v>212</v>
      </c>
      <c r="E1165" s="5" t="s">
        <v>29</v>
      </c>
      <c r="F1165" s="5">
        <v>5</v>
      </c>
      <c r="G1165" s="19">
        <v>0</v>
      </c>
      <c r="H1165" s="5" t="s">
        <v>454</v>
      </c>
      <c r="I1165" s="10">
        <f>IF(OR(D1165="", F1165=""), "", F1165 * VLOOKUP(D1165, Products!A:E, 5, FALSE) * (1 - G1165))</f>
        <v>8994.85</v>
      </c>
      <c r="J1165" s="10"/>
    </row>
    <row r="1166" spans="1:10" ht="15.75" customHeight="1" x14ac:dyDescent="0.3">
      <c r="A1166" s="5" t="s">
        <v>2033</v>
      </c>
      <c r="B1166" s="11">
        <v>45723</v>
      </c>
      <c r="C1166" s="5" t="s">
        <v>628</v>
      </c>
      <c r="D1166" s="5" t="s">
        <v>147</v>
      </c>
      <c r="E1166" s="5" t="s">
        <v>21</v>
      </c>
      <c r="F1166" s="5">
        <v>2</v>
      </c>
      <c r="G1166" s="19">
        <v>0</v>
      </c>
      <c r="H1166" s="5" t="s">
        <v>454</v>
      </c>
      <c r="I1166" s="10">
        <f>IF(OR(D1166="", F1166=""), "", F1166 * VLOOKUP(D1166, Products!A:E, 5, FALSE) * (1 - G1166))</f>
        <v>3756.94</v>
      </c>
      <c r="J1166" s="10"/>
    </row>
    <row r="1167" spans="1:10" ht="15.75" customHeight="1" x14ac:dyDescent="0.3">
      <c r="A1167" s="5" t="s">
        <v>2034</v>
      </c>
      <c r="B1167" s="11">
        <v>45743</v>
      </c>
      <c r="C1167" s="5" t="s">
        <v>409</v>
      </c>
      <c r="D1167" s="5" t="s">
        <v>50</v>
      </c>
      <c r="E1167" s="5" t="s">
        <v>25</v>
      </c>
      <c r="F1167" s="5">
        <v>5</v>
      </c>
      <c r="G1167" s="19">
        <v>0.1</v>
      </c>
      <c r="H1167" s="5" t="s">
        <v>454</v>
      </c>
      <c r="I1167" s="10">
        <f>IF(OR(D1167="", F1167=""), "", F1167 * VLOOKUP(D1167, Products!A:E, 5, FALSE) * (1 - G1167))</f>
        <v>1519.335</v>
      </c>
      <c r="J1167" s="10"/>
    </row>
    <row r="1168" spans="1:10" ht="15.75" customHeight="1" x14ac:dyDescent="0.3">
      <c r="A1168" s="5" t="s">
        <v>2035</v>
      </c>
      <c r="B1168" s="11">
        <v>45841</v>
      </c>
      <c r="C1168" s="5" t="s">
        <v>412</v>
      </c>
      <c r="D1168" s="5" t="s">
        <v>47</v>
      </c>
      <c r="E1168" s="5" t="s">
        <v>21</v>
      </c>
      <c r="F1168" s="5">
        <v>1</v>
      </c>
      <c r="G1168" s="19">
        <v>0.05</v>
      </c>
      <c r="H1168" s="5" t="s">
        <v>697</v>
      </c>
      <c r="I1168" s="10">
        <f>IF(OR(D1168="", F1168=""), "", F1168 * VLOOKUP(D1168, Products!A:E, 5, FALSE) * (1 - G1168))</f>
        <v>777.822</v>
      </c>
      <c r="J1168" s="10"/>
    </row>
    <row r="1169" spans="1:10" ht="15.75" customHeight="1" x14ac:dyDescent="0.3">
      <c r="A1169" s="5" t="s">
        <v>2036</v>
      </c>
      <c r="B1169" s="11">
        <v>45283</v>
      </c>
      <c r="C1169" s="5" t="s">
        <v>773</v>
      </c>
      <c r="D1169" s="5" t="s">
        <v>262</v>
      </c>
      <c r="E1169" s="5" t="s">
        <v>33</v>
      </c>
      <c r="F1169" s="5">
        <v>3</v>
      </c>
      <c r="G1169" s="19">
        <v>0.05</v>
      </c>
      <c r="H1169" s="5" t="s">
        <v>454</v>
      </c>
      <c r="I1169" s="10">
        <f>IF(OR(D1169="", F1169=""), "", F1169 * VLOOKUP(D1169, Products!A:E, 5, FALSE) * (1 - G1169))</f>
        <v>1292.817</v>
      </c>
      <c r="J1169" s="10"/>
    </row>
    <row r="1170" spans="1:10" ht="15.75" customHeight="1" x14ac:dyDescent="0.3">
      <c r="A1170" s="5" t="s">
        <v>2037</v>
      </c>
      <c r="B1170" s="11">
        <v>45670</v>
      </c>
      <c r="C1170" s="5" t="s">
        <v>811</v>
      </c>
      <c r="D1170" s="5" t="s">
        <v>109</v>
      </c>
      <c r="E1170" s="5" t="s">
        <v>25</v>
      </c>
      <c r="F1170" s="5">
        <v>4</v>
      </c>
      <c r="G1170" s="19">
        <v>0.05</v>
      </c>
      <c r="H1170" s="5" t="s">
        <v>776</v>
      </c>
      <c r="I1170" s="10">
        <f>IF(OR(D1170="", F1170=""), "", F1170 * VLOOKUP(D1170, Products!A:E, 5, FALSE) * (1 - G1170))</f>
        <v>7063.25</v>
      </c>
      <c r="J1170" s="10"/>
    </row>
    <row r="1171" spans="1:10" ht="15.75" customHeight="1" x14ac:dyDescent="0.3">
      <c r="A1171" s="5" t="s">
        <v>2038</v>
      </c>
      <c r="B1171" s="11">
        <v>45779</v>
      </c>
      <c r="C1171" s="5" t="s">
        <v>495</v>
      </c>
      <c r="D1171" s="5" t="s">
        <v>291</v>
      </c>
      <c r="E1171" s="5" t="s">
        <v>21</v>
      </c>
      <c r="F1171" s="5">
        <v>2</v>
      </c>
      <c r="G1171" s="19">
        <v>0.05</v>
      </c>
      <c r="H1171" s="5" t="s">
        <v>637</v>
      </c>
      <c r="I1171" s="10">
        <f>IF(OR(D1171="", F1171=""), "", F1171 * VLOOKUP(D1171, Products!A:E, 5, FALSE) * (1 - G1171))</f>
        <v>1984.816</v>
      </c>
      <c r="J1171" s="10"/>
    </row>
    <row r="1172" spans="1:10" ht="15.75" customHeight="1" x14ac:dyDescent="0.3">
      <c r="A1172" s="5" t="s">
        <v>2039</v>
      </c>
      <c r="B1172" s="11">
        <v>45540</v>
      </c>
      <c r="C1172" s="5" t="s">
        <v>799</v>
      </c>
      <c r="D1172" s="5" t="s">
        <v>54</v>
      </c>
      <c r="E1172" s="5" t="s">
        <v>33</v>
      </c>
      <c r="F1172" s="5">
        <v>4</v>
      </c>
      <c r="G1172" s="19">
        <v>0.05</v>
      </c>
      <c r="H1172" s="5" t="s">
        <v>637</v>
      </c>
      <c r="I1172" s="10">
        <f>IF(OR(D1172="", F1172=""), "", F1172 * VLOOKUP(D1172, Products!A:E, 5, FALSE) * (1 - G1172))</f>
        <v>7044.326</v>
      </c>
      <c r="J1172" s="10"/>
    </row>
    <row r="1173" spans="1:10" ht="15.75" customHeight="1" x14ac:dyDescent="0.3">
      <c r="A1173" s="5" t="s">
        <v>2040</v>
      </c>
      <c r="B1173" s="11">
        <v>45830</v>
      </c>
      <c r="C1173" s="5" t="s">
        <v>833</v>
      </c>
      <c r="D1173" s="5" t="s">
        <v>269</v>
      </c>
      <c r="E1173" s="5" t="s">
        <v>25</v>
      </c>
      <c r="F1173" s="5">
        <v>2</v>
      </c>
      <c r="G1173" s="19">
        <v>0.1</v>
      </c>
      <c r="H1173" s="5" t="s">
        <v>776</v>
      </c>
      <c r="I1173" s="10">
        <f>IF(OR(D1173="", F1173=""), "", F1173 * VLOOKUP(D1173, Products!A:E, 5, FALSE) * (1 - G1173))</f>
        <v>3382.3440000000001</v>
      </c>
      <c r="J1173" s="10"/>
    </row>
    <row r="1174" spans="1:10" ht="15.75" customHeight="1" x14ac:dyDescent="0.3">
      <c r="A1174" s="5" t="s">
        <v>2041</v>
      </c>
      <c r="B1174" s="11">
        <v>45806</v>
      </c>
      <c r="C1174" s="5" t="s">
        <v>762</v>
      </c>
      <c r="D1174" s="5" t="s">
        <v>200</v>
      </c>
      <c r="E1174" s="5" t="s">
        <v>29</v>
      </c>
      <c r="F1174" s="5">
        <v>1</v>
      </c>
      <c r="G1174" s="19">
        <v>0</v>
      </c>
      <c r="H1174" s="5" t="s">
        <v>697</v>
      </c>
      <c r="I1174" s="10">
        <f>IF(OR(D1174="", F1174=""), "", F1174 * VLOOKUP(D1174, Products!A:E, 5, FALSE) * (1 - G1174))</f>
        <v>1095.72</v>
      </c>
      <c r="J1174" s="10"/>
    </row>
    <row r="1175" spans="1:10" ht="15.75" customHeight="1" x14ac:dyDescent="0.3">
      <c r="A1175" s="5" t="s">
        <v>2042</v>
      </c>
      <c r="B1175" s="11">
        <v>45396</v>
      </c>
      <c r="C1175" s="5" t="s">
        <v>608</v>
      </c>
      <c r="D1175" s="5" t="s">
        <v>256</v>
      </c>
      <c r="E1175" s="5" t="s">
        <v>33</v>
      </c>
      <c r="F1175" s="5">
        <v>4</v>
      </c>
      <c r="G1175" s="19">
        <v>0.1</v>
      </c>
      <c r="H1175" s="5" t="s">
        <v>637</v>
      </c>
      <c r="I1175" s="10">
        <f>IF(OR(D1175="", F1175=""), "", F1175 * VLOOKUP(D1175, Products!A:E, 5, FALSE) * (1 - G1175))</f>
        <v>5886.0360000000001</v>
      </c>
      <c r="J1175" s="10"/>
    </row>
    <row r="1176" spans="1:10" ht="15.75" customHeight="1" x14ac:dyDescent="0.3">
      <c r="A1176" s="5" t="s">
        <v>2043</v>
      </c>
      <c r="B1176" s="11">
        <v>45567</v>
      </c>
      <c r="C1176" s="5" t="s">
        <v>854</v>
      </c>
      <c r="D1176" s="5" t="s">
        <v>217</v>
      </c>
      <c r="E1176" s="5" t="s">
        <v>37</v>
      </c>
      <c r="F1176" s="5">
        <v>2</v>
      </c>
      <c r="G1176" s="19">
        <v>0.15</v>
      </c>
      <c r="H1176" s="5" t="s">
        <v>637</v>
      </c>
      <c r="I1176" s="10">
        <f>IF(OR(D1176="", F1176=""), "", F1176 * VLOOKUP(D1176, Products!A:E, 5, FALSE) * (1 - G1176))</f>
        <v>727.68499999999995</v>
      </c>
      <c r="J1176" s="10"/>
    </row>
    <row r="1177" spans="1:10" ht="15.75" customHeight="1" x14ac:dyDescent="0.3">
      <c r="A1177" s="5" t="s">
        <v>2044</v>
      </c>
      <c r="B1177" s="11">
        <v>45884</v>
      </c>
      <c r="C1177" s="5" t="s">
        <v>618</v>
      </c>
      <c r="D1177" s="5" t="s">
        <v>226</v>
      </c>
      <c r="E1177" s="5" t="s">
        <v>29</v>
      </c>
      <c r="F1177" s="5">
        <v>2</v>
      </c>
      <c r="G1177" s="19">
        <v>0.15</v>
      </c>
      <c r="H1177" s="5" t="s">
        <v>776</v>
      </c>
      <c r="I1177" s="10">
        <f>IF(OR(D1177="", F1177=""), "", F1177 * VLOOKUP(D1177, Products!A:E, 5, FALSE) * (1 - G1177))</f>
        <v>2552.482</v>
      </c>
      <c r="J1177" s="10"/>
    </row>
    <row r="1178" spans="1:10" ht="15.75" customHeight="1" x14ac:dyDescent="0.3">
      <c r="A1178" s="5" t="s">
        <v>2045</v>
      </c>
      <c r="B1178" s="11">
        <v>45220</v>
      </c>
      <c r="C1178" s="5" t="s">
        <v>443</v>
      </c>
      <c r="D1178" s="5" t="s">
        <v>134</v>
      </c>
      <c r="E1178" s="5" t="s">
        <v>33</v>
      </c>
      <c r="F1178" s="5">
        <v>4</v>
      </c>
      <c r="G1178" s="19">
        <v>0.1</v>
      </c>
      <c r="H1178" s="5" t="s">
        <v>776</v>
      </c>
      <c r="I1178" s="10">
        <f>IF(OR(D1178="", F1178=""), "", F1178 * VLOOKUP(D1178, Products!A:E, 5, FALSE) * (1 - G1178))</f>
        <v>4418.0640000000003</v>
      </c>
      <c r="J1178" s="10"/>
    </row>
    <row r="1179" spans="1:10" ht="15.75" customHeight="1" x14ac:dyDescent="0.3">
      <c r="A1179" s="5" t="s">
        <v>2046</v>
      </c>
      <c r="B1179" s="11">
        <v>45399</v>
      </c>
      <c r="C1179" s="5" t="s">
        <v>223</v>
      </c>
      <c r="D1179" s="5" t="s">
        <v>77</v>
      </c>
      <c r="E1179" s="5" t="s">
        <v>37</v>
      </c>
      <c r="F1179" s="5">
        <v>3</v>
      </c>
      <c r="G1179" s="19">
        <v>0.15</v>
      </c>
      <c r="H1179" s="5" t="s">
        <v>454</v>
      </c>
      <c r="I1179" s="10">
        <f>IF(OR(D1179="", F1179=""), "", F1179 * VLOOKUP(D1179, Products!A:E, 5, FALSE) * (1 - G1179))</f>
        <v>633.85350000000005</v>
      </c>
      <c r="J1179" s="10"/>
    </row>
    <row r="1180" spans="1:10" ht="15.75" customHeight="1" x14ac:dyDescent="0.3">
      <c r="A1180" s="5" t="s">
        <v>2047</v>
      </c>
      <c r="B1180" s="11">
        <v>45669</v>
      </c>
      <c r="C1180" s="5" t="s">
        <v>488</v>
      </c>
      <c r="D1180" s="5" t="s">
        <v>168</v>
      </c>
      <c r="E1180" s="5" t="s">
        <v>29</v>
      </c>
      <c r="F1180" s="5">
        <v>3</v>
      </c>
      <c r="G1180" s="19">
        <v>0</v>
      </c>
      <c r="H1180" s="5" t="s">
        <v>454</v>
      </c>
      <c r="I1180" s="10">
        <f>IF(OR(D1180="", F1180=""), "", F1180 * VLOOKUP(D1180, Products!A:E, 5, FALSE) * (1 - G1180))</f>
        <v>3047.2799999999997</v>
      </c>
      <c r="J1180" s="10"/>
    </row>
    <row r="1181" spans="1:10" ht="15.75" customHeight="1" x14ac:dyDescent="0.3">
      <c r="A1181" s="5" t="s">
        <v>2048</v>
      </c>
      <c r="B1181" s="11">
        <v>45253</v>
      </c>
      <c r="C1181" s="5" t="s">
        <v>774</v>
      </c>
      <c r="D1181" s="5" t="s">
        <v>180</v>
      </c>
      <c r="E1181" s="5" t="s">
        <v>37</v>
      </c>
      <c r="F1181" s="5">
        <v>4</v>
      </c>
      <c r="G1181" s="19">
        <v>0.15</v>
      </c>
      <c r="H1181" s="5" t="s">
        <v>697</v>
      </c>
      <c r="I1181" s="10">
        <f>IF(OR(D1181="", F1181=""), "", F1181 * VLOOKUP(D1181, Products!A:E, 5, FALSE) * (1 - G1181))</f>
        <v>2290.8519999999999</v>
      </c>
      <c r="J1181" s="10"/>
    </row>
    <row r="1182" spans="1:10" ht="15.75" customHeight="1" x14ac:dyDescent="0.3">
      <c r="A1182" s="5" t="s">
        <v>2049</v>
      </c>
      <c r="B1182" s="11">
        <v>45277</v>
      </c>
      <c r="C1182" s="5" t="s">
        <v>840</v>
      </c>
      <c r="D1182" s="5" t="s">
        <v>43</v>
      </c>
      <c r="E1182" s="5" t="s">
        <v>37</v>
      </c>
      <c r="F1182" s="5">
        <v>2</v>
      </c>
      <c r="G1182" s="19">
        <v>0.1</v>
      </c>
      <c r="H1182" s="5" t="s">
        <v>697</v>
      </c>
      <c r="I1182" s="10">
        <f>IF(OR(D1182="", F1182=""), "", F1182 * VLOOKUP(D1182, Products!A:E, 5, FALSE) * (1 - G1182))</f>
        <v>3012.6420000000003</v>
      </c>
      <c r="J1182" s="10"/>
    </row>
    <row r="1183" spans="1:10" ht="15.75" customHeight="1" x14ac:dyDescent="0.3">
      <c r="A1183" s="5" t="s">
        <v>2050</v>
      </c>
      <c r="B1183" s="11">
        <v>45848</v>
      </c>
      <c r="C1183" s="5" t="s">
        <v>470</v>
      </c>
      <c r="D1183" s="5" t="s">
        <v>168</v>
      </c>
      <c r="E1183" s="5" t="s">
        <v>37</v>
      </c>
      <c r="F1183" s="5">
        <v>1</v>
      </c>
      <c r="G1183" s="19">
        <v>0</v>
      </c>
      <c r="H1183" s="5" t="s">
        <v>776</v>
      </c>
      <c r="I1183" s="10">
        <f>IF(OR(D1183="", F1183=""), "", F1183 * VLOOKUP(D1183, Products!A:E, 5, FALSE) * (1 - G1183))</f>
        <v>1015.76</v>
      </c>
      <c r="J1183" s="10"/>
    </row>
    <row r="1184" spans="1:10" ht="15.75" customHeight="1" x14ac:dyDescent="0.3">
      <c r="A1184" s="5" t="s">
        <v>2051</v>
      </c>
      <c r="B1184" s="11">
        <v>45795</v>
      </c>
      <c r="C1184" s="5" t="s">
        <v>91</v>
      </c>
      <c r="D1184" s="5" t="s">
        <v>291</v>
      </c>
      <c r="E1184" s="5" t="s">
        <v>33</v>
      </c>
      <c r="F1184" s="5">
        <v>1</v>
      </c>
      <c r="G1184" s="19">
        <v>0</v>
      </c>
      <c r="H1184" s="5" t="s">
        <v>637</v>
      </c>
      <c r="I1184" s="10">
        <f>IF(OR(D1184="", F1184=""), "", F1184 * VLOOKUP(D1184, Products!A:E, 5, FALSE) * (1 - G1184))</f>
        <v>1044.6400000000001</v>
      </c>
      <c r="J1184" s="10"/>
    </row>
    <row r="1185" spans="1:10" ht="15.75" customHeight="1" x14ac:dyDescent="0.3">
      <c r="A1185" s="5" t="s">
        <v>2052</v>
      </c>
      <c r="B1185" s="11">
        <v>45331</v>
      </c>
      <c r="C1185" s="5" t="s">
        <v>503</v>
      </c>
      <c r="D1185" s="5" t="s">
        <v>103</v>
      </c>
      <c r="E1185" s="5" t="s">
        <v>25</v>
      </c>
      <c r="F1185" s="5">
        <v>3</v>
      </c>
      <c r="G1185" s="19">
        <v>0.1</v>
      </c>
      <c r="H1185" s="5" t="s">
        <v>697</v>
      </c>
      <c r="I1185" s="10">
        <f>IF(OR(D1185="", F1185=""), "", F1185 * VLOOKUP(D1185, Products!A:E, 5, FALSE) * (1 - G1185))</f>
        <v>730.21499999999992</v>
      </c>
      <c r="J1185" s="10"/>
    </row>
    <row r="1186" spans="1:10" ht="15.75" customHeight="1" x14ac:dyDescent="0.3">
      <c r="A1186" s="5" t="s">
        <v>2053</v>
      </c>
      <c r="B1186" s="11">
        <v>45625</v>
      </c>
      <c r="C1186" s="5" t="s">
        <v>129</v>
      </c>
      <c r="D1186" s="5" t="s">
        <v>221</v>
      </c>
      <c r="E1186" s="5" t="s">
        <v>21</v>
      </c>
      <c r="F1186" s="5">
        <v>5</v>
      </c>
      <c r="G1186" s="19">
        <v>0</v>
      </c>
      <c r="H1186" s="5" t="s">
        <v>776</v>
      </c>
      <c r="I1186" s="10">
        <f>IF(OR(D1186="", F1186=""), "", F1186 * VLOOKUP(D1186, Products!A:E, 5, FALSE) * (1 - G1186))</f>
        <v>7812.1500000000005</v>
      </c>
      <c r="J1186" s="10"/>
    </row>
    <row r="1187" spans="1:10" ht="15.75" customHeight="1" x14ac:dyDescent="0.3">
      <c r="A1187" s="5" t="s">
        <v>2054</v>
      </c>
      <c r="B1187" s="11">
        <v>45648</v>
      </c>
      <c r="C1187" s="5" t="s">
        <v>724</v>
      </c>
      <c r="D1187" s="5" t="s">
        <v>232</v>
      </c>
      <c r="E1187" s="5" t="s">
        <v>25</v>
      </c>
      <c r="F1187" s="5">
        <v>5</v>
      </c>
      <c r="G1187" s="19">
        <v>0</v>
      </c>
      <c r="H1187" s="5" t="s">
        <v>776</v>
      </c>
      <c r="I1187" s="10">
        <f>IF(OR(D1187="", F1187=""), "", F1187 * VLOOKUP(D1187, Products!A:E, 5, FALSE) * (1 - G1187))</f>
        <v>9763.25</v>
      </c>
      <c r="J1187" s="10"/>
    </row>
    <row r="1188" spans="1:10" ht="15.75" customHeight="1" x14ac:dyDescent="0.3">
      <c r="A1188" s="5" t="s">
        <v>2055</v>
      </c>
      <c r="B1188" s="11">
        <v>45642</v>
      </c>
      <c r="C1188" s="5" t="s">
        <v>209</v>
      </c>
      <c r="D1188" s="5" t="s">
        <v>67</v>
      </c>
      <c r="E1188" s="5" t="s">
        <v>37</v>
      </c>
      <c r="F1188" s="5">
        <v>2</v>
      </c>
      <c r="G1188" s="19">
        <v>0.15</v>
      </c>
      <c r="H1188" s="5" t="s">
        <v>697</v>
      </c>
      <c r="I1188" s="10">
        <f>IF(OR(D1188="", F1188=""), "", F1188 * VLOOKUP(D1188, Products!A:E, 5, FALSE) * (1 - G1188))</f>
        <v>186.626</v>
      </c>
      <c r="J1188" s="10"/>
    </row>
    <row r="1189" spans="1:10" ht="15.75" customHeight="1" x14ac:dyDescent="0.3">
      <c r="A1189" s="5" t="s">
        <v>2056</v>
      </c>
      <c r="B1189" s="11">
        <v>45721</v>
      </c>
      <c r="C1189" s="5" t="s">
        <v>245</v>
      </c>
      <c r="D1189" s="5" t="s">
        <v>153</v>
      </c>
      <c r="E1189" s="5" t="s">
        <v>25</v>
      </c>
      <c r="F1189" s="5">
        <v>3</v>
      </c>
      <c r="G1189" s="19">
        <v>0.1</v>
      </c>
      <c r="H1189" s="5" t="s">
        <v>637</v>
      </c>
      <c r="I1189" s="10">
        <f>IF(OR(D1189="", F1189=""), "", F1189 * VLOOKUP(D1189, Products!A:E, 5, FALSE) * (1 - G1189))</f>
        <v>4016.0070000000005</v>
      </c>
      <c r="J1189" s="10"/>
    </row>
    <row r="1190" spans="1:10" ht="15.75" customHeight="1" x14ac:dyDescent="0.3">
      <c r="A1190" s="5" t="s">
        <v>2057</v>
      </c>
      <c r="B1190" s="11">
        <v>45706</v>
      </c>
      <c r="C1190" s="5" t="s">
        <v>779</v>
      </c>
      <c r="D1190" s="5" t="s">
        <v>221</v>
      </c>
      <c r="E1190" s="5" t="s">
        <v>21</v>
      </c>
      <c r="F1190" s="5">
        <v>4</v>
      </c>
      <c r="G1190" s="19">
        <v>0.1</v>
      </c>
      <c r="H1190" s="5" t="s">
        <v>637</v>
      </c>
      <c r="I1190" s="10">
        <f>IF(OR(D1190="", F1190=""), "", F1190 * VLOOKUP(D1190, Products!A:E, 5, FALSE) * (1 - G1190))</f>
        <v>5624.7480000000005</v>
      </c>
      <c r="J1190" s="10"/>
    </row>
    <row r="1191" spans="1:10" ht="15.75" customHeight="1" x14ac:dyDescent="0.3">
      <c r="A1191" s="5" t="s">
        <v>2058</v>
      </c>
      <c r="B1191" s="11">
        <v>45900</v>
      </c>
      <c r="C1191" s="5" t="s">
        <v>805</v>
      </c>
      <c r="D1191" s="5" t="s">
        <v>115</v>
      </c>
      <c r="E1191" s="5" t="s">
        <v>29</v>
      </c>
      <c r="F1191" s="5">
        <v>3</v>
      </c>
      <c r="G1191" s="19">
        <v>0.05</v>
      </c>
      <c r="H1191" s="5" t="s">
        <v>776</v>
      </c>
      <c r="I1191" s="10">
        <f>IF(OR(D1191="", F1191=""), "", F1191 * VLOOKUP(D1191, Products!A:E, 5, FALSE) * (1 - G1191))</f>
        <v>3551.4134999999997</v>
      </c>
      <c r="J1191" s="10"/>
    </row>
    <row r="1192" spans="1:10" ht="15.75" customHeight="1" x14ac:dyDescent="0.3">
      <c r="A1192" s="5" t="s">
        <v>2059</v>
      </c>
      <c r="B1192" s="11">
        <v>45382</v>
      </c>
      <c r="C1192" s="5" t="s">
        <v>433</v>
      </c>
      <c r="D1192" s="5" t="s">
        <v>147</v>
      </c>
      <c r="E1192" s="5" t="s">
        <v>21</v>
      </c>
      <c r="F1192" s="5">
        <v>4</v>
      </c>
      <c r="G1192" s="19">
        <v>0.15</v>
      </c>
      <c r="H1192" s="5" t="s">
        <v>454</v>
      </c>
      <c r="I1192" s="10">
        <f>IF(OR(D1192="", F1192=""), "", F1192 * VLOOKUP(D1192, Products!A:E, 5, FALSE) * (1 - G1192))</f>
        <v>6386.7979999999998</v>
      </c>
      <c r="J1192" s="10"/>
    </row>
    <row r="1193" spans="1:10" ht="15.75" customHeight="1" x14ac:dyDescent="0.3">
      <c r="A1193" s="5" t="s">
        <v>2060</v>
      </c>
      <c r="B1193" s="11">
        <v>45274</v>
      </c>
      <c r="C1193" s="5" t="s">
        <v>171</v>
      </c>
      <c r="D1193" s="5" t="s">
        <v>109</v>
      </c>
      <c r="E1193" s="5" t="s">
        <v>29</v>
      </c>
      <c r="F1193" s="5">
        <v>3</v>
      </c>
      <c r="G1193" s="19">
        <v>0.05</v>
      </c>
      <c r="H1193" s="5" t="s">
        <v>637</v>
      </c>
      <c r="I1193" s="10">
        <f>IF(OR(D1193="", F1193=""), "", F1193 * VLOOKUP(D1193, Products!A:E, 5, FALSE) * (1 - G1193))</f>
        <v>5297.4375</v>
      </c>
      <c r="J1193" s="10"/>
    </row>
    <row r="1194" spans="1:10" ht="15.75" customHeight="1" x14ac:dyDescent="0.3">
      <c r="A1194" s="5" t="s">
        <v>2061</v>
      </c>
      <c r="B1194" s="11">
        <v>45511</v>
      </c>
      <c r="C1194" s="5" t="s">
        <v>181</v>
      </c>
      <c r="D1194" s="5" t="s">
        <v>74</v>
      </c>
      <c r="E1194" s="5" t="s">
        <v>33</v>
      </c>
      <c r="F1194" s="5">
        <v>2</v>
      </c>
      <c r="G1194" s="19">
        <v>0.15</v>
      </c>
      <c r="H1194" s="5" t="s">
        <v>697</v>
      </c>
      <c r="I1194" s="10">
        <f>IF(OR(D1194="", F1194=""), "", F1194 * VLOOKUP(D1194, Products!A:E, 5, FALSE) * (1 - G1194))</f>
        <v>2030.0039999999997</v>
      </c>
      <c r="J1194" s="10"/>
    </row>
    <row r="1195" spans="1:10" ht="15.75" customHeight="1" x14ac:dyDescent="0.3">
      <c r="A1195" s="5" t="s">
        <v>2062</v>
      </c>
      <c r="B1195" s="11">
        <v>45486</v>
      </c>
      <c r="C1195" s="5" t="s">
        <v>766</v>
      </c>
      <c r="D1195" s="5" t="s">
        <v>162</v>
      </c>
      <c r="E1195" s="5" t="s">
        <v>33</v>
      </c>
      <c r="F1195" s="5">
        <v>1</v>
      </c>
      <c r="G1195" s="19">
        <v>0.05</v>
      </c>
      <c r="H1195" s="5" t="s">
        <v>637</v>
      </c>
      <c r="I1195" s="10">
        <f>IF(OR(D1195="", F1195=""), "", F1195 * VLOOKUP(D1195, Products!A:E, 5, FALSE) * (1 - G1195))</f>
        <v>407.69249999999994</v>
      </c>
      <c r="J1195" s="10"/>
    </row>
    <row r="1196" spans="1:10" ht="15.75" customHeight="1" x14ac:dyDescent="0.3">
      <c r="A1196" s="5" t="s">
        <v>2063</v>
      </c>
      <c r="B1196" s="11">
        <v>45895</v>
      </c>
      <c r="C1196" s="5" t="s">
        <v>372</v>
      </c>
      <c r="D1196" s="5" t="s">
        <v>206</v>
      </c>
      <c r="E1196" s="5" t="s">
        <v>37</v>
      </c>
      <c r="F1196" s="5">
        <v>1</v>
      </c>
      <c r="G1196" s="19">
        <v>0.15</v>
      </c>
      <c r="H1196" s="5" t="s">
        <v>454</v>
      </c>
      <c r="I1196" s="10">
        <f>IF(OR(D1196="", F1196=""), "", F1196 * VLOOKUP(D1196, Products!A:E, 5, FALSE) * (1 - G1196))</f>
        <v>259.00349999999997</v>
      </c>
      <c r="J1196" s="10"/>
    </row>
    <row r="1197" spans="1:10" ht="15.75" customHeight="1" x14ac:dyDescent="0.3">
      <c r="A1197" s="5" t="s">
        <v>2064</v>
      </c>
      <c r="B1197" s="11">
        <v>45727</v>
      </c>
      <c r="C1197" s="5" t="s">
        <v>235</v>
      </c>
      <c r="D1197" s="5" t="s">
        <v>200</v>
      </c>
      <c r="E1197" s="5" t="s">
        <v>21</v>
      </c>
      <c r="F1197" s="5">
        <v>1</v>
      </c>
      <c r="G1197" s="19">
        <v>0</v>
      </c>
      <c r="H1197" s="5" t="s">
        <v>454</v>
      </c>
      <c r="I1197" s="10">
        <f>IF(OR(D1197="", F1197=""), "", F1197 * VLOOKUP(D1197, Products!A:E, 5, FALSE) * (1 - G1197))</f>
        <v>1095.72</v>
      </c>
      <c r="J1197" s="10"/>
    </row>
    <row r="1198" spans="1:10" ht="15.75" customHeight="1" x14ac:dyDescent="0.3">
      <c r="A1198" s="5" t="s">
        <v>2065</v>
      </c>
      <c r="B1198" s="11">
        <v>45348</v>
      </c>
      <c r="C1198" s="5" t="s">
        <v>876</v>
      </c>
      <c r="D1198" s="5" t="s">
        <v>122</v>
      </c>
      <c r="E1198" s="5" t="s">
        <v>33</v>
      </c>
      <c r="F1198" s="5">
        <v>1</v>
      </c>
      <c r="G1198" s="19">
        <v>0.15</v>
      </c>
      <c r="H1198" s="5" t="s">
        <v>697</v>
      </c>
      <c r="I1198" s="10">
        <f>IF(OR(D1198="", F1198=""), "", F1198 * VLOOKUP(D1198, Products!A:E, 5, FALSE) * (1 - G1198))</f>
        <v>1498.482</v>
      </c>
      <c r="J1198" s="10"/>
    </row>
    <row r="1199" spans="1:10" ht="15.75" customHeight="1" x14ac:dyDescent="0.3">
      <c r="A1199" s="5" t="s">
        <v>2066</v>
      </c>
      <c r="B1199" s="11">
        <v>45849</v>
      </c>
      <c r="C1199" s="5" t="s">
        <v>774</v>
      </c>
      <c r="D1199" s="5" t="s">
        <v>232</v>
      </c>
      <c r="E1199" s="5" t="s">
        <v>21</v>
      </c>
      <c r="F1199" s="5">
        <v>1</v>
      </c>
      <c r="G1199" s="19">
        <v>0.15</v>
      </c>
      <c r="H1199" s="5" t="s">
        <v>454</v>
      </c>
      <c r="I1199" s="10">
        <f>IF(OR(D1199="", F1199=""), "", F1199 * VLOOKUP(D1199, Products!A:E, 5, FALSE) * (1 - G1199))</f>
        <v>1659.7525000000001</v>
      </c>
      <c r="J1199" s="10"/>
    </row>
    <row r="1200" spans="1:10" ht="15.75" customHeight="1" x14ac:dyDescent="0.3">
      <c r="A1200" s="5" t="s">
        <v>2067</v>
      </c>
      <c r="B1200" s="11">
        <v>45906</v>
      </c>
      <c r="C1200" s="5" t="s">
        <v>304</v>
      </c>
      <c r="D1200" s="5" t="s">
        <v>119</v>
      </c>
      <c r="E1200" s="5" t="s">
        <v>29</v>
      </c>
      <c r="F1200" s="5">
        <v>4</v>
      </c>
      <c r="G1200" s="19">
        <v>0</v>
      </c>
      <c r="H1200" s="5" t="s">
        <v>637</v>
      </c>
      <c r="I1200" s="10">
        <f>IF(OR(D1200="", F1200=""), "", F1200 * VLOOKUP(D1200, Products!A:E, 5, FALSE) * (1 - G1200))</f>
        <v>4319.5600000000004</v>
      </c>
      <c r="J1200" s="10"/>
    </row>
    <row r="1201" spans="1:10" ht="15.75" customHeight="1" x14ac:dyDescent="0.3">
      <c r="A1201" s="5" t="s">
        <v>2068</v>
      </c>
      <c r="B1201" s="11">
        <v>45248</v>
      </c>
      <c r="C1201" s="5" t="s">
        <v>620</v>
      </c>
      <c r="D1201" s="5" t="s">
        <v>65</v>
      </c>
      <c r="E1201" s="5" t="s">
        <v>33</v>
      </c>
      <c r="F1201" s="5">
        <v>4</v>
      </c>
      <c r="G1201" s="19">
        <v>0</v>
      </c>
      <c r="H1201" s="5" t="s">
        <v>697</v>
      </c>
      <c r="I1201" s="10">
        <f>IF(OR(D1201="", F1201=""), "", F1201 * VLOOKUP(D1201, Products!A:E, 5, FALSE) * (1 - G1201))</f>
        <v>5896.48</v>
      </c>
      <c r="J1201" s="10"/>
    </row>
    <row r="1202" spans="1:10" ht="15.75" customHeight="1" x14ac:dyDescent="0.3">
      <c r="A1202" s="5" t="s">
        <v>2069</v>
      </c>
      <c r="B1202" s="11">
        <v>45271</v>
      </c>
      <c r="C1202" s="5" t="s">
        <v>16</v>
      </c>
      <c r="D1202" s="5" t="s">
        <v>280</v>
      </c>
      <c r="E1202" s="5" t="s">
        <v>33</v>
      </c>
      <c r="F1202" s="5">
        <v>4</v>
      </c>
      <c r="G1202" s="19">
        <v>0</v>
      </c>
      <c r="H1202" s="5" t="s">
        <v>454</v>
      </c>
      <c r="I1202" s="10">
        <f>IF(OR(D1202="", F1202=""), "", F1202 * VLOOKUP(D1202, Products!A:E, 5, FALSE) * (1 - G1202))</f>
        <v>4865.4399999999996</v>
      </c>
      <c r="J1202" s="10"/>
    </row>
    <row r="1203" spans="1:10" ht="15.75" customHeight="1" x14ac:dyDescent="0.3">
      <c r="A1203" s="5" t="s">
        <v>2070</v>
      </c>
      <c r="B1203" s="11">
        <v>45695</v>
      </c>
      <c r="C1203" s="5" t="s">
        <v>488</v>
      </c>
      <c r="D1203" s="5" t="s">
        <v>272</v>
      </c>
      <c r="E1203" s="5" t="s">
        <v>29</v>
      </c>
      <c r="F1203" s="5">
        <v>4</v>
      </c>
      <c r="G1203" s="19">
        <v>0</v>
      </c>
      <c r="H1203" s="5" t="s">
        <v>776</v>
      </c>
      <c r="I1203" s="10">
        <f>IF(OR(D1203="", F1203=""), "", F1203 * VLOOKUP(D1203, Products!A:E, 5, FALSE) * (1 - G1203))</f>
        <v>4661.4799999999996</v>
      </c>
      <c r="J1203" s="10"/>
    </row>
    <row r="1204" spans="1:10" ht="15.75" customHeight="1" x14ac:dyDescent="0.3">
      <c r="A1204" s="5" t="s">
        <v>2071</v>
      </c>
      <c r="B1204" s="11">
        <v>45666</v>
      </c>
      <c r="C1204" s="5" t="s">
        <v>519</v>
      </c>
      <c r="D1204" s="5" t="s">
        <v>262</v>
      </c>
      <c r="E1204" s="5" t="s">
        <v>37</v>
      </c>
      <c r="F1204" s="5">
        <v>3</v>
      </c>
      <c r="G1204" s="19">
        <v>0</v>
      </c>
      <c r="H1204" s="5" t="s">
        <v>637</v>
      </c>
      <c r="I1204" s="10">
        <f>IF(OR(D1204="", F1204=""), "", F1204 * VLOOKUP(D1204, Products!A:E, 5, FALSE) * (1 - G1204))</f>
        <v>1360.8600000000001</v>
      </c>
      <c r="J1204" s="10"/>
    </row>
    <row r="1205" spans="1:10" ht="15.75" customHeight="1" x14ac:dyDescent="0.3">
      <c r="A1205" s="5" t="s">
        <v>2072</v>
      </c>
      <c r="B1205" s="11">
        <v>45307</v>
      </c>
      <c r="C1205" s="5" t="s">
        <v>862</v>
      </c>
      <c r="D1205" s="5" t="s">
        <v>119</v>
      </c>
      <c r="E1205" s="5" t="s">
        <v>29</v>
      </c>
      <c r="F1205" s="5">
        <v>2</v>
      </c>
      <c r="G1205" s="19">
        <v>0.05</v>
      </c>
      <c r="H1205" s="5" t="s">
        <v>776</v>
      </c>
      <c r="I1205" s="10">
        <f>IF(OR(D1205="", F1205=""), "", F1205 * VLOOKUP(D1205, Products!A:E, 5, FALSE) * (1 - G1205))</f>
        <v>2051.7910000000002</v>
      </c>
      <c r="J1205" s="10"/>
    </row>
    <row r="1206" spans="1:10" ht="15.75" customHeight="1" x14ac:dyDescent="0.3">
      <c r="A1206" s="5" t="s">
        <v>2073</v>
      </c>
      <c r="B1206" s="11">
        <v>45902</v>
      </c>
      <c r="C1206" s="5" t="s">
        <v>536</v>
      </c>
      <c r="D1206" s="5" t="s">
        <v>54</v>
      </c>
      <c r="E1206" s="5" t="s">
        <v>25</v>
      </c>
      <c r="F1206" s="5">
        <v>3</v>
      </c>
      <c r="G1206" s="19">
        <v>0.15</v>
      </c>
      <c r="H1206" s="5" t="s">
        <v>776</v>
      </c>
      <c r="I1206" s="10">
        <f>IF(OR(D1206="", F1206=""), "", F1206 * VLOOKUP(D1206, Products!A:E, 5, FALSE) * (1 - G1206))</f>
        <v>4727.1134999999995</v>
      </c>
      <c r="J1206" s="10"/>
    </row>
    <row r="1207" spans="1:10" ht="15.75" customHeight="1" x14ac:dyDescent="0.3">
      <c r="A1207" s="5" t="s">
        <v>2074</v>
      </c>
      <c r="B1207" s="11">
        <v>45455</v>
      </c>
      <c r="C1207" s="5" t="s">
        <v>752</v>
      </c>
      <c r="D1207" s="5" t="s">
        <v>276</v>
      </c>
      <c r="E1207" s="5" t="s">
        <v>29</v>
      </c>
      <c r="F1207" s="5">
        <v>4</v>
      </c>
      <c r="G1207" s="19">
        <v>0</v>
      </c>
      <c r="H1207" s="5" t="s">
        <v>637</v>
      </c>
      <c r="I1207" s="10">
        <f>IF(OR(D1207="", F1207=""), "", F1207 * VLOOKUP(D1207, Products!A:E, 5, FALSE) * (1 - G1207))</f>
        <v>4788.72</v>
      </c>
      <c r="J1207" s="10"/>
    </row>
    <row r="1208" spans="1:10" ht="15.75" customHeight="1" x14ac:dyDescent="0.3">
      <c r="A1208" s="5" t="s">
        <v>2075</v>
      </c>
      <c r="B1208" s="11">
        <v>45326</v>
      </c>
      <c r="C1208" s="5" t="s">
        <v>842</v>
      </c>
      <c r="D1208" s="5" t="s">
        <v>109</v>
      </c>
      <c r="E1208" s="5" t="s">
        <v>25</v>
      </c>
      <c r="F1208" s="5">
        <v>2</v>
      </c>
      <c r="G1208" s="19">
        <v>0</v>
      </c>
      <c r="H1208" s="5" t="s">
        <v>697</v>
      </c>
      <c r="I1208" s="10">
        <f>IF(OR(D1208="", F1208=""), "", F1208 * VLOOKUP(D1208, Products!A:E, 5, FALSE) * (1 - G1208))</f>
        <v>3717.5</v>
      </c>
      <c r="J1208" s="10"/>
    </row>
    <row r="1209" spans="1:10" ht="15.75" customHeight="1" x14ac:dyDescent="0.3">
      <c r="A1209" s="5" t="s">
        <v>2076</v>
      </c>
      <c r="B1209" s="11">
        <v>45781</v>
      </c>
      <c r="C1209" s="5" t="s">
        <v>113</v>
      </c>
      <c r="D1209" s="5" t="s">
        <v>70</v>
      </c>
      <c r="E1209" s="5" t="s">
        <v>37</v>
      </c>
      <c r="F1209" s="5">
        <v>2</v>
      </c>
      <c r="G1209" s="19">
        <v>0.15</v>
      </c>
      <c r="H1209" s="5" t="s">
        <v>637</v>
      </c>
      <c r="I1209" s="10">
        <f>IF(OR(D1209="", F1209=""), "", F1209 * VLOOKUP(D1209, Products!A:E, 5, FALSE) * (1 - G1209))</f>
        <v>209.423</v>
      </c>
      <c r="J1209" s="10"/>
    </row>
    <row r="1210" spans="1:10" ht="15.75" customHeight="1" x14ac:dyDescent="0.3">
      <c r="A1210" s="5" t="s">
        <v>2077</v>
      </c>
      <c r="B1210" s="11">
        <v>45829</v>
      </c>
      <c r="C1210" s="5" t="s">
        <v>177</v>
      </c>
      <c r="D1210" s="5" t="s">
        <v>206</v>
      </c>
      <c r="E1210" s="5" t="s">
        <v>37</v>
      </c>
      <c r="F1210" s="5">
        <v>3</v>
      </c>
      <c r="G1210" s="19">
        <v>0.15</v>
      </c>
      <c r="H1210" s="5" t="s">
        <v>637</v>
      </c>
      <c r="I1210" s="10">
        <f>IF(OR(D1210="", F1210=""), "", F1210 * VLOOKUP(D1210, Products!A:E, 5, FALSE) * (1 - G1210))</f>
        <v>777.01049999999987</v>
      </c>
      <c r="J1210" s="10"/>
    </row>
    <row r="1211" spans="1:10" ht="15.75" customHeight="1" x14ac:dyDescent="0.3">
      <c r="A1211" s="5" t="s">
        <v>2078</v>
      </c>
      <c r="B1211" s="11">
        <v>45325</v>
      </c>
      <c r="C1211" s="5" t="s">
        <v>100</v>
      </c>
      <c r="D1211" s="5" t="s">
        <v>180</v>
      </c>
      <c r="E1211" s="5" t="s">
        <v>21</v>
      </c>
      <c r="F1211" s="5">
        <v>3</v>
      </c>
      <c r="G1211" s="19">
        <v>0</v>
      </c>
      <c r="H1211" s="5" t="s">
        <v>454</v>
      </c>
      <c r="I1211" s="10">
        <f>IF(OR(D1211="", F1211=""), "", F1211 * VLOOKUP(D1211, Products!A:E, 5, FALSE) * (1 - G1211))</f>
        <v>2021.34</v>
      </c>
      <c r="J1211" s="10"/>
    </row>
    <row r="1212" spans="1:10" ht="15.75" customHeight="1" x14ac:dyDescent="0.3">
      <c r="A1212" s="5" t="s">
        <v>2079</v>
      </c>
      <c r="B1212" s="11">
        <v>45648</v>
      </c>
      <c r="C1212" s="5" t="s">
        <v>829</v>
      </c>
      <c r="D1212" s="5" t="s">
        <v>188</v>
      </c>
      <c r="E1212" s="5" t="s">
        <v>21</v>
      </c>
      <c r="F1212" s="5">
        <v>4</v>
      </c>
      <c r="G1212" s="19">
        <v>0</v>
      </c>
      <c r="H1212" s="5" t="s">
        <v>697</v>
      </c>
      <c r="I1212" s="10">
        <f>IF(OR(D1212="", F1212=""), "", F1212 * VLOOKUP(D1212, Products!A:E, 5, FALSE) * (1 - G1212))</f>
        <v>5940.2</v>
      </c>
      <c r="J1212" s="10"/>
    </row>
    <row r="1213" spans="1:10" ht="15.75" customHeight="1" x14ac:dyDescent="0.3">
      <c r="A1213" s="5" t="s">
        <v>2080</v>
      </c>
      <c r="B1213" s="11">
        <v>45621</v>
      </c>
      <c r="C1213" s="5" t="s">
        <v>774</v>
      </c>
      <c r="D1213" s="5" t="s">
        <v>128</v>
      </c>
      <c r="E1213" s="5" t="s">
        <v>37</v>
      </c>
      <c r="F1213" s="5">
        <v>4</v>
      </c>
      <c r="G1213" s="19">
        <v>0.05</v>
      </c>
      <c r="H1213" s="5" t="s">
        <v>697</v>
      </c>
      <c r="I1213" s="10">
        <f>IF(OR(D1213="", F1213=""), "", F1213 * VLOOKUP(D1213, Products!A:E, 5, FALSE) * (1 - G1213))</f>
        <v>1230.896</v>
      </c>
      <c r="J1213" s="10"/>
    </row>
    <row r="1214" spans="1:10" ht="15.75" customHeight="1" x14ac:dyDescent="0.3">
      <c r="A1214" s="5" t="s">
        <v>2081</v>
      </c>
      <c r="B1214" s="11">
        <v>45265</v>
      </c>
      <c r="C1214" s="5" t="s">
        <v>185</v>
      </c>
      <c r="D1214" s="5" t="s">
        <v>147</v>
      </c>
      <c r="E1214" s="5" t="s">
        <v>21</v>
      </c>
      <c r="F1214" s="5">
        <v>2</v>
      </c>
      <c r="G1214" s="19">
        <v>0.15</v>
      </c>
      <c r="H1214" s="5" t="s">
        <v>776</v>
      </c>
      <c r="I1214" s="10">
        <f>IF(OR(D1214="", F1214=""), "", F1214 * VLOOKUP(D1214, Products!A:E, 5, FALSE) * (1 - G1214))</f>
        <v>3193.3989999999999</v>
      </c>
      <c r="J1214" s="10"/>
    </row>
    <row r="1215" spans="1:10" ht="15.75" customHeight="1" x14ac:dyDescent="0.3">
      <c r="A1215" s="5" t="s">
        <v>2082</v>
      </c>
      <c r="B1215" s="11">
        <v>45630</v>
      </c>
      <c r="C1215" s="5" t="s">
        <v>615</v>
      </c>
      <c r="D1215" s="5" t="s">
        <v>103</v>
      </c>
      <c r="E1215" s="5" t="s">
        <v>37</v>
      </c>
      <c r="F1215" s="5">
        <v>1</v>
      </c>
      <c r="G1215" s="19">
        <v>0.05</v>
      </c>
      <c r="H1215" s="5" t="s">
        <v>697</v>
      </c>
      <c r="I1215" s="10">
        <f>IF(OR(D1215="", F1215=""), "", F1215 * VLOOKUP(D1215, Products!A:E, 5, FALSE) * (1 - G1215))</f>
        <v>256.92749999999995</v>
      </c>
      <c r="J1215" s="10"/>
    </row>
    <row r="1216" spans="1:10" ht="15.75" customHeight="1" x14ac:dyDescent="0.3">
      <c r="A1216" s="5" t="s">
        <v>2083</v>
      </c>
      <c r="B1216" s="11">
        <v>45764</v>
      </c>
      <c r="C1216" s="5" t="s">
        <v>91</v>
      </c>
      <c r="D1216" s="5" t="s">
        <v>269</v>
      </c>
      <c r="E1216" s="5" t="s">
        <v>25</v>
      </c>
      <c r="F1216" s="5">
        <v>1</v>
      </c>
      <c r="G1216" s="19">
        <v>0.1</v>
      </c>
      <c r="H1216" s="5" t="s">
        <v>776</v>
      </c>
      <c r="I1216" s="10">
        <f>IF(OR(D1216="", F1216=""), "", F1216 * VLOOKUP(D1216, Products!A:E, 5, FALSE) * (1 - G1216))</f>
        <v>1691.172</v>
      </c>
      <c r="J1216" s="10"/>
    </row>
    <row r="1217" spans="1:10" ht="15.75" customHeight="1" x14ac:dyDescent="0.3">
      <c r="A1217" s="5" t="s">
        <v>2084</v>
      </c>
      <c r="B1217" s="11">
        <v>45906</v>
      </c>
      <c r="C1217" s="5" t="s">
        <v>600</v>
      </c>
      <c r="D1217" s="5" t="s">
        <v>272</v>
      </c>
      <c r="E1217" s="5" t="s">
        <v>37</v>
      </c>
      <c r="F1217" s="5">
        <v>2</v>
      </c>
      <c r="G1217" s="19">
        <v>0</v>
      </c>
      <c r="H1217" s="5" t="s">
        <v>776</v>
      </c>
      <c r="I1217" s="10">
        <f>IF(OR(D1217="", F1217=""), "", F1217 * VLOOKUP(D1217, Products!A:E, 5, FALSE) * (1 - G1217))</f>
        <v>2330.7399999999998</v>
      </c>
      <c r="J1217" s="10"/>
    </row>
    <row r="1218" spans="1:10" ht="15.75" customHeight="1" x14ac:dyDescent="0.3">
      <c r="A1218" s="5" t="s">
        <v>2085</v>
      </c>
      <c r="B1218" s="11">
        <v>45642</v>
      </c>
      <c r="C1218" s="5" t="s">
        <v>250</v>
      </c>
      <c r="D1218" s="5" t="s">
        <v>134</v>
      </c>
      <c r="E1218" s="5" t="s">
        <v>33</v>
      </c>
      <c r="F1218" s="5">
        <v>5</v>
      </c>
      <c r="G1218" s="19">
        <v>0.05</v>
      </c>
      <c r="H1218" s="5" t="s">
        <v>776</v>
      </c>
      <c r="I1218" s="10">
        <f>IF(OR(D1218="", F1218=""), "", F1218 * VLOOKUP(D1218, Products!A:E, 5, FALSE) * (1 - G1218))</f>
        <v>5829.3899999999994</v>
      </c>
      <c r="J1218" s="10"/>
    </row>
    <row r="1219" spans="1:10" ht="15.75" customHeight="1" x14ac:dyDescent="0.3">
      <c r="A1219" s="5" t="s">
        <v>2086</v>
      </c>
      <c r="B1219" s="11">
        <v>45798</v>
      </c>
      <c r="C1219" s="5" t="s">
        <v>357</v>
      </c>
      <c r="D1219" s="5" t="s">
        <v>43</v>
      </c>
      <c r="E1219" s="5" t="s">
        <v>33</v>
      </c>
      <c r="F1219" s="5">
        <v>3</v>
      </c>
      <c r="G1219" s="19">
        <v>0.15</v>
      </c>
      <c r="H1219" s="5" t="s">
        <v>454</v>
      </c>
      <c r="I1219" s="10">
        <f>IF(OR(D1219="", F1219=""), "", F1219 * VLOOKUP(D1219, Products!A:E, 5, FALSE) * (1 - G1219))</f>
        <v>4267.9094999999998</v>
      </c>
      <c r="J1219" s="10"/>
    </row>
    <row r="1220" spans="1:10" ht="15.75" customHeight="1" x14ac:dyDescent="0.3">
      <c r="A1220" s="5" t="s">
        <v>2087</v>
      </c>
      <c r="B1220" s="11">
        <v>45853</v>
      </c>
      <c r="C1220" s="5" t="s">
        <v>255</v>
      </c>
      <c r="D1220" s="5" t="s">
        <v>217</v>
      </c>
      <c r="E1220" s="5" t="s">
        <v>37</v>
      </c>
      <c r="F1220" s="5">
        <v>5</v>
      </c>
      <c r="G1220" s="19">
        <v>0.05</v>
      </c>
      <c r="H1220" s="5" t="s">
        <v>454</v>
      </c>
      <c r="I1220" s="10">
        <f>IF(OR(D1220="", F1220=""), "", F1220 * VLOOKUP(D1220, Products!A:E, 5, FALSE) * (1 - G1220))</f>
        <v>2033.2375</v>
      </c>
      <c r="J1220" s="10"/>
    </row>
    <row r="1221" spans="1:10" ht="15.75" customHeight="1" x14ac:dyDescent="0.3">
      <c r="A1221" s="5" t="s">
        <v>2088</v>
      </c>
      <c r="B1221" s="11">
        <v>45581</v>
      </c>
      <c r="C1221" s="5" t="s">
        <v>368</v>
      </c>
      <c r="D1221" s="5" t="s">
        <v>280</v>
      </c>
      <c r="E1221" s="5" t="s">
        <v>21</v>
      </c>
      <c r="F1221" s="5">
        <v>5</v>
      </c>
      <c r="G1221" s="19">
        <v>0.05</v>
      </c>
      <c r="H1221" s="5" t="s">
        <v>454</v>
      </c>
      <c r="I1221" s="10">
        <f>IF(OR(D1221="", F1221=""), "", F1221 * VLOOKUP(D1221, Products!A:E, 5, FALSE) * (1 - G1221))</f>
        <v>5777.7099999999991</v>
      </c>
      <c r="J1221" s="10"/>
    </row>
    <row r="1222" spans="1:10" ht="15.75" customHeight="1" x14ac:dyDescent="0.3">
      <c r="A1222" s="5" t="s">
        <v>2089</v>
      </c>
      <c r="B1222" s="11">
        <v>45782</v>
      </c>
      <c r="C1222" s="5" t="s">
        <v>177</v>
      </c>
      <c r="D1222" s="5" t="s">
        <v>256</v>
      </c>
      <c r="E1222" s="5" t="s">
        <v>21</v>
      </c>
      <c r="F1222" s="5">
        <v>3</v>
      </c>
      <c r="G1222" s="19">
        <v>0.05</v>
      </c>
      <c r="H1222" s="5" t="s">
        <v>637</v>
      </c>
      <c r="I1222" s="10">
        <f>IF(OR(D1222="", F1222=""), "", F1222 * VLOOKUP(D1222, Products!A:E, 5, FALSE) * (1 - G1222))</f>
        <v>4659.7784999999994</v>
      </c>
      <c r="J1222" s="10"/>
    </row>
    <row r="1223" spans="1:10" ht="15.75" customHeight="1" x14ac:dyDescent="0.3">
      <c r="A1223" s="5" t="s">
        <v>2090</v>
      </c>
      <c r="B1223" s="11">
        <v>45869</v>
      </c>
      <c r="C1223" s="5" t="s">
        <v>326</v>
      </c>
      <c r="D1223" s="5" t="s">
        <v>272</v>
      </c>
      <c r="E1223" s="5" t="s">
        <v>29</v>
      </c>
      <c r="F1223" s="5">
        <v>5</v>
      </c>
      <c r="G1223" s="19">
        <v>0.05</v>
      </c>
      <c r="H1223" s="5" t="s">
        <v>637</v>
      </c>
      <c r="I1223" s="10">
        <f>IF(OR(D1223="", F1223=""), "", F1223 * VLOOKUP(D1223, Products!A:E, 5, FALSE) * (1 - G1223))</f>
        <v>5535.5074999999988</v>
      </c>
      <c r="J1223" s="10"/>
    </row>
    <row r="1224" spans="1:10" ht="15.75" customHeight="1" x14ac:dyDescent="0.3">
      <c r="A1224" s="5" t="s">
        <v>2091</v>
      </c>
      <c r="B1224" s="11">
        <v>45473</v>
      </c>
      <c r="C1224" s="5" t="s">
        <v>401</v>
      </c>
      <c r="D1224" s="5" t="s">
        <v>188</v>
      </c>
      <c r="E1224" s="5" t="s">
        <v>37</v>
      </c>
      <c r="F1224" s="5">
        <v>1</v>
      </c>
      <c r="G1224" s="19">
        <v>0.05</v>
      </c>
      <c r="H1224" s="5" t="s">
        <v>776</v>
      </c>
      <c r="I1224" s="10">
        <f>IF(OR(D1224="", F1224=""), "", F1224 * VLOOKUP(D1224, Products!A:E, 5, FALSE) * (1 - G1224))</f>
        <v>1410.7974999999999</v>
      </c>
      <c r="J1224" s="10"/>
    </row>
    <row r="1225" spans="1:10" ht="15.75" customHeight="1" x14ac:dyDescent="0.3">
      <c r="A1225" s="5" t="s">
        <v>2092</v>
      </c>
      <c r="B1225" s="11">
        <v>45317</v>
      </c>
      <c r="C1225" s="5" t="s">
        <v>752</v>
      </c>
      <c r="D1225" s="5" t="s">
        <v>47</v>
      </c>
      <c r="E1225" s="5" t="s">
        <v>37</v>
      </c>
      <c r="F1225" s="5">
        <v>4</v>
      </c>
      <c r="G1225" s="19">
        <v>0.05</v>
      </c>
      <c r="H1225" s="5" t="s">
        <v>776</v>
      </c>
      <c r="I1225" s="10">
        <f>IF(OR(D1225="", F1225=""), "", F1225 * VLOOKUP(D1225, Products!A:E, 5, FALSE) * (1 - G1225))</f>
        <v>3111.288</v>
      </c>
      <c r="J1225" s="10"/>
    </row>
    <row r="1226" spans="1:10" ht="15.75" customHeight="1" x14ac:dyDescent="0.3">
      <c r="A1226" s="5" t="s">
        <v>2093</v>
      </c>
      <c r="B1226" s="11">
        <v>45389</v>
      </c>
      <c r="C1226" s="5" t="s">
        <v>628</v>
      </c>
      <c r="D1226" s="5" t="s">
        <v>61</v>
      </c>
      <c r="E1226" s="5" t="s">
        <v>21</v>
      </c>
      <c r="F1226" s="5">
        <v>1</v>
      </c>
      <c r="G1226" s="19">
        <v>0</v>
      </c>
      <c r="H1226" s="5" t="s">
        <v>697</v>
      </c>
      <c r="I1226" s="10">
        <f>IF(OR(D1226="", F1226=""), "", F1226 * VLOOKUP(D1226, Products!A:E, 5, FALSE) * (1 - G1226))</f>
        <v>318.05</v>
      </c>
      <c r="J1226" s="10"/>
    </row>
    <row r="1227" spans="1:10" ht="15.75" customHeight="1" x14ac:dyDescent="0.3">
      <c r="A1227" s="5" t="s">
        <v>2094</v>
      </c>
      <c r="B1227" s="11">
        <v>45214</v>
      </c>
      <c r="C1227" s="5" t="s">
        <v>209</v>
      </c>
      <c r="D1227" s="5" t="s">
        <v>188</v>
      </c>
      <c r="E1227" s="5" t="s">
        <v>37</v>
      </c>
      <c r="F1227" s="5">
        <v>3</v>
      </c>
      <c r="G1227" s="19">
        <v>0.15</v>
      </c>
      <c r="H1227" s="5" t="s">
        <v>637</v>
      </c>
      <c r="I1227" s="10">
        <f>IF(OR(D1227="", F1227=""), "", F1227 * VLOOKUP(D1227, Products!A:E, 5, FALSE) * (1 - G1227))</f>
        <v>3786.8774999999996</v>
      </c>
      <c r="J1227" s="10"/>
    </row>
    <row r="1228" spans="1:10" ht="15.75" customHeight="1" x14ac:dyDescent="0.3">
      <c r="A1228" s="5" t="s">
        <v>2095</v>
      </c>
      <c r="B1228" s="11">
        <v>45310</v>
      </c>
      <c r="C1228" s="5" t="s">
        <v>805</v>
      </c>
      <c r="D1228" s="5" t="s">
        <v>147</v>
      </c>
      <c r="E1228" s="5" t="s">
        <v>25</v>
      </c>
      <c r="F1228" s="5">
        <v>2</v>
      </c>
      <c r="G1228" s="19">
        <v>0.05</v>
      </c>
      <c r="H1228" s="5" t="s">
        <v>454</v>
      </c>
      <c r="I1228" s="10">
        <f>IF(OR(D1228="", F1228=""), "", F1228 * VLOOKUP(D1228, Products!A:E, 5, FALSE) * (1 - G1228))</f>
        <v>3569.0929999999998</v>
      </c>
      <c r="J1228" s="10"/>
    </row>
    <row r="1229" spans="1:10" ht="15.75" customHeight="1" x14ac:dyDescent="0.3">
      <c r="A1229" s="5" t="s">
        <v>2096</v>
      </c>
      <c r="B1229" s="11">
        <v>45459</v>
      </c>
      <c r="C1229" s="5" t="s">
        <v>661</v>
      </c>
      <c r="D1229" s="5" t="s">
        <v>188</v>
      </c>
      <c r="E1229" s="5" t="s">
        <v>33</v>
      </c>
      <c r="F1229" s="5">
        <v>4</v>
      </c>
      <c r="G1229" s="19">
        <v>0.05</v>
      </c>
      <c r="H1229" s="5" t="s">
        <v>697</v>
      </c>
      <c r="I1229" s="10">
        <f>IF(OR(D1229="", F1229=""), "", F1229 * VLOOKUP(D1229, Products!A:E, 5, FALSE) * (1 - G1229))</f>
        <v>5643.19</v>
      </c>
      <c r="J1229" s="10"/>
    </row>
    <row r="1230" spans="1:10" ht="15.75" customHeight="1" x14ac:dyDescent="0.3">
      <c r="A1230" s="5" t="s">
        <v>2097</v>
      </c>
      <c r="B1230" s="11">
        <v>45210</v>
      </c>
      <c r="C1230" s="5" t="s">
        <v>736</v>
      </c>
      <c r="D1230" s="5" t="s">
        <v>54</v>
      </c>
      <c r="E1230" s="5" t="s">
        <v>21</v>
      </c>
      <c r="F1230" s="5">
        <v>5</v>
      </c>
      <c r="G1230" s="19">
        <v>0.05</v>
      </c>
      <c r="H1230" s="5" t="s">
        <v>637</v>
      </c>
      <c r="I1230" s="10">
        <f>IF(OR(D1230="", F1230=""), "", F1230 * VLOOKUP(D1230, Products!A:E, 5, FALSE) * (1 - G1230))</f>
        <v>8805.4074999999993</v>
      </c>
      <c r="J1230" s="10"/>
    </row>
    <row r="1231" spans="1:10" ht="15.75" customHeight="1" x14ac:dyDescent="0.3">
      <c r="A1231" s="5" t="s">
        <v>2098</v>
      </c>
      <c r="B1231" s="11">
        <v>45468</v>
      </c>
      <c r="C1231" s="5" t="s">
        <v>736</v>
      </c>
      <c r="D1231" s="5" t="s">
        <v>200</v>
      </c>
      <c r="E1231" s="5" t="s">
        <v>21</v>
      </c>
      <c r="F1231" s="5">
        <v>3</v>
      </c>
      <c r="G1231" s="19">
        <v>0.1</v>
      </c>
      <c r="H1231" s="5" t="s">
        <v>637</v>
      </c>
      <c r="I1231" s="10">
        <f>IF(OR(D1231="", F1231=""), "", F1231 * VLOOKUP(D1231, Products!A:E, 5, FALSE) * (1 - G1231))</f>
        <v>2958.444</v>
      </c>
      <c r="J1231" s="10"/>
    </row>
    <row r="1232" spans="1:10" ht="15.75" customHeight="1" x14ac:dyDescent="0.3">
      <c r="A1232" s="5" t="s">
        <v>2099</v>
      </c>
      <c r="B1232" s="11">
        <v>45435</v>
      </c>
      <c r="C1232" s="5" t="s">
        <v>69</v>
      </c>
      <c r="D1232" s="5" t="s">
        <v>232</v>
      </c>
      <c r="E1232" s="5" t="s">
        <v>37</v>
      </c>
      <c r="F1232" s="5">
        <v>2</v>
      </c>
      <c r="G1232" s="19">
        <v>0.05</v>
      </c>
      <c r="H1232" s="5" t="s">
        <v>776</v>
      </c>
      <c r="I1232" s="10">
        <f>IF(OR(D1232="", F1232=""), "", F1232 * VLOOKUP(D1232, Products!A:E, 5, FALSE) * (1 - G1232))</f>
        <v>3710.0349999999999</v>
      </c>
      <c r="J1232" s="10"/>
    </row>
    <row r="1233" spans="1:10" ht="15.75" customHeight="1" x14ac:dyDescent="0.3">
      <c r="A1233" s="5" t="s">
        <v>2100</v>
      </c>
      <c r="B1233" s="11">
        <v>45865</v>
      </c>
      <c r="C1233" s="5" t="s">
        <v>669</v>
      </c>
      <c r="D1233" s="5" t="s">
        <v>237</v>
      </c>
      <c r="E1233" s="5" t="s">
        <v>21</v>
      </c>
      <c r="F1233" s="5">
        <v>5</v>
      </c>
      <c r="G1233" s="19">
        <v>0.1</v>
      </c>
      <c r="H1233" s="5" t="s">
        <v>697</v>
      </c>
      <c r="I1233" s="10">
        <f>IF(OR(D1233="", F1233=""), "", F1233 * VLOOKUP(D1233, Products!A:E, 5, FALSE) * (1 - G1233))</f>
        <v>1651.1850000000002</v>
      </c>
      <c r="J1233" s="10"/>
    </row>
    <row r="1234" spans="1:10" ht="15.75" customHeight="1" x14ac:dyDescent="0.3">
      <c r="A1234" s="5" t="s">
        <v>2101</v>
      </c>
      <c r="B1234" s="11">
        <v>45691</v>
      </c>
      <c r="C1234" s="5" t="s">
        <v>608</v>
      </c>
      <c r="D1234" s="5" t="s">
        <v>89</v>
      </c>
      <c r="E1234" s="5" t="s">
        <v>25</v>
      </c>
      <c r="F1234" s="5">
        <v>3</v>
      </c>
      <c r="G1234" s="19">
        <v>0</v>
      </c>
      <c r="H1234" s="5" t="s">
        <v>697</v>
      </c>
      <c r="I1234" s="10">
        <f>IF(OR(D1234="", F1234=""), "", F1234 * VLOOKUP(D1234, Products!A:E, 5, FALSE) * (1 - G1234))</f>
        <v>3404.3999999999996</v>
      </c>
      <c r="J1234" s="10"/>
    </row>
    <row r="1235" spans="1:10" ht="15.75" customHeight="1" x14ac:dyDescent="0.3">
      <c r="A1235" s="5" t="s">
        <v>2102</v>
      </c>
      <c r="B1235" s="11">
        <v>45343</v>
      </c>
      <c r="C1235" s="5" t="s">
        <v>245</v>
      </c>
      <c r="D1235" s="5" t="s">
        <v>103</v>
      </c>
      <c r="E1235" s="5" t="s">
        <v>25</v>
      </c>
      <c r="F1235" s="5">
        <v>4</v>
      </c>
      <c r="G1235" s="19">
        <v>0.15</v>
      </c>
      <c r="H1235" s="5" t="s">
        <v>697</v>
      </c>
      <c r="I1235" s="10">
        <f>IF(OR(D1235="", F1235=""), "", F1235 * VLOOKUP(D1235, Products!A:E, 5, FALSE) * (1 - G1235))</f>
        <v>919.53</v>
      </c>
      <c r="J1235" s="10"/>
    </row>
    <row r="1236" spans="1:10" ht="15.75" customHeight="1" x14ac:dyDescent="0.3">
      <c r="A1236" s="5" t="s">
        <v>2103</v>
      </c>
      <c r="B1236" s="11">
        <v>45425</v>
      </c>
      <c r="C1236" s="5" t="s">
        <v>312</v>
      </c>
      <c r="D1236" s="5" t="s">
        <v>188</v>
      </c>
      <c r="E1236" s="5" t="s">
        <v>21</v>
      </c>
      <c r="F1236" s="5">
        <v>1</v>
      </c>
      <c r="G1236" s="19">
        <v>0.1</v>
      </c>
      <c r="H1236" s="5" t="s">
        <v>454</v>
      </c>
      <c r="I1236" s="10">
        <f>IF(OR(D1236="", F1236=""), "", F1236 * VLOOKUP(D1236, Products!A:E, 5, FALSE) * (1 - G1236))</f>
        <v>1336.5450000000001</v>
      </c>
      <c r="J1236" s="10"/>
    </row>
    <row r="1237" spans="1:10" ht="15.75" customHeight="1" x14ac:dyDescent="0.3">
      <c r="A1237" s="5" t="s">
        <v>2104</v>
      </c>
      <c r="B1237" s="11">
        <v>45475</v>
      </c>
      <c r="C1237" s="5" t="s">
        <v>365</v>
      </c>
      <c r="D1237" s="5" t="s">
        <v>54</v>
      </c>
      <c r="E1237" s="5" t="s">
        <v>33</v>
      </c>
      <c r="F1237" s="5">
        <v>3</v>
      </c>
      <c r="G1237" s="19">
        <v>0.1</v>
      </c>
      <c r="H1237" s="5" t="s">
        <v>637</v>
      </c>
      <c r="I1237" s="10">
        <f>IF(OR(D1237="", F1237=""), "", F1237 * VLOOKUP(D1237, Products!A:E, 5, FALSE) * (1 - G1237))</f>
        <v>5005.1790000000001</v>
      </c>
      <c r="J1237" s="10"/>
    </row>
    <row r="1238" spans="1:10" ht="15.75" customHeight="1" x14ac:dyDescent="0.3">
      <c r="A1238" s="5" t="s">
        <v>2105</v>
      </c>
      <c r="B1238" s="11">
        <v>45490</v>
      </c>
      <c r="C1238" s="5" t="s">
        <v>149</v>
      </c>
      <c r="D1238" s="5" t="s">
        <v>147</v>
      </c>
      <c r="E1238" s="5" t="s">
        <v>21</v>
      </c>
      <c r="F1238" s="5">
        <v>1</v>
      </c>
      <c r="G1238" s="19">
        <v>0.05</v>
      </c>
      <c r="H1238" s="5" t="s">
        <v>697</v>
      </c>
      <c r="I1238" s="10">
        <f>IF(OR(D1238="", F1238=""), "", F1238 * VLOOKUP(D1238, Products!A:E, 5, FALSE) * (1 - G1238))</f>
        <v>1784.5464999999999</v>
      </c>
      <c r="J1238" s="10"/>
    </row>
    <row r="1239" spans="1:10" ht="15.75" customHeight="1" x14ac:dyDescent="0.3">
      <c r="A1239" s="5" t="s">
        <v>2106</v>
      </c>
      <c r="B1239" s="11">
        <v>45685</v>
      </c>
      <c r="C1239" s="5" t="s">
        <v>121</v>
      </c>
      <c r="D1239" s="5" t="s">
        <v>95</v>
      </c>
      <c r="E1239" s="5" t="s">
        <v>33</v>
      </c>
      <c r="F1239" s="5">
        <v>5</v>
      </c>
      <c r="G1239" s="19">
        <v>0</v>
      </c>
      <c r="H1239" s="5" t="s">
        <v>776</v>
      </c>
      <c r="I1239" s="10">
        <f>IF(OR(D1239="", F1239=""), "", F1239 * VLOOKUP(D1239, Products!A:E, 5, FALSE) * (1 - G1239))</f>
        <v>6713.75</v>
      </c>
      <c r="J1239" s="10"/>
    </row>
    <row r="1240" spans="1:10" ht="15.75" customHeight="1" x14ac:dyDescent="0.3">
      <c r="A1240" s="5" t="s">
        <v>2107</v>
      </c>
      <c r="B1240" s="11">
        <v>45626</v>
      </c>
      <c r="C1240" s="5" t="s">
        <v>393</v>
      </c>
      <c r="D1240" s="5" t="s">
        <v>134</v>
      </c>
      <c r="E1240" s="5" t="s">
        <v>33</v>
      </c>
      <c r="F1240" s="5">
        <v>5</v>
      </c>
      <c r="G1240" s="19">
        <v>0.1</v>
      </c>
      <c r="H1240" s="5" t="s">
        <v>637</v>
      </c>
      <c r="I1240" s="10">
        <f>IF(OR(D1240="", F1240=""), "", F1240 * VLOOKUP(D1240, Products!A:E, 5, FALSE) * (1 - G1240))</f>
        <v>5522.58</v>
      </c>
      <c r="J1240" s="10"/>
    </row>
    <row r="1241" spans="1:10" ht="15.75" customHeight="1" x14ac:dyDescent="0.3">
      <c r="A1241" s="5" t="s">
        <v>2108</v>
      </c>
      <c r="B1241" s="11">
        <v>45578</v>
      </c>
      <c r="C1241" s="5" t="s">
        <v>353</v>
      </c>
      <c r="D1241" s="5" t="s">
        <v>243</v>
      </c>
      <c r="E1241" s="5" t="s">
        <v>29</v>
      </c>
      <c r="F1241" s="5">
        <v>2</v>
      </c>
      <c r="G1241" s="19">
        <v>0</v>
      </c>
      <c r="H1241" s="5" t="s">
        <v>454</v>
      </c>
      <c r="I1241" s="10">
        <f>IF(OR(D1241="", F1241=""), "", F1241 * VLOOKUP(D1241, Products!A:E, 5, FALSE) * (1 - G1241))</f>
        <v>1081.8800000000001</v>
      </c>
      <c r="J1241" s="10"/>
    </row>
    <row r="1242" spans="1:10" ht="15.75" customHeight="1" x14ac:dyDescent="0.3">
      <c r="A1242" s="5" t="s">
        <v>2109</v>
      </c>
      <c r="B1242" s="11">
        <v>45226</v>
      </c>
      <c r="C1242" s="5" t="s">
        <v>387</v>
      </c>
      <c r="D1242" s="5" t="s">
        <v>291</v>
      </c>
      <c r="E1242" s="5" t="s">
        <v>21</v>
      </c>
      <c r="F1242" s="5">
        <v>2</v>
      </c>
      <c r="G1242" s="19">
        <v>0.15</v>
      </c>
      <c r="H1242" s="5" t="s">
        <v>697</v>
      </c>
      <c r="I1242" s="10">
        <f>IF(OR(D1242="", F1242=""), "", F1242 * VLOOKUP(D1242, Products!A:E, 5, FALSE) * (1 - G1242))</f>
        <v>1775.8880000000001</v>
      </c>
      <c r="J1242" s="10"/>
    </row>
    <row r="1243" spans="1:10" ht="15.75" customHeight="1" x14ac:dyDescent="0.3">
      <c r="A1243" s="5" t="s">
        <v>2110</v>
      </c>
      <c r="B1243" s="11">
        <v>45238</v>
      </c>
      <c r="C1243" s="5" t="s">
        <v>528</v>
      </c>
      <c r="D1243" s="5" t="s">
        <v>70</v>
      </c>
      <c r="E1243" s="5" t="s">
        <v>25</v>
      </c>
      <c r="F1243" s="5">
        <v>1</v>
      </c>
      <c r="G1243" s="19">
        <v>0.15</v>
      </c>
      <c r="H1243" s="5" t="s">
        <v>637</v>
      </c>
      <c r="I1243" s="10">
        <f>IF(OR(D1243="", F1243=""), "", F1243 * VLOOKUP(D1243, Products!A:E, 5, FALSE) * (1 - G1243))</f>
        <v>104.7115</v>
      </c>
      <c r="J1243" s="10"/>
    </row>
    <row r="1244" spans="1:10" ht="15.75" customHeight="1" x14ac:dyDescent="0.3">
      <c r="A1244" s="5" t="s">
        <v>2111</v>
      </c>
      <c r="B1244" s="11">
        <v>45191</v>
      </c>
      <c r="C1244" s="5" t="s">
        <v>159</v>
      </c>
      <c r="D1244" s="5" t="s">
        <v>265</v>
      </c>
      <c r="E1244" s="5" t="s">
        <v>33</v>
      </c>
      <c r="F1244" s="5">
        <v>2</v>
      </c>
      <c r="G1244" s="19">
        <v>0.05</v>
      </c>
      <c r="H1244" s="5" t="s">
        <v>637</v>
      </c>
      <c r="I1244" s="10">
        <f>IF(OR(D1244="", F1244=""), "", F1244 * VLOOKUP(D1244, Products!A:E, 5, FALSE) * (1 - G1244))</f>
        <v>1072.3979999999999</v>
      </c>
      <c r="J1244" s="10"/>
    </row>
    <row r="1245" spans="1:10" ht="15.75" customHeight="1" x14ac:dyDescent="0.3">
      <c r="A1245" s="5" t="s">
        <v>2112</v>
      </c>
      <c r="B1245" s="11">
        <v>45518</v>
      </c>
      <c r="C1245" s="5" t="s">
        <v>334</v>
      </c>
      <c r="D1245" s="5" t="s">
        <v>265</v>
      </c>
      <c r="E1245" s="5" t="s">
        <v>33</v>
      </c>
      <c r="F1245" s="5">
        <v>3</v>
      </c>
      <c r="G1245" s="19">
        <v>0.05</v>
      </c>
      <c r="H1245" s="5" t="s">
        <v>637</v>
      </c>
      <c r="I1245" s="10">
        <f>IF(OR(D1245="", F1245=""), "", F1245 * VLOOKUP(D1245, Products!A:E, 5, FALSE) * (1 - G1245))</f>
        <v>1608.5969999999998</v>
      </c>
      <c r="J1245" s="10"/>
    </row>
    <row r="1246" spans="1:10" ht="15.75" customHeight="1" x14ac:dyDescent="0.3">
      <c r="A1246" s="5" t="s">
        <v>2113</v>
      </c>
      <c r="B1246" s="11">
        <v>45336</v>
      </c>
      <c r="C1246" s="5" t="s">
        <v>829</v>
      </c>
      <c r="D1246" s="5" t="s">
        <v>267</v>
      </c>
      <c r="E1246" s="5" t="s">
        <v>25</v>
      </c>
      <c r="F1246" s="5">
        <v>3</v>
      </c>
      <c r="G1246" s="19">
        <v>0.1</v>
      </c>
      <c r="H1246" s="5" t="s">
        <v>697</v>
      </c>
      <c r="I1246" s="10">
        <f>IF(OR(D1246="", F1246=""), "", F1246 * VLOOKUP(D1246, Products!A:E, 5, FALSE) * (1 - G1246))</f>
        <v>3473.6849999999999</v>
      </c>
      <c r="J1246" s="10"/>
    </row>
    <row r="1247" spans="1:10" ht="15.75" customHeight="1" x14ac:dyDescent="0.3">
      <c r="A1247" s="5" t="s">
        <v>2114</v>
      </c>
      <c r="B1247" s="11">
        <v>45586</v>
      </c>
      <c r="C1247" s="5" t="s">
        <v>488</v>
      </c>
      <c r="D1247" s="5" t="s">
        <v>180</v>
      </c>
      <c r="E1247" s="5" t="s">
        <v>25</v>
      </c>
      <c r="F1247" s="5">
        <v>1</v>
      </c>
      <c r="G1247" s="19">
        <v>0</v>
      </c>
      <c r="H1247" s="5" t="s">
        <v>454</v>
      </c>
      <c r="I1247" s="10">
        <f>IF(OR(D1247="", F1247=""), "", F1247 * VLOOKUP(D1247, Products!A:E, 5, FALSE) * (1 - G1247))</f>
        <v>673.78</v>
      </c>
      <c r="J1247" s="10"/>
    </row>
    <row r="1248" spans="1:10" ht="15.75" customHeight="1" x14ac:dyDescent="0.3">
      <c r="A1248" s="5" t="s">
        <v>2115</v>
      </c>
      <c r="B1248" s="11">
        <v>45709</v>
      </c>
      <c r="C1248" s="5" t="s">
        <v>286</v>
      </c>
      <c r="D1248" s="5" t="s">
        <v>103</v>
      </c>
      <c r="E1248" s="5" t="s">
        <v>21</v>
      </c>
      <c r="F1248" s="5">
        <v>4</v>
      </c>
      <c r="G1248" s="19">
        <v>0.15</v>
      </c>
      <c r="H1248" s="5" t="s">
        <v>637</v>
      </c>
      <c r="I1248" s="10">
        <f>IF(OR(D1248="", F1248=""), "", F1248 * VLOOKUP(D1248, Products!A:E, 5, FALSE) * (1 - G1248))</f>
        <v>919.53</v>
      </c>
      <c r="J1248" s="10"/>
    </row>
    <row r="1249" spans="1:10" ht="15.75" customHeight="1" x14ac:dyDescent="0.3">
      <c r="A1249" s="5" t="s">
        <v>2116</v>
      </c>
      <c r="B1249" s="11">
        <v>45568</v>
      </c>
      <c r="C1249" s="5" t="s">
        <v>326</v>
      </c>
      <c r="D1249" s="5" t="s">
        <v>89</v>
      </c>
      <c r="E1249" s="5" t="s">
        <v>29</v>
      </c>
      <c r="F1249" s="5">
        <v>2</v>
      </c>
      <c r="G1249" s="19">
        <v>0.1</v>
      </c>
      <c r="H1249" s="5" t="s">
        <v>697</v>
      </c>
      <c r="I1249" s="10">
        <f>IF(OR(D1249="", F1249=""), "", F1249 * VLOOKUP(D1249, Products!A:E, 5, FALSE) * (1 - G1249))</f>
        <v>2042.6399999999999</v>
      </c>
      <c r="J1249" s="10"/>
    </row>
    <row r="1250" spans="1:10" ht="15.75" customHeight="1" x14ac:dyDescent="0.3">
      <c r="A1250" s="5" t="s">
        <v>2117</v>
      </c>
      <c r="B1250" s="11">
        <v>45531</v>
      </c>
      <c r="C1250" s="5" t="s">
        <v>758</v>
      </c>
      <c r="D1250" s="5" t="s">
        <v>291</v>
      </c>
      <c r="E1250" s="5" t="s">
        <v>37</v>
      </c>
      <c r="F1250" s="5">
        <v>2</v>
      </c>
      <c r="G1250" s="19">
        <v>0.05</v>
      </c>
      <c r="H1250" s="5" t="s">
        <v>776</v>
      </c>
      <c r="I1250" s="10">
        <f>IF(OR(D1250="", F1250=""), "", F1250 * VLOOKUP(D1250, Products!A:E, 5, FALSE) * (1 - G1250))</f>
        <v>1984.816</v>
      </c>
      <c r="J1250" s="10"/>
    </row>
    <row r="1251" spans="1:10" ht="15.75" customHeight="1" x14ac:dyDescent="0.3">
      <c r="A1251" s="5" t="s">
        <v>2118</v>
      </c>
      <c r="B1251" s="11">
        <v>45788</v>
      </c>
      <c r="C1251" s="5" t="s">
        <v>560</v>
      </c>
      <c r="D1251" s="5" t="s">
        <v>188</v>
      </c>
      <c r="E1251" s="5" t="s">
        <v>37</v>
      </c>
      <c r="F1251" s="5">
        <v>4</v>
      </c>
      <c r="G1251" s="19">
        <v>0.05</v>
      </c>
      <c r="H1251" s="5" t="s">
        <v>637</v>
      </c>
      <c r="I1251" s="10">
        <f>IF(OR(D1251="", F1251=""), "", F1251 * VLOOKUP(D1251, Products!A:E, 5, FALSE) * (1 - G1251))</f>
        <v>5643.19</v>
      </c>
      <c r="J1251" s="10"/>
    </row>
    <row r="1252" spans="1:10" ht="15.75" customHeight="1" x14ac:dyDescent="0.3">
      <c r="A1252" s="5" t="s">
        <v>2119</v>
      </c>
      <c r="B1252" s="11">
        <v>45325</v>
      </c>
      <c r="C1252" s="5" t="s">
        <v>608</v>
      </c>
      <c r="D1252" s="5" t="s">
        <v>168</v>
      </c>
      <c r="E1252" s="5" t="s">
        <v>29</v>
      </c>
      <c r="F1252" s="5">
        <v>1</v>
      </c>
      <c r="G1252" s="19">
        <v>0.15</v>
      </c>
      <c r="H1252" s="5" t="s">
        <v>697</v>
      </c>
      <c r="I1252" s="10">
        <f>IF(OR(D1252="", F1252=""), "", F1252 * VLOOKUP(D1252, Products!A:E, 5, FALSE) * (1 - G1252))</f>
        <v>863.39599999999996</v>
      </c>
      <c r="J1252" s="10"/>
    </row>
    <row r="1253" spans="1:10" ht="15.75" customHeight="1" x14ac:dyDescent="0.3">
      <c r="A1253" s="5" t="s">
        <v>2120</v>
      </c>
      <c r="B1253" s="11">
        <v>45711</v>
      </c>
      <c r="C1253" s="5" t="s">
        <v>405</v>
      </c>
      <c r="D1253" s="5" t="s">
        <v>256</v>
      </c>
      <c r="E1253" s="5" t="s">
        <v>29</v>
      </c>
      <c r="F1253" s="5">
        <v>4</v>
      </c>
      <c r="G1253" s="19">
        <v>0.05</v>
      </c>
      <c r="H1253" s="5" t="s">
        <v>697</v>
      </c>
      <c r="I1253" s="10">
        <f>IF(OR(D1253="", F1253=""), "", F1253 * VLOOKUP(D1253, Products!A:E, 5, FALSE) * (1 - G1253))</f>
        <v>6213.0379999999996</v>
      </c>
      <c r="J1253" s="10"/>
    </row>
    <row r="1254" spans="1:10" ht="15.75" customHeight="1" x14ac:dyDescent="0.3">
      <c r="A1254" s="5" t="s">
        <v>2121</v>
      </c>
      <c r="B1254" s="11">
        <v>45375</v>
      </c>
      <c r="C1254" s="5" t="s">
        <v>705</v>
      </c>
      <c r="D1254" s="5" t="s">
        <v>115</v>
      </c>
      <c r="E1254" s="5" t="s">
        <v>21</v>
      </c>
      <c r="F1254" s="5">
        <v>4</v>
      </c>
      <c r="G1254" s="19">
        <v>0</v>
      </c>
      <c r="H1254" s="5" t="s">
        <v>776</v>
      </c>
      <c r="I1254" s="10">
        <f>IF(OR(D1254="", F1254=""), "", F1254 * VLOOKUP(D1254, Products!A:E, 5, FALSE) * (1 - G1254))</f>
        <v>4984.4399999999996</v>
      </c>
      <c r="J1254" s="10"/>
    </row>
    <row r="1255" spans="1:10" ht="15.75" customHeight="1" x14ac:dyDescent="0.3">
      <c r="A1255" s="5" t="s">
        <v>2122</v>
      </c>
      <c r="B1255" s="11">
        <v>45781</v>
      </c>
      <c r="C1255" s="5" t="s">
        <v>615</v>
      </c>
      <c r="D1255" s="5" t="s">
        <v>291</v>
      </c>
      <c r="E1255" s="5" t="s">
        <v>37</v>
      </c>
      <c r="F1255" s="5">
        <v>1</v>
      </c>
      <c r="G1255" s="19">
        <v>0.15</v>
      </c>
      <c r="H1255" s="5" t="s">
        <v>637</v>
      </c>
      <c r="I1255" s="10">
        <f>IF(OR(D1255="", F1255=""), "", F1255 * VLOOKUP(D1255, Products!A:E, 5, FALSE) * (1 - G1255))</f>
        <v>887.94400000000007</v>
      </c>
      <c r="J1255" s="10"/>
    </row>
    <row r="1256" spans="1:10" ht="15.75" customHeight="1" x14ac:dyDescent="0.3">
      <c r="A1256" s="5" t="s">
        <v>2123</v>
      </c>
      <c r="B1256" s="11">
        <v>45764</v>
      </c>
      <c r="C1256" s="5" t="s">
        <v>620</v>
      </c>
      <c r="D1256" s="5" t="s">
        <v>265</v>
      </c>
      <c r="E1256" s="5" t="s">
        <v>21</v>
      </c>
      <c r="F1256" s="5">
        <v>4</v>
      </c>
      <c r="G1256" s="19">
        <v>0.15</v>
      </c>
      <c r="H1256" s="5" t="s">
        <v>697</v>
      </c>
      <c r="I1256" s="10">
        <f>IF(OR(D1256="", F1256=""), "", F1256 * VLOOKUP(D1256, Products!A:E, 5, FALSE) * (1 - G1256))</f>
        <v>1919.0279999999998</v>
      </c>
      <c r="J1256" s="10"/>
    </row>
    <row r="1257" spans="1:10" ht="15.75" customHeight="1" x14ac:dyDescent="0.3">
      <c r="A1257" s="5" t="s">
        <v>2124</v>
      </c>
      <c r="B1257" s="11">
        <v>45654</v>
      </c>
      <c r="C1257" s="5" t="s">
        <v>203</v>
      </c>
      <c r="D1257" s="5" t="s">
        <v>168</v>
      </c>
      <c r="E1257" s="5" t="s">
        <v>37</v>
      </c>
      <c r="F1257" s="5">
        <v>1</v>
      </c>
      <c r="G1257" s="19">
        <v>0.15</v>
      </c>
      <c r="H1257" s="5" t="s">
        <v>697</v>
      </c>
      <c r="I1257" s="10">
        <f>IF(OR(D1257="", F1257=""), "", F1257 * VLOOKUP(D1257, Products!A:E, 5, FALSE) * (1 - G1257))</f>
        <v>863.39599999999996</v>
      </c>
      <c r="J1257" s="10"/>
    </row>
    <row r="1258" spans="1:10" ht="15.75" customHeight="1" x14ac:dyDescent="0.3">
      <c r="A1258" s="5" t="s">
        <v>2125</v>
      </c>
      <c r="B1258" s="11">
        <v>45786</v>
      </c>
      <c r="C1258" s="5" t="s">
        <v>281</v>
      </c>
      <c r="D1258" s="5" t="s">
        <v>128</v>
      </c>
      <c r="E1258" s="5" t="s">
        <v>29</v>
      </c>
      <c r="F1258" s="5">
        <v>3</v>
      </c>
      <c r="G1258" s="19">
        <v>0.05</v>
      </c>
      <c r="H1258" s="5" t="s">
        <v>776</v>
      </c>
      <c r="I1258" s="10">
        <f>IF(OR(D1258="", F1258=""), "", F1258 * VLOOKUP(D1258, Products!A:E, 5, FALSE) * (1 - G1258))</f>
        <v>923.17199999999991</v>
      </c>
      <c r="J1258" s="10"/>
    </row>
    <row r="1259" spans="1:10" ht="15.75" customHeight="1" x14ac:dyDescent="0.3">
      <c r="A1259" s="5" t="s">
        <v>2126</v>
      </c>
      <c r="B1259" s="11">
        <v>45860</v>
      </c>
      <c r="C1259" s="5" t="s">
        <v>100</v>
      </c>
      <c r="D1259" s="5" t="s">
        <v>82</v>
      </c>
      <c r="E1259" s="5" t="s">
        <v>33</v>
      </c>
      <c r="F1259" s="5">
        <v>3</v>
      </c>
      <c r="G1259" s="19">
        <v>0.05</v>
      </c>
      <c r="H1259" s="5" t="s">
        <v>637</v>
      </c>
      <c r="I1259" s="10">
        <f>IF(OR(D1259="", F1259=""), "", F1259 * VLOOKUP(D1259, Products!A:E, 5, FALSE) * (1 - G1259))</f>
        <v>3400.3064999999992</v>
      </c>
      <c r="J1259" s="10"/>
    </row>
    <row r="1260" spans="1:10" ht="15.75" customHeight="1" x14ac:dyDescent="0.3">
      <c r="A1260" s="5" t="s">
        <v>2127</v>
      </c>
      <c r="B1260" s="11">
        <v>45366</v>
      </c>
      <c r="C1260" s="5" t="s">
        <v>705</v>
      </c>
      <c r="D1260" s="5" t="s">
        <v>269</v>
      </c>
      <c r="E1260" s="5" t="s">
        <v>37</v>
      </c>
      <c r="F1260" s="5">
        <v>1</v>
      </c>
      <c r="G1260" s="19">
        <v>0.15</v>
      </c>
      <c r="H1260" s="5" t="s">
        <v>637</v>
      </c>
      <c r="I1260" s="10">
        <f>IF(OR(D1260="", F1260=""), "", F1260 * VLOOKUP(D1260, Products!A:E, 5, FALSE) * (1 - G1260))</f>
        <v>1597.2179999999998</v>
      </c>
      <c r="J1260" s="10"/>
    </row>
    <row r="1261" spans="1:10" ht="15.75" customHeight="1" x14ac:dyDescent="0.3">
      <c r="A1261" s="5" t="s">
        <v>2128</v>
      </c>
      <c r="B1261" s="11">
        <v>45526</v>
      </c>
      <c r="C1261" s="5" t="s">
        <v>872</v>
      </c>
      <c r="D1261" s="5" t="s">
        <v>200</v>
      </c>
      <c r="E1261" s="5" t="s">
        <v>25</v>
      </c>
      <c r="F1261" s="5">
        <v>4</v>
      </c>
      <c r="G1261" s="19">
        <v>0.05</v>
      </c>
      <c r="H1261" s="5" t="s">
        <v>454</v>
      </c>
      <c r="I1261" s="10">
        <f>IF(OR(D1261="", F1261=""), "", F1261 * VLOOKUP(D1261, Products!A:E, 5, FALSE) * (1 - G1261))</f>
        <v>4163.7359999999999</v>
      </c>
      <c r="J1261" s="10"/>
    </row>
    <row r="1262" spans="1:10" ht="15.75" customHeight="1" x14ac:dyDescent="0.3">
      <c r="A1262" s="5" t="s">
        <v>2129</v>
      </c>
      <c r="B1262" s="11">
        <v>45242</v>
      </c>
      <c r="C1262" s="5" t="s">
        <v>750</v>
      </c>
      <c r="D1262" s="5" t="s">
        <v>77</v>
      </c>
      <c r="E1262" s="5" t="s">
        <v>33</v>
      </c>
      <c r="F1262" s="5">
        <v>1</v>
      </c>
      <c r="G1262" s="19">
        <v>0</v>
      </c>
      <c r="H1262" s="5" t="s">
        <v>637</v>
      </c>
      <c r="I1262" s="10">
        <f>IF(OR(D1262="", F1262=""), "", F1262 * VLOOKUP(D1262, Products!A:E, 5, FALSE) * (1 - G1262))</f>
        <v>248.57</v>
      </c>
      <c r="J1262" s="10"/>
    </row>
    <row r="1263" spans="1:10" ht="15.75" customHeight="1" x14ac:dyDescent="0.3">
      <c r="A1263" s="5" t="s">
        <v>2130</v>
      </c>
      <c r="B1263" s="11">
        <v>45422</v>
      </c>
      <c r="C1263" s="5" t="s">
        <v>802</v>
      </c>
      <c r="D1263" s="5" t="s">
        <v>193</v>
      </c>
      <c r="E1263" s="5" t="s">
        <v>29</v>
      </c>
      <c r="F1263" s="5">
        <v>5</v>
      </c>
      <c r="G1263" s="19">
        <v>0</v>
      </c>
      <c r="H1263" s="5" t="s">
        <v>454</v>
      </c>
      <c r="I1263" s="10">
        <f>IF(OR(D1263="", F1263=""), "", F1263 * VLOOKUP(D1263, Products!A:E, 5, FALSE) * (1 - G1263))</f>
        <v>146.19999999999999</v>
      </c>
      <c r="J1263" s="10"/>
    </row>
    <row r="1264" spans="1:10" ht="15.75" customHeight="1" x14ac:dyDescent="0.3">
      <c r="A1264" s="5" t="s">
        <v>2131</v>
      </c>
      <c r="B1264" s="11">
        <v>45783</v>
      </c>
      <c r="C1264" s="5" t="s">
        <v>575</v>
      </c>
      <c r="D1264" s="5" t="s">
        <v>212</v>
      </c>
      <c r="E1264" s="5" t="s">
        <v>29</v>
      </c>
      <c r="F1264" s="5">
        <v>5</v>
      </c>
      <c r="G1264" s="19">
        <v>0.05</v>
      </c>
      <c r="H1264" s="5" t="s">
        <v>776</v>
      </c>
      <c r="I1264" s="10">
        <f>IF(OR(D1264="", F1264=""), "", F1264 * VLOOKUP(D1264, Products!A:E, 5, FALSE) * (1 - G1264))</f>
        <v>8545.1075000000001</v>
      </c>
      <c r="J1264" s="10"/>
    </row>
    <row r="1265" spans="1:10" ht="15.75" customHeight="1" x14ac:dyDescent="0.3">
      <c r="A1265" s="5" t="s">
        <v>2132</v>
      </c>
      <c r="B1265" s="11">
        <v>45339</v>
      </c>
      <c r="C1265" s="5" t="s">
        <v>744</v>
      </c>
      <c r="D1265" s="5" t="s">
        <v>65</v>
      </c>
      <c r="E1265" s="5" t="s">
        <v>29</v>
      </c>
      <c r="F1265" s="5">
        <v>1</v>
      </c>
      <c r="G1265" s="19">
        <v>0.1</v>
      </c>
      <c r="H1265" s="5" t="s">
        <v>776</v>
      </c>
      <c r="I1265" s="10">
        <f>IF(OR(D1265="", F1265=""), "", F1265 * VLOOKUP(D1265, Products!A:E, 5, FALSE) * (1 - G1265))</f>
        <v>1326.7079999999999</v>
      </c>
      <c r="J1265" s="10"/>
    </row>
    <row r="1266" spans="1:10" ht="15.75" customHeight="1" x14ac:dyDescent="0.3">
      <c r="A1266" s="5" t="s">
        <v>2133</v>
      </c>
      <c r="B1266" s="11">
        <v>45471</v>
      </c>
      <c r="C1266" s="5" t="s">
        <v>245</v>
      </c>
      <c r="D1266" s="5" t="s">
        <v>89</v>
      </c>
      <c r="E1266" s="5" t="s">
        <v>33</v>
      </c>
      <c r="F1266" s="5">
        <v>3</v>
      </c>
      <c r="G1266" s="19">
        <v>0.15</v>
      </c>
      <c r="H1266" s="5" t="s">
        <v>776</v>
      </c>
      <c r="I1266" s="10">
        <f>IF(OR(D1266="", F1266=""), "", F1266 * VLOOKUP(D1266, Products!A:E, 5, FALSE) * (1 - G1266))</f>
        <v>2893.74</v>
      </c>
      <c r="J1266" s="10"/>
    </row>
    <row r="1267" spans="1:10" ht="15.75" customHeight="1" x14ac:dyDescent="0.3">
      <c r="A1267" s="5" t="s">
        <v>2134</v>
      </c>
      <c r="B1267" s="11">
        <v>45439</v>
      </c>
      <c r="C1267" s="5" t="s">
        <v>519</v>
      </c>
      <c r="D1267" s="5" t="s">
        <v>272</v>
      </c>
      <c r="E1267" s="5" t="s">
        <v>29</v>
      </c>
      <c r="F1267" s="5">
        <v>2</v>
      </c>
      <c r="G1267" s="19">
        <v>0</v>
      </c>
      <c r="H1267" s="5" t="s">
        <v>697</v>
      </c>
      <c r="I1267" s="10">
        <f>IF(OR(D1267="", F1267=""), "", F1267 * VLOOKUP(D1267, Products!A:E, 5, FALSE) * (1 - G1267))</f>
        <v>2330.7399999999998</v>
      </c>
      <c r="J1267" s="10"/>
    </row>
    <row r="1268" spans="1:10" ht="15.75" customHeight="1" x14ac:dyDescent="0.3">
      <c r="A1268" s="5" t="s">
        <v>2135</v>
      </c>
      <c r="B1268" s="11">
        <v>45597</v>
      </c>
      <c r="C1268" s="5" t="s">
        <v>292</v>
      </c>
      <c r="D1268" s="5" t="s">
        <v>128</v>
      </c>
      <c r="E1268" s="5" t="s">
        <v>29</v>
      </c>
      <c r="F1268" s="5">
        <v>2</v>
      </c>
      <c r="G1268" s="19">
        <v>0</v>
      </c>
      <c r="H1268" s="5" t="s">
        <v>637</v>
      </c>
      <c r="I1268" s="10">
        <f>IF(OR(D1268="", F1268=""), "", F1268 * VLOOKUP(D1268, Products!A:E, 5, FALSE) * (1 - G1268))</f>
        <v>647.84</v>
      </c>
      <c r="J1268" s="10"/>
    </row>
    <row r="1269" spans="1:10" ht="15.75" customHeight="1" x14ac:dyDescent="0.3">
      <c r="A1269" s="5" t="s">
        <v>2136</v>
      </c>
      <c r="B1269" s="11">
        <v>45867</v>
      </c>
      <c r="C1269" s="5" t="s">
        <v>842</v>
      </c>
      <c r="D1269" s="5" t="s">
        <v>175</v>
      </c>
      <c r="E1269" s="5" t="s">
        <v>37</v>
      </c>
      <c r="F1269" s="5">
        <v>2</v>
      </c>
      <c r="G1269" s="19">
        <v>0.05</v>
      </c>
      <c r="H1269" s="5" t="s">
        <v>454</v>
      </c>
      <c r="I1269" s="10">
        <f>IF(OR(D1269="", F1269=""), "", F1269 * VLOOKUP(D1269, Products!A:E, 5, FALSE) * (1 - G1269))</f>
        <v>2417.2370000000001</v>
      </c>
      <c r="J1269" s="10"/>
    </row>
    <row r="1270" spans="1:10" ht="15.75" customHeight="1" x14ac:dyDescent="0.3">
      <c r="A1270" s="5" t="s">
        <v>2137</v>
      </c>
      <c r="B1270" s="11">
        <v>45768</v>
      </c>
      <c r="C1270" s="5" t="s">
        <v>507</v>
      </c>
      <c r="D1270" s="5" t="s">
        <v>291</v>
      </c>
      <c r="E1270" s="5" t="s">
        <v>29</v>
      </c>
      <c r="F1270" s="5">
        <v>5</v>
      </c>
      <c r="G1270" s="19">
        <v>0.15</v>
      </c>
      <c r="H1270" s="5" t="s">
        <v>454</v>
      </c>
      <c r="I1270" s="10">
        <f>IF(OR(D1270="", F1270=""), "", F1270 * VLOOKUP(D1270, Products!A:E, 5, FALSE) * (1 - G1270))</f>
        <v>4439.72</v>
      </c>
      <c r="J1270" s="10"/>
    </row>
    <row r="1271" spans="1:10" ht="15.75" customHeight="1" x14ac:dyDescent="0.3">
      <c r="A1271" s="5" t="s">
        <v>2138</v>
      </c>
      <c r="B1271" s="11">
        <v>45629</v>
      </c>
      <c r="C1271" s="5" t="s">
        <v>159</v>
      </c>
      <c r="D1271" s="5" t="s">
        <v>74</v>
      </c>
      <c r="E1271" s="5" t="s">
        <v>21</v>
      </c>
      <c r="F1271" s="5">
        <v>3</v>
      </c>
      <c r="G1271" s="19">
        <v>0.1</v>
      </c>
      <c r="H1271" s="5" t="s">
        <v>637</v>
      </c>
      <c r="I1271" s="10">
        <f>IF(OR(D1271="", F1271=""), "", F1271 * VLOOKUP(D1271, Products!A:E, 5, FALSE) * (1 - G1271))</f>
        <v>3224.1239999999998</v>
      </c>
      <c r="J1271" s="10"/>
    </row>
    <row r="1272" spans="1:10" ht="15.75" customHeight="1" x14ac:dyDescent="0.3">
      <c r="A1272" s="5" t="s">
        <v>2139</v>
      </c>
      <c r="B1272" s="11">
        <v>45378</v>
      </c>
      <c r="C1272" s="5" t="s">
        <v>628</v>
      </c>
      <c r="D1272" s="5" t="s">
        <v>147</v>
      </c>
      <c r="E1272" s="5" t="s">
        <v>37</v>
      </c>
      <c r="F1272" s="5">
        <v>5</v>
      </c>
      <c r="G1272" s="19">
        <v>0</v>
      </c>
      <c r="H1272" s="5" t="s">
        <v>637</v>
      </c>
      <c r="I1272" s="10">
        <f>IF(OR(D1272="", F1272=""), "", F1272 * VLOOKUP(D1272, Products!A:E, 5, FALSE) * (1 - G1272))</f>
        <v>9392.35</v>
      </c>
      <c r="J1272" s="10"/>
    </row>
    <row r="1273" spans="1:10" ht="15.75" customHeight="1" x14ac:dyDescent="0.3">
      <c r="A1273" s="5" t="s">
        <v>2140</v>
      </c>
      <c r="B1273" s="11">
        <v>45386</v>
      </c>
      <c r="C1273" s="5" t="s">
        <v>819</v>
      </c>
      <c r="D1273" s="5" t="s">
        <v>109</v>
      </c>
      <c r="E1273" s="5" t="s">
        <v>37</v>
      </c>
      <c r="F1273" s="5">
        <v>5</v>
      </c>
      <c r="G1273" s="19">
        <v>0.1</v>
      </c>
      <c r="H1273" s="5" t="s">
        <v>637</v>
      </c>
      <c r="I1273" s="10">
        <f>IF(OR(D1273="", F1273=""), "", F1273 * VLOOKUP(D1273, Products!A:E, 5, FALSE) * (1 - G1273))</f>
        <v>8364.375</v>
      </c>
      <c r="J1273" s="10"/>
    </row>
    <row r="1274" spans="1:10" ht="15.75" customHeight="1" x14ac:dyDescent="0.3">
      <c r="A1274" s="5" t="s">
        <v>2141</v>
      </c>
      <c r="B1274" s="11">
        <v>45263</v>
      </c>
      <c r="C1274" s="5" t="s">
        <v>744</v>
      </c>
      <c r="D1274" s="5" t="s">
        <v>175</v>
      </c>
      <c r="E1274" s="5" t="s">
        <v>29</v>
      </c>
      <c r="F1274" s="5">
        <v>1</v>
      </c>
      <c r="G1274" s="19">
        <v>0.05</v>
      </c>
      <c r="H1274" s="5" t="s">
        <v>637</v>
      </c>
      <c r="I1274" s="10">
        <f>IF(OR(D1274="", F1274=""), "", F1274 * VLOOKUP(D1274, Products!A:E, 5, FALSE) * (1 - G1274))</f>
        <v>1208.6185</v>
      </c>
      <c r="J1274" s="10"/>
    </row>
    <row r="1275" spans="1:10" ht="15.75" customHeight="1" x14ac:dyDescent="0.3">
      <c r="A1275" s="5" t="s">
        <v>2142</v>
      </c>
      <c r="B1275" s="11">
        <v>45539</v>
      </c>
      <c r="C1275" s="5" t="s">
        <v>209</v>
      </c>
      <c r="D1275" s="5" t="s">
        <v>206</v>
      </c>
      <c r="E1275" s="5" t="s">
        <v>21</v>
      </c>
      <c r="F1275" s="5">
        <v>4</v>
      </c>
      <c r="G1275" s="19">
        <v>0.05</v>
      </c>
      <c r="H1275" s="5" t="s">
        <v>454</v>
      </c>
      <c r="I1275" s="10">
        <f>IF(OR(D1275="", F1275=""), "", F1275 * VLOOKUP(D1275, Products!A:E, 5, FALSE) * (1 - G1275))</f>
        <v>1157.8979999999999</v>
      </c>
      <c r="J1275" s="10"/>
    </row>
    <row r="1276" spans="1:10" ht="15.75" customHeight="1" x14ac:dyDescent="0.3">
      <c r="A1276" s="5" t="s">
        <v>2143</v>
      </c>
      <c r="B1276" s="11">
        <v>45299</v>
      </c>
      <c r="C1276" s="5" t="s">
        <v>191</v>
      </c>
      <c r="D1276" s="5" t="s">
        <v>109</v>
      </c>
      <c r="E1276" s="5" t="s">
        <v>21</v>
      </c>
      <c r="F1276" s="5">
        <v>2</v>
      </c>
      <c r="G1276" s="19">
        <v>0.1</v>
      </c>
      <c r="H1276" s="5" t="s">
        <v>776</v>
      </c>
      <c r="I1276" s="10">
        <f>IF(OR(D1276="", F1276=""), "", F1276 * VLOOKUP(D1276, Products!A:E, 5, FALSE) * (1 - G1276))</f>
        <v>3345.75</v>
      </c>
      <c r="J1276" s="10"/>
    </row>
    <row r="1277" spans="1:10" ht="15.75" customHeight="1" x14ac:dyDescent="0.3">
      <c r="A1277" s="5" t="s">
        <v>2144</v>
      </c>
      <c r="B1277" s="11">
        <v>45732</v>
      </c>
      <c r="C1277" s="5" t="s">
        <v>808</v>
      </c>
      <c r="D1277" s="5" t="s">
        <v>147</v>
      </c>
      <c r="E1277" s="5" t="s">
        <v>25</v>
      </c>
      <c r="F1277" s="5">
        <v>4</v>
      </c>
      <c r="G1277" s="19">
        <v>0.05</v>
      </c>
      <c r="H1277" s="5" t="s">
        <v>697</v>
      </c>
      <c r="I1277" s="10">
        <f>IF(OR(D1277="", F1277=""), "", F1277 * VLOOKUP(D1277, Products!A:E, 5, FALSE) * (1 - G1277))</f>
        <v>7138.1859999999997</v>
      </c>
      <c r="J1277" s="10"/>
    </row>
    <row r="1278" spans="1:10" ht="15.75" customHeight="1" x14ac:dyDescent="0.3">
      <c r="A1278" s="5" t="s">
        <v>2145</v>
      </c>
      <c r="B1278" s="11">
        <v>45554</v>
      </c>
      <c r="C1278" s="5" t="s">
        <v>661</v>
      </c>
      <c r="D1278" s="5" t="s">
        <v>256</v>
      </c>
      <c r="E1278" s="5" t="s">
        <v>21</v>
      </c>
      <c r="F1278" s="5">
        <v>3</v>
      </c>
      <c r="G1278" s="19">
        <v>0.15</v>
      </c>
      <c r="H1278" s="5" t="s">
        <v>697</v>
      </c>
      <c r="I1278" s="10">
        <f>IF(OR(D1278="", F1278=""), "", F1278 * VLOOKUP(D1278, Products!A:E, 5, FALSE) * (1 - G1278))</f>
        <v>4169.2754999999997</v>
      </c>
      <c r="J1278" s="10"/>
    </row>
    <row r="1279" spans="1:10" ht="15.75" customHeight="1" x14ac:dyDescent="0.3">
      <c r="A1279" s="5" t="s">
        <v>2146</v>
      </c>
      <c r="B1279" s="11">
        <v>45203</v>
      </c>
      <c r="C1279" s="5" t="s">
        <v>618</v>
      </c>
      <c r="D1279" s="5" t="s">
        <v>147</v>
      </c>
      <c r="E1279" s="5" t="s">
        <v>29</v>
      </c>
      <c r="F1279" s="5">
        <v>4</v>
      </c>
      <c r="G1279" s="19">
        <v>0.15</v>
      </c>
      <c r="H1279" s="5" t="s">
        <v>776</v>
      </c>
      <c r="I1279" s="10">
        <f>IF(OR(D1279="", F1279=""), "", F1279 * VLOOKUP(D1279, Products!A:E, 5, FALSE) * (1 - G1279))</f>
        <v>6386.7979999999998</v>
      </c>
      <c r="J1279" s="10"/>
    </row>
    <row r="1280" spans="1:10" ht="15.75" customHeight="1" x14ac:dyDescent="0.3">
      <c r="A1280" s="5" t="s">
        <v>2147</v>
      </c>
      <c r="B1280" s="11">
        <v>45467</v>
      </c>
      <c r="C1280" s="5" t="s">
        <v>447</v>
      </c>
      <c r="D1280" s="5" t="s">
        <v>256</v>
      </c>
      <c r="E1280" s="5" t="s">
        <v>25</v>
      </c>
      <c r="F1280" s="5">
        <v>1</v>
      </c>
      <c r="G1280" s="19">
        <v>0</v>
      </c>
      <c r="H1280" s="5" t="s">
        <v>697</v>
      </c>
      <c r="I1280" s="10">
        <f>IF(OR(D1280="", F1280=""), "", F1280 * VLOOKUP(D1280, Products!A:E, 5, FALSE) * (1 - G1280))</f>
        <v>1635.01</v>
      </c>
      <c r="J1280" s="10"/>
    </row>
    <row r="1281" spans="1:10" ht="15.75" customHeight="1" x14ac:dyDescent="0.3">
      <c r="A1281" s="5" t="s">
        <v>2148</v>
      </c>
      <c r="B1281" s="11">
        <v>45334</v>
      </c>
      <c r="C1281" s="5" t="s">
        <v>661</v>
      </c>
      <c r="D1281" s="5" t="s">
        <v>95</v>
      </c>
      <c r="E1281" s="5" t="s">
        <v>29</v>
      </c>
      <c r="F1281" s="5">
        <v>4</v>
      </c>
      <c r="G1281" s="19">
        <v>0.1</v>
      </c>
      <c r="H1281" s="5" t="s">
        <v>454</v>
      </c>
      <c r="I1281" s="10">
        <f>IF(OR(D1281="", F1281=""), "", F1281 * VLOOKUP(D1281, Products!A:E, 5, FALSE) * (1 - G1281))</f>
        <v>4833.9000000000005</v>
      </c>
      <c r="J1281" s="10"/>
    </row>
    <row r="1282" spans="1:10" ht="15.75" customHeight="1" x14ac:dyDescent="0.3">
      <c r="A1282" s="5" t="s">
        <v>2149</v>
      </c>
      <c r="B1282" s="11">
        <v>45828</v>
      </c>
      <c r="C1282" s="5" t="s">
        <v>628</v>
      </c>
      <c r="D1282" s="5" t="s">
        <v>95</v>
      </c>
      <c r="E1282" s="5" t="s">
        <v>37</v>
      </c>
      <c r="F1282" s="5">
        <v>5</v>
      </c>
      <c r="G1282" s="19">
        <v>0.15</v>
      </c>
      <c r="H1282" s="5" t="s">
        <v>637</v>
      </c>
      <c r="I1282" s="10">
        <f>IF(OR(D1282="", F1282=""), "", F1282 * VLOOKUP(D1282, Products!A:E, 5, FALSE) * (1 - G1282))</f>
        <v>5706.6875</v>
      </c>
      <c r="J1282" s="10"/>
    </row>
    <row r="1283" spans="1:10" ht="15.75" customHeight="1" x14ac:dyDescent="0.3">
      <c r="A1283" s="5" t="s">
        <v>2150</v>
      </c>
      <c r="B1283" s="11">
        <v>45898</v>
      </c>
      <c r="C1283" s="5" t="s">
        <v>458</v>
      </c>
      <c r="D1283" s="5" t="s">
        <v>237</v>
      </c>
      <c r="E1283" s="5" t="s">
        <v>37</v>
      </c>
      <c r="F1283" s="5">
        <v>2</v>
      </c>
      <c r="G1283" s="19">
        <v>0.1</v>
      </c>
      <c r="H1283" s="5" t="s">
        <v>697</v>
      </c>
      <c r="I1283" s="10">
        <f>IF(OR(D1283="", F1283=""), "", F1283 * VLOOKUP(D1283, Products!A:E, 5, FALSE) * (1 - G1283))</f>
        <v>660.47400000000005</v>
      </c>
      <c r="J1283" s="10"/>
    </row>
    <row r="1284" spans="1:10" ht="15.75" customHeight="1" x14ac:dyDescent="0.3">
      <c r="A1284" s="5" t="s">
        <v>2151</v>
      </c>
      <c r="B1284" s="11">
        <v>45274</v>
      </c>
      <c r="C1284" s="5" t="s">
        <v>416</v>
      </c>
      <c r="D1284" s="5" t="s">
        <v>43</v>
      </c>
      <c r="E1284" s="5" t="s">
        <v>25</v>
      </c>
      <c r="F1284" s="5">
        <v>4</v>
      </c>
      <c r="G1284" s="19">
        <v>0.1</v>
      </c>
      <c r="H1284" s="5" t="s">
        <v>454</v>
      </c>
      <c r="I1284" s="10">
        <f>IF(OR(D1284="", F1284=""), "", F1284 * VLOOKUP(D1284, Products!A:E, 5, FALSE) * (1 - G1284))</f>
        <v>6025.2840000000006</v>
      </c>
      <c r="J1284" s="10"/>
    </row>
    <row r="1285" spans="1:10" ht="15.75" customHeight="1" x14ac:dyDescent="0.3">
      <c r="A1285" s="5" t="s">
        <v>2152</v>
      </c>
      <c r="B1285" s="11">
        <v>45470</v>
      </c>
      <c r="C1285" s="5" t="s">
        <v>872</v>
      </c>
      <c r="D1285" s="5" t="s">
        <v>262</v>
      </c>
      <c r="E1285" s="5" t="s">
        <v>21</v>
      </c>
      <c r="F1285" s="5">
        <v>2</v>
      </c>
      <c r="G1285" s="19">
        <v>0.1</v>
      </c>
      <c r="H1285" s="5" t="s">
        <v>454</v>
      </c>
      <c r="I1285" s="10">
        <f>IF(OR(D1285="", F1285=""), "", F1285 * VLOOKUP(D1285, Products!A:E, 5, FALSE) * (1 - G1285))</f>
        <v>816.51600000000008</v>
      </c>
      <c r="J1285" s="10"/>
    </row>
    <row r="1286" spans="1:10" ht="15.75" customHeight="1" x14ac:dyDescent="0.3">
      <c r="A1286" s="5" t="s">
        <v>2153</v>
      </c>
      <c r="B1286" s="11">
        <v>45533</v>
      </c>
      <c r="C1286" s="5" t="s">
        <v>600</v>
      </c>
      <c r="D1286" s="5" t="s">
        <v>128</v>
      </c>
      <c r="E1286" s="5" t="s">
        <v>25</v>
      </c>
      <c r="F1286" s="5">
        <v>5</v>
      </c>
      <c r="G1286" s="19">
        <v>0.05</v>
      </c>
      <c r="H1286" s="5" t="s">
        <v>454</v>
      </c>
      <c r="I1286" s="10">
        <f>IF(OR(D1286="", F1286=""), "", F1286 * VLOOKUP(D1286, Products!A:E, 5, FALSE) * (1 - G1286))</f>
        <v>1538.6200000000001</v>
      </c>
      <c r="J1286" s="10"/>
    </row>
    <row r="1287" spans="1:10" ht="15.75" customHeight="1" x14ac:dyDescent="0.3">
      <c r="A1287" s="5" t="s">
        <v>2154</v>
      </c>
      <c r="B1287" s="11">
        <v>45339</v>
      </c>
      <c r="C1287" s="5" t="s">
        <v>338</v>
      </c>
      <c r="D1287" s="5" t="s">
        <v>122</v>
      </c>
      <c r="E1287" s="5" t="s">
        <v>25</v>
      </c>
      <c r="F1287" s="5">
        <v>2</v>
      </c>
      <c r="G1287" s="19">
        <v>0.05</v>
      </c>
      <c r="H1287" s="5" t="s">
        <v>697</v>
      </c>
      <c r="I1287" s="10">
        <f>IF(OR(D1287="", F1287=""), "", F1287 * VLOOKUP(D1287, Products!A:E, 5, FALSE) * (1 - G1287))</f>
        <v>3349.5479999999998</v>
      </c>
      <c r="J1287" s="10"/>
    </row>
    <row r="1288" spans="1:10" ht="15.75" customHeight="1" x14ac:dyDescent="0.3">
      <c r="A1288" s="5" t="s">
        <v>2155</v>
      </c>
      <c r="B1288" s="11">
        <v>45893</v>
      </c>
      <c r="C1288" s="5" t="s">
        <v>250</v>
      </c>
      <c r="D1288" s="5" t="s">
        <v>95</v>
      </c>
      <c r="E1288" s="5" t="s">
        <v>21</v>
      </c>
      <c r="F1288" s="5">
        <v>3</v>
      </c>
      <c r="G1288" s="19">
        <v>0.05</v>
      </c>
      <c r="H1288" s="5" t="s">
        <v>637</v>
      </c>
      <c r="I1288" s="10">
        <f>IF(OR(D1288="", F1288=""), "", F1288 * VLOOKUP(D1288, Products!A:E, 5, FALSE) * (1 - G1288))</f>
        <v>3826.8374999999996</v>
      </c>
      <c r="J1288" s="10"/>
    </row>
    <row r="1289" spans="1:10" ht="15.75" customHeight="1" x14ac:dyDescent="0.3">
      <c r="A1289" s="5" t="s">
        <v>2156</v>
      </c>
      <c r="B1289" s="11">
        <v>45213</v>
      </c>
      <c r="C1289" s="5" t="s">
        <v>416</v>
      </c>
      <c r="D1289" s="5" t="s">
        <v>43</v>
      </c>
      <c r="E1289" s="5" t="s">
        <v>29</v>
      </c>
      <c r="F1289" s="5">
        <v>2</v>
      </c>
      <c r="G1289" s="19">
        <v>0.05</v>
      </c>
      <c r="H1289" s="5" t="s">
        <v>776</v>
      </c>
      <c r="I1289" s="10">
        <f>IF(OR(D1289="", F1289=""), "", F1289 * VLOOKUP(D1289, Products!A:E, 5, FALSE) * (1 - G1289))</f>
        <v>3180.011</v>
      </c>
      <c r="J1289" s="10"/>
    </row>
    <row r="1290" spans="1:10" ht="15.75" customHeight="1" x14ac:dyDescent="0.3">
      <c r="A1290" s="5" t="s">
        <v>2157</v>
      </c>
      <c r="B1290" s="11">
        <v>45540</v>
      </c>
      <c r="C1290" s="5" t="s">
        <v>602</v>
      </c>
      <c r="D1290" s="5" t="s">
        <v>256</v>
      </c>
      <c r="E1290" s="5" t="s">
        <v>29</v>
      </c>
      <c r="F1290" s="5">
        <v>3</v>
      </c>
      <c r="G1290" s="19">
        <v>0.05</v>
      </c>
      <c r="H1290" s="5" t="s">
        <v>454</v>
      </c>
      <c r="I1290" s="10">
        <f>IF(OR(D1290="", F1290=""), "", F1290 * VLOOKUP(D1290, Products!A:E, 5, FALSE) * (1 - G1290))</f>
        <v>4659.7784999999994</v>
      </c>
      <c r="J1290" s="10"/>
    </row>
    <row r="1291" spans="1:10" ht="15.75" customHeight="1" x14ac:dyDescent="0.3">
      <c r="A1291" s="5" t="s">
        <v>2158</v>
      </c>
      <c r="B1291" s="11">
        <v>45513</v>
      </c>
      <c r="C1291" s="5" t="s">
        <v>593</v>
      </c>
      <c r="D1291" s="5" t="s">
        <v>140</v>
      </c>
      <c r="E1291" s="5" t="s">
        <v>37</v>
      </c>
      <c r="F1291" s="5">
        <v>2</v>
      </c>
      <c r="G1291" s="19">
        <v>0.1</v>
      </c>
      <c r="H1291" s="5" t="s">
        <v>776</v>
      </c>
      <c r="I1291" s="10">
        <f>IF(OR(D1291="", F1291=""), "", F1291 * VLOOKUP(D1291, Products!A:E, 5, FALSE) * (1 - G1291))</f>
        <v>46.026000000000003</v>
      </c>
      <c r="J1291" s="10"/>
    </row>
    <row r="1292" spans="1:10" ht="15.75" customHeight="1" x14ac:dyDescent="0.3">
      <c r="A1292" s="5" t="s">
        <v>2159</v>
      </c>
      <c r="B1292" s="11">
        <v>45905</v>
      </c>
      <c r="C1292" s="5" t="s">
        <v>113</v>
      </c>
      <c r="D1292" s="5" t="s">
        <v>206</v>
      </c>
      <c r="E1292" s="5" t="s">
        <v>33</v>
      </c>
      <c r="F1292" s="5">
        <v>4</v>
      </c>
      <c r="G1292" s="19">
        <v>0.05</v>
      </c>
      <c r="H1292" s="5" t="s">
        <v>637</v>
      </c>
      <c r="I1292" s="10">
        <f>IF(OR(D1292="", F1292=""), "", F1292 * VLOOKUP(D1292, Products!A:E, 5, FALSE) * (1 - G1292))</f>
        <v>1157.8979999999999</v>
      </c>
      <c r="J1292" s="10"/>
    </row>
    <row r="1293" spans="1:10" ht="15.75" customHeight="1" x14ac:dyDescent="0.3">
      <c r="A1293" s="5" t="s">
        <v>2160</v>
      </c>
      <c r="B1293" s="11">
        <v>45627</v>
      </c>
      <c r="C1293" s="5" t="s">
        <v>474</v>
      </c>
      <c r="D1293" s="5" t="s">
        <v>226</v>
      </c>
      <c r="E1293" s="5" t="s">
        <v>25</v>
      </c>
      <c r="F1293" s="5">
        <v>1</v>
      </c>
      <c r="G1293" s="19">
        <v>0.1</v>
      </c>
      <c r="H1293" s="5" t="s">
        <v>454</v>
      </c>
      <c r="I1293" s="10">
        <f>IF(OR(D1293="", F1293=""), "", F1293 * VLOOKUP(D1293, Products!A:E, 5, FALSE) * (1 - G1293))</f>
        <v>1351.3140000000001</v>
      </c>
      <c r="J1293" s="10"/>
    </row>
    <row r="1294" spans="1:10" ht="15.75" customHeight="1" x14ac:dyDescent="0.3">
      <c r="A1294" s="5" t="s">
        <v>2161</v>
      </c>
      <c r="B1294" s="11">
        <v>45753</v>
      </c>
      <c r="C1294" s="5" t="s">
        <v>618</v>
      </c>
      <c r="D1294" s="5" t="s">
        <v>74</v>
      </c>
      <c r="E1294" s="5" t="s">
        <v>29</v>
      </c>
      <c r="F1294" s="5">
        <v>5</v>
      </c>
      <c r="G1294" s="19">
        <v>0.05</v>
      </c>
      <c r="H1294" s="5" t="s">
        <v>637</v>
      </c>
      <c r="I1294" s="10">
        <f>IF(OR(D1294="", F1294=""), "", F1294 * VLOOKUP(D1294, Products!A:E, 5, FALSE) * (1 - G1294))</f>
        <v>5672.0699999999988</v>
      </c>
      <c r="J1294" s="10"/>
    </row>
    <row r="1295" spans="1:10" ht="15.75" customHeight="1" x14ac:dyDescent="0.3">
      <c r="A1295" s="5" t="s">
        <v>2162</v>
      </c>
      <c r="B1295" s="11">
        <v>45856</v>
      </c>
      <c r="C1295" s="5" t="s">
        <v>491</v>
      </c>
      <c r="D1295" s="5" t="s">
        <v>180</v>
      </c>
      <c r="E1295" s="5" t="s">
        <v>21</v>
      </c>
      <c r="F1295" s="5">
        <v>4</v>
      </c>
      <c r="G1295" s="19">
        <v>0</v>
      </c>
      <c r="H1295" s="5" t="s">
        <v>697</v>
      </c>
      <c r="I1295" s="10">
        <f>IF(OR(D1295="", F1295=""), "", F1295 * VLOOKUP(D1295, Products!A:E, 5, FALSE) * (1 - G1295))</f>
        <v>2695.12</v>
      </c>
      <c r="J1295" s="10"/>
    </row>
    <row r="1296" spans="1:10" ht="15.75" customHeight="1" x14ac:dyDescent="0.3">
      <c r="A1296" s="5" t="s">
        <v>2163</v>
      </c>
      <c r="B1296" s="11">
        <v>45295</v>
      </c>
      <c r="C1296" s="5" t="s">
        <v>662</v>
      </c>
      <c r="D1296" s="5" t="s">
        <v>162</v>
      </c>
      <c r="E1296" s="5" t="s">
        <v>37</v>
      </c>
      <c r="F1296" s="5">
        <v>1</v>
      </c>
      <c r="G1296" s="19">
        <v>0.1</v>
      </c>
      <c r="H1296" s="5" t="s">
        <v>776</v>
      </c>
      <c r="I1296" s="10">
        <f>IF(OR(D1296="", F1296=""), "", F1296 * VLOOKUP(D1296, Products!A:E, 5, FALSE) * (1 - G1296))</f>
        <v>386.23500000000001</v>
      </c>
      <c r="J1296" s="10"/>
    </row>
    <row r="1297" spans="1:10" ht="15.75" customHeight="1" x14ac:dyDescent="0.3">
      <c r="A1297" s="5" t="s">
        <v>2164</v>
      </c>
      <c r="B1297" s="11">
        <v>45632</v>
      </c>
      <c r="C1297" s="5" t="s">
        <v>550</v>
      </c>
      <c r="D1297" s="5" t="s">
        <v>65</v>
      </c>
      <c r="E1297" s="5" t="s">
        <v>37</v>
      </c>
      <c r="F1297" s="5">
        <v>2</v>
      </c>
      <c r="G1297" s="19">
        <v>0.15</v>
      </c>
      <c r="H1297" s="5" t="s">
        <v>454</v>
      </c>
      <c r="I1297" s="10">
        <f>IF(OR(D1297="", F1297=""), "", F1297 * VLOOKUP(D1297, Products!A:E, 5, FALSE) * (1 - G1297))</f>
        <v>2506.0039999999999</v>
      </c>
      <c r="J1297" s="10"/>
    </row>
    <row r="1298" spans="1:10" ht="15.75" customHeight="1" x14ac:dyDescent="0.3">
      <c r="A1298" s="5" t="s">
        <v>2165</v>
      </c>
      <c r="B1298" s="11">
        <v>45757</v>
      </c>
      <c r="C1298" s="5" t="s">
        <v>215</v>
      </c>
      <c r="D1298" s="5" t="s">
        <v>276</v>
      </c>
      <c r="E1298" s="5" t="s">
        <v>29</v>
      </c>
      <c r="F1298" s="5">
        <v>1</v>
      </c>
      <c r="G1298" s="19">
        <v>0.05</v>
      </c>
      <c r="H1298" s="5" t="s">
        <v>697</v>
      </c>
      <c r="I1298" s="10">
        <f>IF(OR(D1298="", F1298=""), "", F1298 * VLOOKUP(D1298, Products!A:E, 5, FALSE) * (1 - G1298))</f>
        <v>1137.3209999999999</v>
      </c>
      <c r="J1298" s="10"/>
    </row>
    <row r="1299" spans="1:10" ht="15.75" customHeight="1" x14ac:dyDescent="0.3">
      <c r="A1299" s="5" t="s">
        <v>2166</v>
      </c>
      <c r="B1299" s="11">
        <v>45835</v>
      </c>
      <c r="C1299" s="5" t="s">
        <v>869</v>
      </c>
      <c r="D1299" s="5" t="s">
        <v>232</v>
      </c>
      <c r="E1299" s="5" t="s">
        <v>29</v>
      </c>
      <c r="F1299" s="5">
        <v>2</v>
      </c>
      <c r="G1299" s="19">
        <v>0</v>
      </c>
      <c r="H1299" s="5" t="s">
        <v>776</v>
      </c>
      <c r="I1299" s="10">
        <f>IF(OR(D1299="", F1299=""), "", F1299 * VLOOKUP(D1299, Products!A:E, 5, FALSE) * (1 - G1299))</f>
        <v>3905.3</v>
      </c>
      <c r="J1299" s="10"/>
    </row>
    <row r="1300" spans="1:10" ht="15.75" customHeight="1" x14ac:dyDescent="0.3">
      <c r="A1300" s="5" t="s">
        <v>2167</v>
      </c>
      <c r="B1300" s="11">
        <v>45266</v>
      </c>
      <c r="C1300" s="5" t="s">
        <v>674</v>
      </c>
      <c r="D1300" s="5" t="s">
        <v>200</v>
      </c>
      <c r="E1300" s="5" t="s">
        <v>33</v>
      </c>
      <c r="F1300" s="5">
        <v>1</v>
      </c>
      <c r="G1300" s="19">
        <v>0.15</v>
      </c>
      <c r="H1300" s="5" t="s">
        <v>697</v>
      </c>
      <c r="I1300" s="10">
        <f>IF(OR(D1300="", F1300=""), "", F1300 * VLOOKUP(D1300, Products!A:E, 5, FALSE) * (1 - G1300))</f>
        <v>931.36199999999997</v>
      </c>
      <c r="J1300" s="10"/>
    </row>
    <row r="1301" spans="1:10" ht="15.75" customHeight="1" x14ac:dyDescent="0.3">
      <c r="A1301" s="5" t="s">
        <v>2168</v>
      </c>
      <c r="B1301" s="11">
        <v>45291</v>
      </c>
      <c r="C1301" s="5" t="s">
        <v>631</v>
      </c>
      <c r="D1301" s="5" t="s">
        <v>50</v>
      </c>
      <c r="E1301" s="5" t="s">
        <v>29</v>
      </c>
      <c r="F1301" s="5">
        <v>5</v>
      </c>
      <c r="G1301" s="19">
        <v>0</v>
      </c>
      <c r="H1301" s="5" t="s">
        <v>454</v>
      </c>
      <c r="I1301" s="10">
        <f>IF(OR(D1301="", F1301=""), "", F1301 * VLOOKUP(D1301, Products!A:E, 5, FALSE) * (1 - G1301))</f>
        <v>1688.15</v>
      </c>
      <c r="J1301" s="10"/>
    </row>
    <row r="1302" spans="1:10" ht="15.75" customHeight="1" x14ac:dyDescent="0.3">
      <c r="A1302" s="5" t="s">
        <v>2169</v>
      </c>
      <c r="B1302" s="11">
        <v>45775</v>
      </c>
      <c r="C1302" s="5" t="s">
        <v>546</v>
      </c>
      <c r="D1302" s="5" t="s">
        <v>140</v>
      </c>
      <c r="E1302" s="5" t="s">
        <v>25</v>
      </c>
      <c r="F1302" s="5">
        <v>4</v>
      </c>
      <c r="G1302" s="19">
        <v>0.1</v>
      </c>
      <c r="H1302" s="5" t="s">
        <v>637</v>
      </c>
      <c r="I1302" s="10">
        <f>IF(OR(D1302="", F1302=""), "", F1302 * VLOOKUP(D1302, Products!A:E, 5, FALSE) * (1 - G1302))</f>
        <v>92.052000000000007</v>
      </c>
      <c r="J1302" s="10"/>
    </row>
    <row r="1303" spans="1:10" ht="15.75" customHeight="1" x14ac:dyDescent="0.3">
      <c r="A1303" s="5" t="s">
        <v>2170</v>
      </c>
      <c r="B1303" s="11">
        <v>45584</v>
      </c>
      <c r="C1303" s="5" t="s">
        <v>526</v>
      </c>
      <c r="D1303" s="5" t="s">
        <v>82</v>
      </c>
      <c r="E1303" s="5" t="s">
        <v>21</v>
      </c>
      <c r="F1303" s="5">
        <v>3</v>
      </c>
      <c r="G1303" s="19">
        <v>0.1</v>
      </c>
      <c r="H1303" s="5" t="s">
        <v>454</v>
      </c>
      <c r="I1303" s="10">
        <f>IF(OR(D1303="", F1303=""), "", F1303 * VLOOKUP(D1303, Products!A:E, 5, FALSE) * (1 - G1303))</f>
        <v>3221.3429999999998</v>
      </c>
      <c r="J1303" s="10"/>
    </row>
    <row r="1304" spans="1:10" ht="15.75" customHeight="1" x14ac:dyDescent="0.3">
      <c r="A1304" s="5" t="s">
        <v>2171</v>
      </c>
      <c r="B1304" s="11">
        <v>45491</v>
      </c>
      <c r="C1304" s="5" t="s">
        <v>462</v>
      </c>
      <c r="D1304" s="5" t="s">
        <v>50</v>
      </c>
      <c r="E1304" s="5" t="s">
        <v>33</v>
      </c>
      <c r="F1304" s="5">
        <v>5</v>
      </c>
      <c r="G1304" s="19">
        <v>0</v>
      </c>
      <c r="H1304" s="5" t="s">
        <v>697</v>
      </c>
      <c r="I1304" s="10">
        <f>IF(OR(D1304="", F1304=""), "", F1304 * VLOOKUP(D1304, Products!A:E, 5, FALSE) * (1 - G1304))</f>
        <v>1688.15</v>
      </c>
      <c r="J1304" s="10"/>
    </row>
    <row r="1305" spans="1:10" ht="15.75" customHeight="1" x14ac:dyDescent="0.3">
      <c r="A1305" s="5" t="s">
        <v>2172</v>
      </c>
      <c r="B1305" s="11">
        <v>45777</v>
      </c>
      <c r="C1305" s="5" t="s">
        <v>837</v>
      </c>
      <c r="D1305" s="5" t="s">
        <v>256</v>
      </c>
      <c r="E1305" s="5" t="s">
        <v>33</v>
      </c>
      <c r="F1305" s="5">
        <v>4</v>
      </c>
      <c r="G1305" s="19">
        <v>0.15</v>
      </c>
      <c r="H1305" s="5" t="s">
        <v>454</v>
      </c>
      <c r="I1305" s="10">
        <f>IF(OR(D1305="", F1305=""), "", F1305 * VLOOKUP(D1305, Products!A:E, 5, FALSE) * (1 - G1305))</f>
        <v>5559.0339999999997</v>
      </c>
      <c r="J1305" s="10"/>
    </row>
    <row r="1306" spans="1:10" ht="15.75" customHeight="1" x14ac:dyDescent="0.3">
      <c r="A1306" s="5" t="s">
        <v>2173</v>
      </c>
      <c r="B1306" s="11">
        <v>45791</v>
      </c>
      <c r="C1306" s="5" t="s">
        <v>317</v>
      </c>
      <c r="D1306" s="5" t="s">
        <v>47</v>
      </c>
      <c r="E1306" s="5" t="s">
        <v>33</v>
      </c>
      <c r="F1306" s="5">
        <v>4</v>
      </c>
      <c r="G1306" s="19">
        <v>0.05</v>
      </c>
      <c r="H1306" s="5" t="s">
        <v>776</v>
      </c>
      <c r="I1306" s="10">
        <f>IF(OR(D1306="", F1306=""), "", F1306 * VLOOKUP(D1306, Products!A:E, 5, FALSE) * (1 - G1306))</f>
        <v>3111.288</v>
      </c>
      <c r="J1306" s="10"/>
    </row>
    <row r="1307" spans="1:10" ht="15.75" customHeight="1" x14ac:dyDescent="0.3">
      <c r="A1307" s="5" t="s">
        <v>2174</v>
      </c>
      <c r="B1307" s="11">
        <v>45890</v>
      </c>
      <c r="C1307" s="5" t="s">
        <v>296</v>
      </c>
      <c r="D1307" s="5" t="s">
        <v>262</v>
      </c>
      <c r="E1307" s="5" t="s">
        <v>25</v>
      </c>
      <c r="F1307" s="5">
        <v>3</v>
      </c>
      <c r="G1307" s="19">
        <v>0.15</v>
      </c>
      <c r="H1307" s="5" t="s">
        <v>454</v>
      </c>
      <c r="I1307" s="10">
        <f>IF(OR(D1307="", F1307=""), "", F1307 * VLOOKUP(D1307, Products!A:E, 5, FALSE) * (1 - G1307))</f>
        <v>1156.731</v>
      </c>
      <c r="J1307" s="10"/>
    </row>
    <row r="1308" spans="1:10" ht="15.75" customHeight="1" x14ac:dyDescent="0.3">
      <c r="A1308" s="5" t="s">
        <v>2175</v>
      </c>
      <c r="B1308" s="11">
        <v>45648</v>
      </c>
      <c r="C1308" s="5" t="s">
        <v>177</v>
      </c>
      <c r="D1308" s="5" t="s">
        <v>168</v>
      </c>
      <c r="E1308" s="5" t="s">
        <v>37</v>
      </c>
      <c r="F1308" s="5">
        <v>4</v>
      </c>
      <c r="G1308" s="19">
        <v>0</v>
      </c>
      <c r="H1308" s="5" t="s">
        <v>776</v>
      </c>
      <c r="I1308" s="10">
        <f>IF(OR(D1308="", F1308=""), "", F1308 * VLOOKUP(D1308, Products!A:E, 5, FALSE) * (1 - G1308))</f>
        <v>4063.04</v>
      </c>
      <c r="J1308" s="10"/>
    </row>
    <row r="1309" spans="1:10" ht="15.75" customHeight="1" x14ac:dyDescent="0.3">
      <c r="A1309" s="5" t="s">
        <v>2176</v>
      </c>
      <c r="B1309" s="11">
        <v>45351</v>
      </c>
      <c r="C1309" s="5" t="s">
        <v>557</v>
      </c>
      <c r="D1309" s="5" t="s">
        <v>193</v>
      </c>
      <c r="E1309" s="5" t="s">
        <v>29</v>
      </c>
      <c r="F1309" s="5">
        <v>4</v>
      </c>
      <c r="G1309" s="19">
        <v>0.05</v>
      </c>
      <c r="H1309" s="5" t="s">
        <v>637</v>
      </c>
      <c r="I1309" s="10">
        <f>IF(OR(D1309="", F1309=""), "", F1309 * VLOOKUP(D1309, Products!A:E, 5, FALSE) * (1 - G1309))</f>
        <v>111.11199999999999</v>
      </c>
      <c r="J1309" s="10"/>
    </row>
    <row r="1310" spans="1:10" ht="15.75" customHeight="1" x14ac:dyDescent="0.3">
      <c r="A1310" s="5" t="s">
        <v>2177</v>
      </c>
      <c r="B1310" s="11">
        <v>45616</v>
      </c>
      <c r="C1310" s="5" t="s">
        <v>819</v>
      </c>
      <c r="D1310" s="5" t="s">
        <v>175</v>
      </c>
      <c r="E1310" s="5" t="s">
        <v>37</v>
      </c>
      <c r="F1310" s="5">
        <v>2</v>
      </c>
      <c r="G1310" s="19">
        <v>0.05</v>
      </c>
      <c r="H1310" s="5" t="s">
        <v>697</v>
      </c>
      <c r="I1310" s="10">
        <f>IF(OR(D1310="", F1310=""), "", F1310 * VLOOKUP(D1310, Products!A:E, 5, FALSE) * (1 - G1310))</f>
        <v>2417.2370000000001</v>
      </c>
      <c r="J1310" s="10"/>
    </row>
    <row r="1311" spans="1:10" ht="15.75" customHeight="1" x14ac:dyDescent="0.3">
      <c r="A1311" s="5" t="s">
        <v>2178</v>
      </c>
      <c r="B1311" s="11">
        <v>45240</v>
      </c>
      <c r="C1311" s="5" t="s">
        <v>532</v>
      </c>
      <c r="D1311" s="5" t="s">
        <v>115</v>
      </c>
      <c r="E1311" s="5" t="s">
        <v>29</v>
      </c>
      <c r="F1311" s="5">
        <v>5</v>
      </c>
      <c r="G1311" s="19">
        <v>0.15</v>
      </c>
      <c r="H1311" s="5" t="s">
        <v>776</v>
      </c>
      <c r="I1311" s="10">
        <f>IF(OR(D1311="", F1311=""), "", F1311 * VLOOKUP(D1311, Products!A:E, 5, FALSE) * (1 - G1311))</f>
        <v>5295.9674999999988</v>
      </c>
      <c r="J1311" s="10"/>
    </row>
    <row r="1312" spans="1:10" ht="15.75" customHeight="1" x14ac:dyDescent="0.3">
      <c r="A1312" s="5" t="s">
        <v>2179</v>
      </c>
      <c r="B1312" s="11">
        <v>45745</v>
      </c>
      <c r="C1312" s="5" t="s">
        <v>458</v>
      </c>
      <c r="D1312" s="5" t="s">
        <v>262</v>
      </c>
      <c r="E1312" s="5" t="s">
        <v>37</v>
      </c>
      <c r="F1312" s="5">
        <v>3</v>
      </c>
      <c r="G1312" s="19">
        <v>0.15</v>
      </c>
      <c r="H1312" s="5" t="s">
        <v>637</v>
      </c>
      <c r="I1312" s="10">
        <f>IF(OR(D1312="", F1312=""), "", F1312 * VLOOKUP(D1312, Products!A:E, 5, FALSE) * (1 - G1312))</f>
        <v>1156.731</v>
      </c>
      <c r="J1312" s="10"/>
    </row>
    <row r="1313" spans="1:10" ht="15.75" customHeight="1" x14ac:dyDescent="0.3">
      <c r="A1313" s="5" t="s">
        <v>2180</v>
      </c>
      <c r="B1313" s="11">
        <v>45826</v>
      </c>
      <c r="C1313" s="5" t="s">
        <v>380</v>
      </c>
      <c r="D1313" s="5" t="s">
        <v>206</v>
      </c>
      <c r="E1313" s="5" t="s">
        <v>21</v>
      </c>
      <c r="F1313" s="5">
        <v>1</v>
      </c>
      <c r="G1313" s="19">
        <v>0.05</v>
      </c>
      <c r="H1313" s="5" t="s">
        <v>454</v>
      </c>
      <c r="I1313" s="10">
        <f>IF(OR(D1313="", F1313=""), "", F1313 * VLOOKUP(D1313, Products!A:E, 5, FALSE) * (1 - G1313))</f>
        <v>289.47449999999998</v>
      </c>
      <c r="J1313" s="10"/>
    </row>
    <row r="1314" spans="1:10" ht="15.75" customHeight="1" x14ac:dyDescent="0.3">
      <c r="A1314" s="5" t="s">
        <v>2181</v>
      </c>
      <c r="B1314" s="11">
        <v>45864</v>
      </c>
      <c r="C1314" s="5" t="s">
        <v>455</v>
      </c>
      <c r="D1314" s="5" t="s">
        <v>70</v>
      </c>
      <c r="E1314" s="5" t="s">
        <v>33</v>
      </c>
      <c r="F1314" s="5">
        <v>1</v>
      </c>
      <c r="G1314" s="19">
        <v>0.1</v>
      </c>
      <c r="H1314" s="5" t="s">
        <v>637</v>
      </c>
      <c r="I1314" s="10">
        <f>IF(OR(D1314="", F1314=""), "", F1314 * VLOOKUP(D1314, Products!A:E, 5, FALSE) * (1 - G1314))</f>
        <v>110.871</v>
      </c>
      <c r="J1314" s="10"/>
    </row>
    <row r="1315" spans="1:10" ht="15.75" customHeight="1" x14ac:dyDescent="0.3">
      <c r="A1315" s="5" t="s">
        <v>2182</v>
      </c>
      <c r="B1315" s="11">
        <v>45779</v>
      </c>
      <c r="C1315" s="5" t="s">
        <v>334</v>
      </c>
      <c r="D1315" s="5" t="s">
        <v>82</v>
      </c>
      <c r="E1315" s="5" t="s">
        <v>33</v>
      </c>
      <c r="F1315" s="5">
        <v>2</v>
      </c>
      <c r="G1315" s="19">
        <v>0</v>
      </c>
      <c r="H1315" s="5" t="s">
        <v>776</v>
      </c>
      <c r="I1315" s="10">
        <f>IF(OR(D1315="", F1315=""), "", F1315 * VLOOKUP(D1315, Products!A:E, 5, FALSE) * (1 - G1315))</f>
        <v>2386.1799999999998</v>
      </c>
      <c r="J1315" s="10"/>
    </row>
    <row r="1316" spans="1:10" ht="15.75" customHeight="1" x14ac:dyDescent="0.3">
      <c r="A1316" s="5" t="s">
        <v>2183</v>
      </c>
      <c r="B1316" s="11">
        <v>45678</v>
      </c>
      <c r="C1316" s="5" t="s">
        <v>865</v>
      </c>
      <c r="D1316" s="5" t="s">
        <v>140</v>
      </c>
      <c r="E1316" s="5" t="s">
        <v>29</v>
      </c>
      <c r="F1316" s="5">
        <v>4</v>
      </c>
      <c r="G1316" s="19">
        <v>0</v>
      </c>
      <c r="H1316" s="5" t="s">
        <v>454</v>
      </c>
      <c r="I1316" s="10">
        <f>IF(OR(D1316="", F1316=""), "", F1316 * VLOOKUP(D1316, Products!A:E, 5, FALSE) * (1 - G1316))</f>
        <v>102.28</v>
      </c>
      <c r="J1316" s="10"/>
    </row>
    <row r="1317" spans="1:10" ht="15.75" customHeight="1" x14ac:dyDescent="0.3">
      <c r="A1317" s="5" t="s">
        <v>2184</v>
      </c>
      <c r="B1317" s="11">
        <v>45250</v>
      </c>
      <c r="C1317" s="5" t="s">
        <v>711</v>
      </c>
      <c r="D1317" s="5" t="s">
        <v>285</v>
      </c>
      <c r="E1317" s="5" t="s">
        <v>33</v>
      </c>
      <c r="F1317" s="5">
        <v>5</v>
      </c>
      <c r="G1317" s="19">
        <v>0.15</v>
      </c>
      <c r="H1317" s="5" t="s">
        <v>454</v>
      </c>
      <c r="I1317" s="10">
        <f>IF(OR(D1317="", F1317=""), "", F1317 * VLOOKUP(D1317, Products!A:E, 5, FALSE) * (1 - G1317))</f>
        <v>1650.105</v>
      </c>
      <c r="J1317" s="10"/>
    </row>
    <row r="1318" spans="1:10" ht="15.75" customHeight="1" x14ac:dyDescent="0.3">
      <c r="A1318" s="5" t="s">
        <v>2185</v>
      </c>
      <c r="B1318" s="11">
        <v>45423</v>
      </c>
      <c r="C1318" s="5" t="s">
        <v>750</v>
      </c>
      <c r="D1318" s="5" t="s">
        <v>43</v>
      </c>
      <c r="E1318" s="5" t="s">
        <v>33</v>
      </c>
      <c r="F1318" s="5">
        <v>1</v>
      </c>
      <c r="G1318" s="19">
        <v>0.1</v>
      </c>
      <c r="H1318" s="5" t="s">
        <v>776</v>
      </c>
      <c r="I1318" s="10">
        <f>IF(OR(D1318="", F1318=""), "", F1318 * VLOOKUP(D1318, Products!A:E, 5, FALSE) * (1 - G1318))</f>
        <v>1506.3210000000001</v>
      </c>
      <c r="J1318" s="10"/>
    </row>
    <row r="1319" spans="1:10" ht="15.75" customHeight="1" x14ac:dyDescent="0.3">
      <c r="A1319" s="5" t="s">
        <v>2186</v>
      </c>
      <c r="B1319" s="11">
        <v>45313</v>
      </c>
      <c r="C1319" s="5" t="s">
        <v>416</v>
      </c>
      <c r="D1319" s="5" t="s">
        <v>276</v>
      </c>
      <c r="E1319" s="5" t="s">
        <v>25</v>
      </c>
      <c r="F1319" s="5">
        <v>5</v>
      </c>
      <c r="G1319" s="19">
        <v>0</v>
      </c>
      <c r="H1319" s="5" t="s">
        <v>697</v>
      </c>
      <c r="I1319" s="10">
        <f>IF(OR(D1319="", F1319=""), "", F1319 * VLOOKUP(D1319, Products!A:E, 5, FALSE) * (1 - G1319))</f>
        <v>5985.9000000000005</v>
      </c>
      <c r="J1319" s="10"/>
    </row>
    <row r="1320" spans="1:10" ht="15.75" customHeight="1" x14ac:dyDescent="0.3">
      <c r="A1320" s="5" t="s">
        <v>2187</v>
      </c>
      <c r="B1320" s="11">
        <v>45440</v>
      </c>
      <c r="C1320" s="5" t="s">
        <v>474</v>
      </c>
      <c r="D1320" s="5" t="s">
        <v>54</v>
      </c>
      <c r="E1320" s="5" t="s">
        <v>33</v>
      </c>
      <c r="F1320" s="5">
        <v>2</v>
      </c>
      <c r="G1320" s="19">
        <v>0.1</v>
      </c>
      <c r="H1320" s="5" t="s">
        <v>697</v>
      </c>
      <c r="I1320" s="10">
        <f>IF(OR(D1320="", F1320=""), "", F1320 * VLOOKUP(D1320, Products!A:E, 5, FALSE) * (1 - G1320))</f>
        <v>3336.7860000000001</v>
      </c>
      <c r="J1320" s="10"/>
    </row>
    <row r="1321" spans="1:10" ht="15.75" customHeight="1" x14ac:dyDescent="0.3">
      <c r="A1321" s="5" t="s">
        <v>2188</v>
      </c>
      <c r="B1321" s="11">
        <v>45642</v>
      </c>
      <c r="C1321" s="5" t="s">
        <v>159</v>
      </c>
      <c r="D1321" s="5" t="s">
        <v>285</v>
      </c>
      <c r="E1321" s="5" t="s">
        <v>29</v>
      </c>
      <c r="F1321" s="5">
        <v>3</v>
      </c>
      <c r="G1321" s="19">
        <v>0.15</v>
      </c>
      <c r="H1321" s="5" t="s">
        <v>454</v>
      </c>
      <c r="I1321" s="10">
        <f>IF(OR(D1321="", F1321=""), "", F1321 * VLOOKUP(D1321, Products!A:E, 5, FALSE) * (1 - G1321))</f>
        <v>990.06299999999999</v>
      </c>
      <c r="J1321" s="10"/>
    </row>
    <row r="1322" spans="1:10" ht="15.75" customHeight="1" x14ac:dyDescent="0.3">
      <c r="A1322" s="5" t="s">
        <v>2189</v>
      </c>
      <c r="B1322" s="11">
        <v>45481</v>
      </c>
      <c r="C1322" s="5" t="s">
        <v>155</v>
      </c>
      <c r="D1322" s="5" t="s">
        <v>47</v>
      </c>
      <c r="E1322" s="5" t="s">
        <v>29</v>
      </c>
      <c r="F1322" s="5">
        <v>3</v>
      </c>
      <c r="G1322" s="19">
        <v>0</v>
      </c>
      <c r="H1322" s="5" t="s">
        <v>697</v>
      </c>
      <c r="I1322" s="10">
        <f>IF(OR(D1322="", F1322=""), "", F1322 * VLOOKUP(D1322, Products!A:E, 5, FALSE) * (1 - G1322))</f>
        <v>2456.2799999999997</v>
      </c>
      <c r="J1322" s="10"/>
    </row>
    <row r="1323" spans="1:10" ht="15.75" customHeight="1" x14ac:dyDescent="0.3">
      <c r="A1323" s="5" t="s">
        <v>2190</v>
      </c>
      <c r="B1323" s="11">
        <v>45549</v>
      </c>
      <c r="C1323" s="5" t="s">
        <v>869</v>
      </c>
      <c r="D1323" s="5" t="s">
        <v>134</v>
      </c>
      <c r="E1323" s="5" t="s">
        <v>25</v>
      </c>
      <c r="F1323" s="5">
        <v>1</v>
      </c>
      <c r="G1323" s="19">
        <v>0.05</v>
      </c>
      <c r="H1323" s="5" t="s">
        <v>454</v>
      </c>
      <c r="I1323" s="10">
        <f>IF(OR(D1323="", F1323=""), "", F1323 * VLOOKUP(D1323, Products!A:E, 5, FALSE) * (1 - G1323))</f>
        <v>1165.8779999999999</v>
      </c>
      <c r="J1323" s="10"/>
    </row>
    <row r="1324" spans="1:10" ht="15.75" customHeight="1" x14ac:dyDescent="0.3">
      <c r="A1324" s="5" t="s">
        <v>2191</v>
      </c>
      <c r="B1324" s="11">
        <v>45871</v>
      </c>
      <c r="C1324" s="5" t="s">
        <v>470</v>
      </c>
      <c r="D1324" s="5" t="s">
        <v>122</v>
      </c>
      <c r="E1324" s="5" t="s">
        <v>29</v>
      </c>
      <c r="F1324" s="5">
        <v>3</v>
      </c>
      <c r="G1324" s="19">
        <v>0.1</v>
      </c>
      <c r="H1324" s="5" t="s">
        <v>776</v>
      </c>
      <c r="I1324" s="10">
        <f>IF(OR(D1324="", F1324=""), "", F1324 * VLOOKUP(D1324, Products!A:E, 5, FALSE) * (1 - G1324))</f>
        <v>4759.884</v>
      </c>
      <c r="J1324" s="10"/>
    </row>
    <row r="1325" spans="1:10" ht="15.75" customHeight="1" x14ac:dyDescent="0.3">
      <c r="A1325" s="5" t="s">
        <v>2192</v>
      </c>
      <c r="B1325" s="11">
        <v>45402</v>
      </c>
      <c r="C1325" s="5" t="s">
        <v>671</v>
      </c>
      <c r="D1325" s="5" t="s">
        <v>265</v>
      </c>
      <c r="E1325" s="5" t="s">
        <v>37</v>
      </c>
      <c r="F1325" s="5">
        <v>3</v>
      </c>
      <c r="G1325" s="19">
        <v>0.05</v>
      </c>
      <c r="H1325" s="5" t="s">
        <v>776</v>
      </c>
      <c r="I1325" s="10">
        <f>IF(OR(D1325="", F1325=""), "", F1325 * VLOOKUP(D1325, Products!A:E, 5, FALSE) * (1 - G1325))</f>
        <v>1608.5969999999998</v>
      </c>
      <c r="J1325" s="10"/>
    </row>
    <row r="1326" spans="1:10" ht="15.75" customHeight="1" x14ac:dyDescent="0.3">
      <c r="A1326" s="5" t="s">
        <v>2193</v>
      </c>
      <c r="B1326" s="11">
        <v>45681</v>
      </c>
      <c r="C1326" s="5" t="s">
        <v>292</v>
      </c>
      <c r="D1326" s="5" t="s">
        <v>262</v>
      </c>
      <c r="E1326" s="5" t="s">
        <v>37</v>
      </c>
      <c r="F1326" s="5">
        <v>3</v>
      </c>
      <c r="G1326" s="19">
        <v>0.1</v>
      </c>
      <c r="H1326" s="5" t="s">
        <v>637</v>
      </c>
      <c r="I1326" s="10">
        <f>IF(OR(D1326="", F1326=""), "", F1326 * VLOOKUP(D1326, Products!A:E, 5, FALSE) * (1 - G1326))</f>
        <v>1224.7740000000001</v>
      </c>
      <c r="J1326" s="10"/>
    </row>
    <row r="1327" spans="1:10" ht="15.75" customHeight="1" x14ac:dyDescent="0.3">
      <c r="A1327" s="5" t="s">
        <v>2194</v>
      </c>
      <c r="B1327" s="11">
        <v>45288</v>
      </c>
      <c r="C1327" s="5" t="s">
        <v>560</v>
      </c>
      <c r="D1327" s="5" t="s">
        <v>122</v>
      </c>
      <c r="E1327" s="5" t="s">
        <v>29</v>
      </c>
      <c r="F1327" s="5">
        <v>2</v>
      </c>
      <c r="G1327" s="19">
        <v>0</v>
      </c>
      <c r="H1327" s="5" t="s">
        <v>697</v>
      </c>
      <c r="I1327" s="10">
        <f>IF(OR(D1327="", F1327=""), "", F1327 * VLOOKUP(D1327, Products!A:E, 5, FALSE) * (1 - G1327))</f>
        <v>3525.84</v>
      </c>
      <c r="J1327" s="10"/>
    </row>
    <row r="1328" spans="1:10" ht="15.75" customHeight="1" x14ac:dyDescent="0.3">
      <c r="A1328" s="5" t="s">
        <v>2195</v>
      </c>
      <c r="B1328" s="11">
        <v>45749</v>
      </c>
      <c r="C1328" s="5" t="s">
        <v>308</v>
      </c>
      <c r="D1328" s="5" t="s">
        <v>200</v>
      </c>
      <c r="E1328" s="5" t="s">
        <v>37</v>
      </c>
      <c r="F1328" s="5">
        <v>2</v>
      </c>
      <c r="G1328" s="19">
        <v>0.05</v>
      </c>
      <c r="H1328" s="5" t="s">
        <v>776</v>
      </c>
      <c r="I1328" s="10">
        <f>IF(OR(D1328="", F1328=""), "", F1328 * VLOOKUP(D1328, Products!A:E, 5, FALSE) * (1 - G1328))</f>
        <v>2081.8679999999999</v>
      </c>
      <c r="J1328" s="10"/>
    </row>
    <row r="1329" spans="1:10" ht="15.75" customHeight="1" x14ac:dyDescent="0.3">
      <c r="A1329" s="5" t="s">
        <v>2196</v>
      </c>
      <c r="B1329" s="11">
        <v>45791</v>
      </c>
      <c r="C1329" s="5" t="s">
        <v>563</v>
      </c>
      <c r="D1329" s="5" t="s">
        <v>77</v>
      </c>
      <c r="E1329" s="5" t="s">
        <v>33</v>
      </c>
      <c r="F1329" s="5">
        <v>1</v>
      </c>
      <c r="G1329" s="19">
        <v>0</v>
      </c>
      <c r="H1329" s="5" t="s">
        <v>697</v>
      </c>
      <c r="I1329" s="10">
        <f>IF(OR(D1329="", F1329=""), "", F1329 * VLOOKUP(D1329, Products!A:E, 5, FALSE) * (1 - G1329))</f>
        <v>248.57</v>
      </c>
      <c r="J1329" s="10"/>
    </row>
    <row r="1330" spans="1:10" ht="15.75" customHeight="1" x14ac:dyDescent="0.3">
      <c r="A1330" s="5" t="s">
        <v>2197</v>
      </c>
      <c r="B1330" s="11">
        <v>45437</v>
      </c>
      <c r="C1330" s="5" t="s">
        <v>100</v>
      </c>
      <c r="D1330" s="5" t="s">
        <v>95</v>
      </c>
      <c r="E1330" s="5" t="s">
        <v>33</v>
      </c>
      <c r="F1330" s="5">
        <v>3</v>
      </c>
      <c r="G1330" s="19">
        <v>0.1</v>
      </c>
      <c r="H1330" s="5" t="s">
        <v>454</v>
      </c>
      <c r="I1330" s="10">
        <f>IF(OR(D1330="", F1330=""), "", F1330 * VLOOKUP(D1330, Products!A:E, 5, FALSE) * (1 - G1330))</f>
        <v>3625.4250000000002</v>
      </c>
      <c r="J1330" s="10"/>
    </row>
    <row r="1331" spans="1:10" ht="15.75" customHeight="1" x14ac:dyDescent="0.3">
      <c r="A1331" s="5" t="s">
        <v>2198</v>
      </c>
      <c r="B1331" s="11">
        <v>45453</v>
      </c>
      <c r="C1331" s="5" t="s">
        <v>292</v>
      </c>
      <c r="D1331" s="5" t="s">
        <v>212</v>
      </c>
      <c r="E1331" s="5" t="s">
        <v>33</v>
      </c>
      <c r="F1331" s="5">
        <v>5</v>
      </c>
      <c r="G1331" s="19">
        <v>0.1</v>
      </c>
      <c r="H1331" s="5" t="s">
        <v>697</v>
      </c>
      <c r="I1331" s="10">
        <f>IF(OR(D1331="", F1331=""), "", F1331 * VLOOKUP(D1331, Products!A:E, 5, FALSE) * (1 - G1331))</f>
        <v>8095.3650000000007</v>
      </c>
      <c r="J1331" s="10"/>
    </row>
    <row r="1332" spans="1:10" ht="15.75" customHeight="1" x14ac:dyDescent="0.3">
      <c r="A1332" s="5" t="s">
        <v>2199</v>
      </c>
      <c r="B1332" s="11">
        <v>45550</v>
      </c>
      <c r="C1332" s="5" t="s">
        <v>819</v>
      </c>
      <c r="D1332" s="5" t="s">
        <v>267</v>
      </c>
      <c r="E1332" s="5" t="s">
        <v>29</v>
      </c>
      <c r="F1332" s="5">
        <v>1</v>
      </c>
      <c r="G1332" s="19">
        <v>0</v>
      </c>
      <c r="H1332" s="5" t="s">
        <v>697</v>
      </c>
      <c r="I1332" s="10">
        <f>IF(OR(D1332="", F1332=""), "", F1332 * VLOOKUP(D1332, Products!A:E, 5, FALSE) * (1 - G1332))</f>
        <v>1286.55</v>
      </c>
      <c r="J1332" s="10"/>
    </row>
    <row r="1333" spans="1:10" ht="15.75" customHeight="1" x14ac:dyDescent="0.3">
      <c r="A1333" s="5" t="s">
        <v>2200</v>
      </c>
      <c r="B1333" s="11">
        <v>45764</v>
      </c>
      <c r="C1333" s="5" t="s">
        <v>274</v>
      </c>
      <c r="D1333" s="5" t="s">
        <v>188</v>
      </c>
      <c r="E1333" s="5" t="s">
        <v>25</v>
      </c>
      <c r="F1333" s="5">
        <v>2</v>
      </c>
      <c r="G1333" s="19">
        <v>0.1</v>
      </c>
      <c r="H1333" s="5" t="s">
        <v>697</v>
      </c>
      <c r="I1333" s="10">
        <f>IF(OR(D1333="", F1333=""), "", F1333 * VLOOKUP(D1333, Products!A:E, 5, FALSE) * (1 - G1333))</f>
        <v>2673.09</v>
      </c>
      <c r="J1333" s="10"/>
    </row>
    <row r="1334" spans="1:10" ht="15.75" customHeight="1" x14ac:dyDescent="0.3">
      <c r="A1334" s="5" t="s">
        <v>2201</v>
      </c>
      <c r="B1334" s="11">
        <v>45504</v>
      </c>
      <c r="C1334" s="5" t="s">
        <v>365</v>
      </c>
      <c r="D1334" s="5" t="s">
        <v>267</v>
      </c>
      <c r="E1334" s="5" t="s">
        <v>25</v>
      </c>
      <c r="F1334" s="5">
        <v>1</v>
      </c>
      <c r="G1334" s="19">
        <v>0.15</v>
      </c>
      <c r="H1334" s="5" t="s">
        <v>776</v>
      </c>
      <c r="I1334" s="10">
        <f>IF(OR(D1334="", F1334=""), "", F1334 * VLOOKUP(D1334, Products!A:E, 5, FALSE) * (1 - G1334))</f>
        <v>1093.5674999999999</v>
      </c>
      <c r="J1334" s="10"/>
    </row>
    <row r="1335" spans="1:10" ht="15.75" customHeight="1" x14ac:dyDescent="0.3">
      <c r="A1335" s="5" t="s">
        <v>2202</v>
      </c>
      <c r="B1335" s="11">
        <v>45611</v>
      </c>
      <c r="C1335" s="5" t="s">
        <v>191</v>
      </c>
      <c r="D1335" s="5" t="s">
        <v>119</v>
      </c>
      <c r="E1335" s="5" t="s">
        <v>21</v>
      </c>
      <c r="F1335" s="5">
        <v>4</v>
      </c>
      <c r="G1335" s="19">
        <v>0.15</v>
      </c>
      <c r="H1335" s="5" t="s">
        <v>776</v>
      </c>
      <c r="I1335" s="10">
        <f>IF(OR(D1335="", F1335=""), "", F1335 * VLOOKUP(D1335, Products!A:E, 5, FALSE) * (1 - G1335))</f>
        <v>3671.6260000000002</v>
      </c>
      <c r="J1335" s="10"/>
    </row>
    <row r="1336" spans="1:10" ht="15.75" customHeight="1" x14ac:dyDescent="0.3">
      <c r="A1336" s="5" t="s">
        <v>2203</v>
      </c>
      <c r="B1336" s="11">
        <v>45478</v>
      </c>
      <c r="C1336" s="5" t="s">
        <v>353</v>
      </c>
      <c r="D1336" s="5" t="s">
        <v>43</v>
      </c>
      <c r="E1336" s="5" t="s">
        <v>21</v>
      </c>
      <c r="F1336" s="5">
        <v>1</v>
      </c>
      <c r="G1336" s="19">
        <v>0</v>
      </c>
      <c r="H1336" s="5" t="s">
        <v>637</v>
      </c>
      <c r="I1336" s="10">
        <f>IF(OR(D1336="", F1336=""), "", F1336 * VLOOKUP(D1336, Products!A:E, 5, FALSE) * (1 - G1336))</f>
        <v>1673.69</v>
      </c>
      <c r="J1336" s="10"/>
    </row>
    <row r="1337" spans="1:10" ht="15.75" customHeight="1" x14ac:dyDescent="0.3">
      <c r="A1337" s="5" t="s">
        <v>2204</v>
      </c>
      <c r="B1337" s="11">
        <v>45891</v>
      </c>
      <c r="C1337" s="5" t="s">
        <v>255</v>
      </c>
      <c r="D1337" s="5" t="s">
        <v>77</v>
      </c>
      <c r="E1337" s="5" t="s">
        <v>29</v>
      </c>
      <c r="F1337" s="5">
        <v>1</v>
      </c>
      <c r="G1337" s="19">
        <v>0</v>
      </c>
      <c r="H1337" s="5" t="s">
        <v>454</v>
      </c>
      <c r="I1337" s="10">
        <f>IF(OR(D1337="", F1337=""), "", F1337 * VLOOKUP(D1337, Products!A:E, 5, FALSE) * (1 - G1337))</f>
        <v>248.57</v>
      </c>
      <c r="J1337" s="10"/>
    </row>
    <row r="1338" spans="1:10" ht="15.75" customHeight="1" x14ac:dyDescent="0.3">
      <c r="A1338" s="5" t="s">
        <v>2205</v>
      </c>
      <c r="B1338" s="11">
        <v>45189</v>
      </c>
      <c r="C1338" s="5" t="s">
        <v>602</v>
      </c>
      <c r="D1338" s="5" t="s">
        <v>269</v>
      </c>
      <c r="E1338" s="5" t="s">
        <v>21</v>
      </c>
      <c r="F1338" s="5">
        <v>1</v>
      </c>
      <c r="G1338" s="19">
        <v>0</v>
      </c>
      <c r="H1338" s="5" t="s">
        <v>697</v>
      </c>
      <c r="I1338" s="10">
        <f>IF(OR(D1338="", F1338=""), "", F1338 * VLOOKUP(D1338, Products!A:E, 5, FALSE) * (1 - G1338))</f>
        <v>1879.08</v>
      </c>
      <c r="J1338" s="10"/>
    </row>
    <row r="1339" spans="1:10" ht="15.75" customHeight="1" x14ac:dyDescent="0.3">
      <c r="A1339" s="5" t="s">
        <v>2206</v>
      </c>
      <c r="B1339" s="11">
        <v>45526</v>
      </c>
      <c r="C1339" s="5" t="s">
        <v>718</v>
      </c>
      <c r="D1339" s="5" t="s">
        <v>269</v>
      </c>
      <c r="E1339" s="5" t="s">
        <v>25</v>
      </c>
      <c r="F1339" s="5">
        <v>2</v>
      </c>
      <c r="G1339" s="19">
        <v>0.1</v>
      </c>
      <c r="H1339" s="5" t="s">
        <v>776</v>
      </c>
      <c r="I1339" s="10">
        <f>IF(OR(D1339="", F1339=""), "", F1339 * VLOOKUP(D1339, Products!A:E, 5, FALSE) * (1 - G1339))</f>
        <v>3382.3440000000001</v>
      </c>
      <c r="J1339" s="10"/>
    </row>
    <row r="1340" spans="1:10" ht="15.75" customHeight="1" x14ac:dyDescent="0.3">
      <c r="A1340" s="5" t="s">
        <v>2207</v>
      </c>
      <c r="B1340" s="11">
        <v>45358</v>
      </c>
      <c r="C1340" s="5" t="s">
        <v>215</v>
      </c>
      <c r="D1340" s="5" t="s">
        <v>61</v>
      </c>
      <c r="E1340" s="5" t="s">
        <v>25</v>
      </c>
      <c r="F1340" s="5">
        <v>3</v>
      </c>
      <c r="G1340" s="19">
        <v>0.1</v>
      </c>
      <c r="H1340" s="5" t="s">
        <v>454</v>
      </c>
      <c r="I1340" s="10">
        <f>IF(OR(D1340="", F1340=""), "", F1340 * VLOOKUP(D1340, Products!A:E, 5, FALSE) * (1 - G1340))</f>
        <v>858.73500000000013</v>
      </c>
      <c r="J1340" s="10"/>
    </row>
    <row r="1341" spans="1:10" ht="15.75" customHeight="1" x14ac:dyDescent="0.3">
      <c r="A1341" s="5" t="s">
        <v>2208</v>
      </c>
      <c r="B1341" s="11">
        <v>45681</v>
      </c>
      <c r="C1341" s="5" t="s">
        <v>317</v>
      </c>
      <c r="D1341" s="5" t="s">
        <v>43</v>
      </c>
      <c r="E1341" s="5" t="s">
        <v>37</v>
      </c>
      <c r="F1341" s="5">
        <v>5</v>
      </c>
      <c r="G1341" s="19">
        <v>0.05</v>
      </c>
      <c r="H1341" s="5" t="s">
        <v>776</v>
      </c>
      <c r="I1341" s="10">
        <f>IF(OR(D1341="", F1341=""), "", F1341 * VLOOKUP(D1341, Products!A:E, 5, FALSE) * (1 - G1341))</f>
        <v>7950.0275000000001</v>
      </c>
      <c r="J1341" s="10"/>
    </row>
    <row r="1342" spans="1:10" ht="15.75" customHeight="1" x14ac:dyDescent="0.3">
      <c r="A1342" s="5" t="s">
        <v>2209</v>
      </c>
      <c r="B1342" s="11">
        <v>45738</v>
      </c>
      <c r="C1342" s="5" t="s">
        <v>229</v>
      </c>
      <c r="D1342" s="5" t="s">
        <v>115</v>
      </c>
      <c r="E1342" s="5" t="s">
        <v>37</v>
      </c>
      <c r="F1342" s="5">
        <v>1</v>
      </c>
      <c r="G1342" s="19">
        <v>0.05</v>
      </c>
      <c r="H1342" s="5" t="s">
        <v>697</v>
      </c>
      <c r="I1342" s="10">
        <f>IF(OR(D1342="", F1342=""), "", F1342 * VLOOKUP(D1342, Products!A:E, 5, FALSE) * (1 - G1342))</f>
        <v>1183.8045</v>
      </c>
      <c r="J1342" s="10"/>
    </row>
    <row r="1343" spans="1:10" ht="15.75" customHeight="1" x14ac:dyDescent="0.3">
      <c r="A1343" s="5" t="s">
        <v>2210</v>
      </c>
      <c r="B1343" s="11">
        <v>45754</v>
      </c>
      <c r="C1343" s="5" t="s">
        <v>440</v>
      </c>
      <c r="D1343" s="5" t="s">
        <v>54</v>
      </c>
      <c r="E1343" s="5" t="s">
        <v>25</v>
      </c>
      <c r="F1343" s="5">
        <v>5</v>
      </c>
      <c r="G1343" s="19">
        <v>0</v>
      </c>
      <c r="H1343" s="5" t="s">
        <v>776</v>
      </c>
      <c r="I1343" s="10">
        <f>IF(OR(D1343="", F1343=""), "", F1343 * VLOOKUP(D1343, Products!A:E, 5, FALSE) * (1 - G1343))</f>
        <v>9268.85</v>
      </c>
      <c r="J1343" s="10"/>
    </row>
    <row r="1344" spans="1:10" ht="15.75" customHeight="1" x14ac:dyDescent="0.3">
      <c r="A1344" s="5" t="s">
        <v>2211</v>
      </c>
      <c r="B1344" s="11">
        <v>45661</v>
      </c>
      <c r="C1344" s="5" t="s">
        <v>368</v>
      </c>
      <c r="D1344" s="5" t="s">
        <v>206</v>
      </c>
      <c r="E1344" s="5" t="s">
        <v>37</v>
      </c>
      <c r="F1344" s="5">
        <v>4</v>
      </c>
      <c r="G1344" s="19">
        <v>0.1</v>
      </c>
      <c r="H1344" s="5" t="s">
        <v>697</v>
      </c>
      <c r="I1344" s="10">
        <f>IF(OR(D1344="", F1344=""), "", F1344 * VLOOKUP(D1344, Products!A:E, 5, FALSE) * (1 - G1344))</f>
        <v>1096.9559999999999</v>
      </c>
      <c r="J1344" s="10"/>
    </row>
    <row r="1345" spans="1:10" ht="15.75" customHeight="1" x14ac:dyDescent="0.3">
      <c r="A1345" s="5" t="s">
        <v>2212</v>
      </c>
      <c r="B1345" s="11">
        <v>45255</v>
      </c>
      <c r="C1345" s="5" t="s">
        <v>586</v>
      </c>
      <c r="D1345" s="5" t="s">
        <v>175</v>
      </c>
      <c r="E1345" s="5" t="s">
        <v>21</v>
      </c>
      <c r="F1345" s="5">
        <v>2</v>
      </c>
      <c r="G1345" s="19">
        <v>0.1</v>
      </c>
      <c r="H1345" s="5" t="s">
        <v>637</v>
      </c>
      <c r="I1345" s="10">
        <f>IF(OR(D1345="", F1345=""), "", F1345 * VLOOKUP(D1345, Products!A:E, 5, FALSE) * (1 - G1345))</f>
        <v>2290.0140000000001</v>
      </c>
      <c r="J1345" s="10"/>
    </row>
    <row r="1346" spans="1:10" ht="15.75" customHeight="1" x14ac:dyDescent="0.3">
      <c r="A1346" s="5" t="s">
        <v>2213</v>
      </c>
      <c r="B1346" s="11">
        <v>45895</v>
      </c>
      <c r="C1346" s="5" t="s">
        <v>571</v>
      </c>
      <c r="D1346" s="5" t="s">
        <v>57</v>
      </c>
      <c r="E1346" s="5" t="s">
        <v>25</v>
      </c>
      <c r="F1346" s="5">
        <v>5</v>
      </c>
      <c r="G1346" s="19">
        <v>0.05</v>
      </c>
      <c r="H1346" s="5" t="s">
        <v>637</v>
      </c>
      <c r="I1346" s="10">
        <f>IF(OR(D1346="", F1346=""), "", F1346 * VLOOKUP(D1346, Products!A:E, 5, FALSE) * (1 - G1346))</f>
        <v>6632.0450000000001</v>
      </c>
      <c r="J1346" s="10"/>
    </row>
    <row r="1347" spans="1:10" ht="15.75" customHeight="1" x14ac:dyDescent="0.3">
      <c r="A1347" s="5" t="s">
        <v>2214</v>
      </c>
      <c r="B1347" s="11">
        <v>45315</v>
      </c>
      <c r="C1347" s="5" t="s">
        <v>245</v>
      </c>
      <c r="D1347" s="5" t="s">
        <v>54</v>
      </c>
      <c r="E1347" s="5" t="s">
        <v>29</v>
      </c>
      <c r="F1347" s="5">
        <v>1</v>
      </c>
      <c r="G1347" s="19">
        <v>0.15</v>
      </c>
      <c r="H1347" s="5" t="s">
        <v>776</v>
      </c>
      <c r="I1347" s="10">
        <f>IF(OR(D1347="", F1347=""), "", F1347 * VLOOKUP(D1347, Products!A:E, 5, FALSE) * (1 - G1347))</f>
        <v>1575.7045000000001</v>
      </c>
      <c r="J1347" s="10"/>
    </row>
    <row r="1348" spans="1:10" ht="15.75" customHeight="1" x14ac:dyDescent="0.3">
      <c r="A1348" s="5" t="s">
        <v>2215</v>
      </c>
      <c r="B1348" s="11">
        <v>45331</v>
      </c>
      <c r="C1348" s="5" t="s">
        <v>661</v>
      </c>
      <c r="D1348" s="5" t="s">
        <v>89</v>
      </c>
      <c r="E1348" s="5" t="s">
        <v>25</v>
      </c>
      <c r="F1348" s="5">
        <v>4</v>
      </c>
      <c r="G1348" s="19">
        <v>0.1</v>
      </c>
      <c r="H1348" s="5" t="s">
        <v>454</v>
      </c>
      <c r="I1348" s="10">
        <f>IF(OR(D1348="", F1348=""), "", F1348 * VLOOKUP(D1348, Products!A:E, 5, FALSE) * (1 - G1348))</f>
        <v>4085.2799999999997</v>
      </c>
      <c r="J1348" s="10"/>
    </row>
    <row r="1349" spans="1:10" ht="15.75" customHeight="1" x14ac:dyDescent="0.3">
      <c r="A1349" s="5" t="s">
        <v>2216</v>
      </c>
      <c r="B1349" s="11">
        <v>45535</v>
      </c>
      <c r="C1349" s="5" t="s">
        <v>691</v>
      </c>
      <c r="D1349" s="5" t="s">
        <v>162</v>
      </c>
      <c r="E1349" s="5" t="s">
        <v>21</v>
      </c>
      <c r="F1349" s="5">
        <v>1</v>
      </c>
      <c r="G1349" s="19">
        <v>0.1</v>
      </c>
      <c r="H1349" s="5" t="s">
        <v>637</v>
      </c>
      <c r="I1349" s="10">
        <f>IF(OR(D1349="", F1349=""), "", F1349 * VLOOKUP(D1349, Products!A:E, 5, FALSE) * (1 - G1349))</f>
        <v>386.23500000000001</v>
      </c>
      <c r="J1349" s="10"/>
    </row>
    <row r="1350" spans="1:10" ht="15.75" customHeight="1" x14ac:dyDescent="0.3">
      <c r="A1350" s="5" t="s">
        <v>2217</v>
      </c>
      <c r="B1350" s="11">
        <v>45611</v>
      </c>
      <c r="C1350" s="5" t="s">
        <v>250</v>
      </c>
      <c r="D1350" s="5" t="s">
        <v>226</v>
      </c>
      <c r="E1350" s="5" t="s">
        <v>33</v>
      </c>
      <c r="F1350" s="5">
        <v>3</v>
      </c>
      <c r="G1350" s="19">
        <v>0.15</v>
      </c>
      <c r="H1350" s="5" t="s">
        <v>454</v>
      </c>
      <c r="I1350" s="10">
        <f>IF(OR(D1350="", F1350=""), "", F1350 * VLOOKUP(D1350, Products!A:E, 5, FALSE) * (1 - G1350))</f>
        <v>3828.723</v>
      </c>
      <c r="J1350" s="10"/>
    </row>
    <row r="1351" spans="1:10" ht="15.75" customHeight="1" x14ac:dyDescent="0.3">
      <c r="A1351" s="5" t="s">
        <v>2218</v>
      </c>
      <c r="B1351" s="11">
        <v>45236</v>
      </c>
      <c r="C1351" s="5" t="s">
        <v>800</v>
      </c>
      <c r="D1351" s="5" t="s">
        <v>89</v>
      </c>
      <c r="E1351" s="5" t="s">
        <v>33</v>
      </c>
      <c r="F1351" s="5">
        <v>2</v>
      </c>
      <c r="G1351" s="19">
        <v>0.15</v>
      </c>
      <c r="H1351" s="5" t="s">
        <v>454</v>
      </c>
      <c r="I1351" s="10">
        <f>IF(OR(D1351="", F1351=""), "", F1351 * VLOOKUP(D1351, Products!A:E, 5, FALSE) * (1 - G1351))</f>
        <v>1929.1599999999999</v>
      </c>
      <c r="J1351" s="10"/>
    </row>
    <row r="1352" spans="1:10" ht="15.75" customHeight="1" x14ac:dyDescent="0.3">
      <c r="A1352" s="5" t="s">
        <v>2219</v>
      </c>
      <c r="B1352" s="11">
        <v>45212</v>
      </c>
      <c r="C1352" s="5" t="s">
        <v>575</v>
      </c>
      <c r="D1352" s="5" t="s">
        <v>291</v>
      </c>
      <c r="E1352" s="5" t="s">
        <v>25</v>
      </c>
      <c r="F1352" s="5">
        <v>1</v>
      </c>
      <c r="G1352" s="19">
        <v>0.15</v>
      </c>
      <c r="H1352" s="5" t="s">
        <v>454</v>
      </c>
      <c r="I1352" s="10">
        <f>IF(OR(D1352="", F1352=""), "", F1352 * VLOOKUP(D1352, Products!A:E, 5, FALSE) * (1 - G1352))</f>
        <v>887.94400000000007</v>
      </c>
      <c r="J1352" s="10"/>
    </row>
    <row r="1353" spans="1:10" ht="15.75" customHeight="1" x14ac:dyDescent="0.3">
      <c r="A1353" s="5" t="s">
        <v>2220</v>
      </c>
      <c r="B1353" s="11">
        <v>45648</v>
      </c>
      <c r="C1353" s="5" t="s">
        <v>334</v>
      </c>
      <c r="D1353" s="5" t="s">
        <v>193</v>
      </c>
      <c r="E1353" s="5" t="s">
        <v>21</v>
      </c>
      <c r="F1353" s="5">
        <v>4</v>
      </c>
      <c r="G1353" s="19">
        <v>0</v>
      </c>
      <c r="H1353" s="5" t="s">
        <v>637</v>
      </c>
      <c r="I1353" s="10">
        <f>IF(OR(D1353="", F1353=""), "", F1353 * VLOOKUP(D1353, Products!A:E, 5, FALSE) * (1 - G1353))</f>
        <v>116.96</v>
      </c>
      <c r="J1353" s="10"/>
    </row>
    <row r="1354" spans="1:10" ht="15.75" customHeight="1" x14ac:dyDescent="0.3">
      <c r="A1354" s="5" t="s">
        <v>2221</v>
      </c>
      <c r="B1354" s="11">
        <v>45399</v>
      </c>
      <c r="C1354" s="5" t="s">
        <v>586</v>
      </c>
      <c r="D1354" s="5" t="s">
        <v>291</v>
      </c>
      <c r="E1354" s="5" t="s">
        <v>37</v>
      </c>
      <c r="F1354" s="5">
        <v>1</v>
      </c>
      <c r="G1354" s="19">
        <v>0</v>
      </c>
      <c r="H1354" s="5" t="s">
        <v>697</v>
      </c>
      <c r="I1354" s="10">
        <f>IF(OR(D1354="", F1354=""), "", F1354 * VLOOKUP(D1354, Products!A:E, 5, FALSE) * (1 - G1354))</f>
        <v>1044.6400000000001</v>
      </c>
      <c r="J1354" s="10"/>
    </row>
    <row r="1355" spans="1:10" ht="15.75" customHeight="1" x14ac:dyDescent="0.3">
      <c r="A1355" s="5" t="s">
        <v>2222</v>
      </c>
      <c r="B1355" s="11">
        <v>45227</v>
      </c>
      <c r="C1355" s="5" t="s">
        <v>546</v>
      </c>
      <c r="D1355" s="5" t="s">
        <v>50</v>
      </c>
      <c r="E1355" s="5" t="s">
        <v>33</v>
      </c>
      <c r="F1355" s="5">
        <v>5</v>
      </c>
      <c r="G1355" s="19">
        <v>0</v>
      </c>
      <c r="H1355" s="5" t="s">
        <v>697</v>
      </c>
      <c r="I1355" s="10">
        <f>IF(OR(D1355="", F1355=""), "", F1355 * VLOOKUP(D1355, Products!A:E, 5, FALSE) * (1 - G1355))</f>
        <v>1688.15</v>
      </c>
      <c r="J1355" s="10"/>
    </row>
    <row r="1356" spans="1:10" ht="15.75" customHeight="1" x14ac:dyDescent="0.3">
      <c r="A1356" s="5" t="s">
        <v>2223</v>
      </c>
      <c r="B1356" s="11">
        <v>45282</v>
      </c>
      <c r="C1356" s="5" t="s">
        <v>177</v>
      </c>
      <c r="D1356" s="5" t="s">
        <v>61</v>
      </c>
      <c r="E1356" s="5" t="s">
        <v>29</v>
      </c>
      <c r="F1356" s="5">
        <v>2</v>
      </c>
      <c r="G1356" s="19">
        <v>0.1</v>
      </c>
      <c r="H1356" s="5" t="s">
        <v>697</v>
      </c>
      <c r="I1356" s="10">
        <f>IF(OR(D1356="", F1356=""), "", F1356 * VLOOKUP(D1356, Products!A:E, 5, FALSE) * (1 - G1356))</f>
        <v>572.49</v>
      </c>
      <c r="J1356" s="10"/>
    </row>
    <row r="1357" spans="1:10" ht="15.75" customHeight="1" x14ac:dyDescent="0.3">
      <c r="A1357" s="5" t="s">
        <v>2224</v>
      </c>
      <c r="B1357" s="11">
        <v>45813</v>
      </c>
      <c r="C1357" s="5" t="s">
        <v>724</v>
      </c>
      <c r="D1357" s="5" t="s">
        <v>119</v>
      </c>
      <c r="E1357" s="5" t="s">
        <v>33</v>
      </c>
      <c r="F1357" s="5">
        <v>1</v>
      </c>
      <c r="G1357" s="19">
        <v>0.05</v>
      </c>
      <c r="H1357" s="5" t="s">
        <v>637</v>
      </c>
      <c r="I1357" s="10">
        <f>IF(OR(D1357="", F1357=""), "", F1357 * VLOOKUP(D1357, Products!A:E, 5, FALSE) * (1 - G1357))</f>
        <v>1025.8955000000001</v>
      </c>
      <c r="J1357" s="10"/>
    </row>
    <row r="1358" spans="1:10" ht="15.75" customHeight="1" x14ac:dyDescent="0.3">
      <c r="A1358" s="5" t="s">
        <v>2225</v>
      </c>
      <c r="B1358" s="11">
        <v>45864</v>
      </c>
      <c r="C1358" s="5" t="s">
        <v>833</v>
      </c>
      <c r="D1358" s="5" t="s">
        <v>291</v>
      </c>
      <c r="E1358" s="5" t="s">
        <v>33</v>
      </c>
      <c r="F1358" s="5">
        <v>3</v>
      </c>
      <c r="G1358" s="19">
        <v>0.1</v>
      </c>
      <c r="H1358" s="5" t="s">
        <v>637</v>
      </c>
      <c r="I1358" s="10">
        <f>IF(OR(D1358="", F1358=""), "", F1358 * VLOOKUP(D1358, Products!A:E, 5, FALSE) * (1 - G1358))</f>
        <v>2820.5280000000002</v>
      </c>
      <c r="J1358" s="10"/>
    </row>
    <row r="1359" spans="1:10" ht="15.75" customHeight="1" x14ac:dyDescent="0.3">
      <c r="A1359" s="5" t="s">
        <v>2226</v>
      </c>
      <c r="B1359" s="11">
        <v>45472</v>
      </c>
      <c r="C1359" s="5" t="s">
        <v>511</v>
      </c>
      <c r="D1359" s="5" t="s">
        <v>272</v>
      </c>
      <c r="E1359" s="5" t="s">
        <v>33</v>
      </c>
      <c r="F1359" s="5">
        <v>5</v>
      </c>
      <c r="G1359" s="19">
        <v>0.15</v>
      </c>
      <c r="H1359" s="5" t="s">
        <v>637</v>
      </c>
      <c r="I1359" s="10">
        <f>IF(OR(D1359="", F1359=""), "", F1359 * VLOOKUP(D1359, Products!A:E, 5, FALSE) * (1 - G1359))</f>
        <v>4952.8224999999993</v>
      </c>
      <c r="J1359" s="10"/>
    </row>
    <row r="1360" spans="1:10" ht="15.75" customHeight="1" x14ac:dyDescent="0.3">
      <c r="A1360" s="5" t="s">
        <v>2227</v>
      </c>
      <c r="B1360" s="11">
        <v>45883</v>
      </c>
      <c r="C1360" s="5" t="s">
        <v>649</v>
      </c>
      <c r="D1360" s="5" t="s">
        <v>147</v>
      </c>
      <c r="E1360" s="5" t="s">
        <v>29</v>
      </c>
      <c r="F1360" s="5">
        <v>2</v>
      </c>
      <c r="G1360" s="19">
        <v>0.15</v>
      </c>
      <c r="H1360" s="5" t="s">
        <v>776</v>
      </c>
      <c r="I1360" s="10">
        <f>IF(OR(D1360="", F1360=""), "", F1360 * VLOOKUP(D1360, Products!A:E, 5, FALSE) * (1 - G1360))</f>
        <v>3193.3989999999999</v>
      </c>
      <c r="J1360" s="10"/>
    </row>
    <row r="1361" spans="1:10" ht="15.75" customHeight="1" x14ac:dyDescent="0.3">
      <c r="A1361" s="5" t="s">
        <v>2228</v>
      </c>
      <c r="B1361" s="11">
        <v>45814</v>
      </c>
      <c r="C1361" s="5" t="s">
        <v>261</v>
      </c>
      <c r="D1361" s="5" t="s">
        <v>267</v>
      </c>
      <c r="E1361" s="5" t="s">
        <v>29</v>
      </c>
      <c r="F1361" s="5">
        <v>4</v>
      </c>
      <c r="G1361" s="19">
        <v>0.15</v>
      </c>
      <c r="H1361" s="5" t="s">
        <v>697</v>
      </c>
      <c r="I1361" s="10">
        <f>IF(OR(D1361="", F1361=""), "", F1361 * VLOOKUP(D1361, Products!A:E, 5, FALSE) * (1 - G1361))</f>
        <v>4374.2699999999995</v>
      </c>
      <c r="J1361" s="10"/>
    </row>
    <row r="1362" spans="1:10" ht="15.75" customHeight="1" x14ac:dyDescent="0.3">
      <c r="A1362" s="5" t="s">
        <v>2229</v>
      </c>
      <c r="B1362" s="11">
        <v>45239</v>
      </c>
      <c r="C1362" s="5" t="s">
        <v>750</v>
      </c>
      <c r="D1362" s="5" t="s">
        <v>291</v>
      </c>
      <c r="E1362" s="5" t="s">
        <v>25</v>
      </c>
      <c r="F1362" s="5">
        <v>1</v>
      </c>
      <c r="G1362" s="19">
        <v>0</v>
      </c>
      <c r="H1362" s="5" t="s">
        <v>776</v>
      </c>
      <c r="I1362" s="10">
        <f>IF(OR(D1362="", F1362=""), "", F1362 * VLOOKUP(D1362, Products!A:E, 5, FALSE) * (1 - G1362))</f>
        <v>1044.6400000000001</v>
      </c>
      <c r="J1362" s="10"/>
    </row>
    <row r="1363" spans="1:10" ht="15.75" customHeight="1" x14ac:dyDescent="0.3">
      <c r="A1363" s="5" t="s">
        <v>2230</v>
      </c>
      <c r="B1363" s="11">
        <v>45335</v>
      </c>
      <c r="C1363" s="5" t="s">
        <v>181</v>
      </c>
      <c r="D1363" s="5" t="s">
        <v>122</v>
      </c>
      <c r="E1363" s="5" t="s">
        <v>33</v>
      </c>
      <c r="F1363" s="5">
        <v>1</v>
      </c>
      <c r="G1363" s="19">
        <v>0.05</v>
      </c>
      <c r="H1363" s="5" t="s">
        <v>637</v>
      </c>
      <c r="I1363" s="10">
        <f>IF(OR(D1363="", F1363=""), "", F1363 * VLOOKUP(D1363, Products!A:E, 5, FALSE) * (1 - G1363))</f>
        <v>1674.7739999999999</v>
      </c>
      <c r="J1363" s="10"/>
    </row>
    <row r="1364" spans="1:10" ht="15.75" customHeight="1" x14ac:dyDescent="0.3">
      <c r="A1364" s="5" t="s">
        <v>2231</v>
      </c>
      <c r="B1364" s="11">
        <v>45406</v>
      </c>
      <c r="C1364" s="5" t="s">
        <v>729</v>
      </c>
      <c r="D1364" s="5" t="s">
        <v>103</v>
      </c>
      <c r="E1364" s="5" t="s">
        <v>29</v>
      </c>
      <c r="F1364" s="5">
        <v>2</v>
      </c>
      <c r="G1364" s="19">
        <v>0.1</v>
      </c>
      <c r="H1364" s="5" t="s">
        <v>776</v>
      </c>
      <c r="I1364" s="10">
        <f>IF(OR(D1364="", F1364=""), "", F1364 * VLOOKUP(D1364, Products!A:E, 5, FALSE) * (1 - G1364))</f>
        <v>486.81</v>
      </c>
      <c r="J1364" s="10"/>
    </row>
    <row r="1365" spans="1:10" ht="15.75" customHeight="1" x14ac:dyDescent="0.3">
      <c r="A1365" s="5" t="s">
        <v>2232</v>
      </c>
      <c r="B1365" s="11">
        <v>45844</v>
      </c>
      <c r="C1365" s="5" t="s">
        <v>862</v>
      </c>
      <c r="D1365" s="5" t="s">
        <v>67</v>
      </c>
      <c r="E1365" s="5" t="s">
        <v>21</v>
      </c>
      <c r="F1365" s="5">
        <v>5</v>
      </c>
      <c r="G1365" s="19">
        <v>0.15</v>
      </c>
      <c r="H1365" s="5" t="s">
        <v>637</v>
      </c>
      <c r="I1365" s="10">
        <f>IF(OR(D1365="", F1365=""), "", F1365 * VLOOKUP(D1365, Products!A:E, 5, FALSE) * (1 - G1365))</f>
        <v>466.56499999999994</v>
      </c>
      <c r="J1365" s="10"/>
    </row>
    <row r="1366" spans="1:10" ht="15.75" customHeight="1" x14ac:dyDescent="0.3">
      <c r="A1366" s="5" t="s">
        <v>2233</v>
      </c>
      <c r="B1366" s="11">
        <v>45537</v>
      </c>
      <c r="C1366" s="5" t="s">
        <v>357</v>
      </c>
      <c r="D1366" s="5" t="s">
        <v>61</v>
      </c>
      <c r="E1366" s="5" t="s">
        <v>29</v>
      </c>
      <c r="F1366" s="5">
        <v>4</v>
      </c>
      <c r="G1366" s="19">
        <v>0.15</v>
      </c>
      <c r="H1366" s="5" t="s">
        <v>454</v>
      </c>
      <c r="I1366" s="10">
        <f>IF(OR(D1366="", F1366=""), "", F1366 * VLOOKUP(D1366, Products!A:E, 5, FALSE) * (1 - G1366))</f>
        <v>1081.3700000000001</v>
      </c>
      <c r="J1366" s="10"/>
    </row>
    <row r="1367" spans="1:10" ht="15.75" customHeight="1" x14ac:dyDescent="0.3">
      <c r="A1367" s="5" t="s">
        <v>2234</v>
      </c>
      <c r="B1367" s="11">
        <v>45451</v>
      </c>
      <c r="C1367" s="5" t="s">
        <v>676</v>
      </c>
      <c r="D1367" s="5" t="s">
        <v>291</v>
      </c>
      <c r="E1367" s="5" t="s">
        <v>29</v>
      </c>
      <c r="F1367" s="5">
        <v>5</v>
      </c>
      <c r="G1367" s="19">
        <v>0</v>
      </c>
      <c r="H1367" s="5" t="s">
        <v>776</v>
      </c>
      <c r="I1367" s="10">
        <f>IF(OR(D1367="", F1367=""), "", F1367 * VLOOKUP(D1367, Products!A:E, 5, FALSE) * (1 - G1367))</f>
        <v>5223.2000000000007</v>
      </c>
      <c r="J1367" s="10"/>
    </row>
    <row r="1368" spans="1:10" ht="15.75" customHeight="1" x14ac:dyDescent="0.3">
      <c r="A1368" s="5" t="s">
        <v>2235</v>
      </c>
      <c r="B1368" s="11">
        <v>45380</v>
      </c>
      <c r="C1368" s="5" t="s">
        <v>579</v>
      </c>
      <c r="D1368" s="5" t="s">
        <v>280</v>
      </c>
      <c r="E1368" s="5" t="s">
        <v>21</v>
      </c>
      <c r="F1368" s="5">
        <v>4</v>
      </c>
      <c r="G1368" s="19">
        <v>0.15</v>
      </c>
      <c r="H1368" s="5" t="s">
        <v>454</v>
      </c>
      <c r="I1368" s="10">
        <f>IF(OR(D1368="", F1368=""), "", F1368 * VLOOKUP(D1368, Products!A:E, 5, FALSE) * (1 - G1368))</f>
        <v>4135.6239999999998</v>
      </c>
      <c r="J1368" s="10"/>
    </row>
    <row r="1369" spans="1:10" ht="15.75" customHeight="1" x14ac:dyDescent="0.3">
      <c r="A1369" s="5" t="s">
        <v>2236</v>
      </c>
      <c r="B1369" s="11">
        <v>45446</v>
      </c>
      <c r="C1369" s="5" t="s">
        <v>528</v>
      </c>
      <c r="D1369" s="5" t="s">
        <v>54</v>
      </c>
      <c r="E1369" s="5" t="s">
        <v>33</v>
      </c>
      <c r="F1369" s="5">
        <v>4</v>
      </c>
      <c r="G1369" s="19">
        <v>0</v>
      </c>
      <c r="H1369" s="5" t="s">
        <v>776</v>
      </c>
      <c r="I1369" s="10">
        <f>IF(OR(D1369="", F1369=""), "", F1369 * VLOOKUP(D1369, Products!A:E, 5, FALSE) * (1 - G1369))</f>
        <v>7415.08</v>
      </c>
      <c r="J1369" s="10"/>
    </row>
    <row r="1370" spans="1:10" ht="15.75" customHeight="1" x14ac:dyDescent="0.3">
      <c r="A1370" s="5" t="s">
        <v>2237</v>
      </c>
      <c r="B1370" s="11">
        <v>45659</v>
      </c>
      <c r="C1370" s="5" t="s">
        <v>334</v>
      </c>
      <c r="D1370" s="5" t="s">
        <v>262</v>
      </c>
      <c r="E1370" s="5" t="s">
        <v>37</v>
      </c>
      <c r="F1370" s="5">
        <v>3</v>
      </c>
      <c r="G1370" s="19">
        <v>0.05</v>
      </c>
      <c r="H1370" s="5" t="s">
        <v>637</v>
      </c>
      <c r="I1370" s="10">
        <f>IF(OR(D1370="", F1370=""), "", F1370 * VLOOKUP(D1370, Products!A:E, 5, FALSE) * (1 - G1370))</f>
        <v>1292.817</v>
      </c>
      <c r="J1370" s="10"/>
    </row>
    <row r="1371" spans="1:10" ht="15.75" customHeight="1" x14ac:dyDescent="0.3">
      <c r="A1371" s="5" t="s">
        <v>2238</v>
      </c>
      <c r="B1371" s="11">
        <v>45406</v>
      </c>
      <c r="C1371" s="5" t="s">
        <v>579</v>
      </c>
      <c r="D1371" s="5" t="s">
        <v>74</v>
      </c>
      <c r="E1371" s="5" t="s">
        <v>25</v>
      </c>
      <c r="F1371" s="5">
        <v>3</v>
      </c>
      <c r="G1371" s="19">
        <v>0.15</v>
      </c>
      <c r="H1371" s="5" t="s">
        <v>637</v>
      </c>
      <c r="I1371" s="10">
        <f>IF(OR(D1371="", F1371=""), "", F1371 * VLOOKUP(D1371, Products!A:E, 5, FALSE) * (1 - G1371))</f>
        <v>3045.0059999999999</v>
      </c>
      <c r="J1371" s="10"/>
    </row>
    <row r="1372" spans="1:10" ht="15.75" customHeight="1" x14ac:dyDescent="0.3">
      <c r="A1372" s="5" t="s">
        <v>2239</v>
      </c>
      <c r="B1372" s="11">
        <v>45218</v>
      </c>
      <c r="C1372" s="5" t="s">
        <v>865</v>
      </c>
      <c r="D1372" s="5" t="s">
        <v>122</v>
      </c>
      <c r="E1372" s="5" t="s">
        <v>21</v>
      </c>
      <c r="F1372" s="5">
        <v>5</v>
      </c>
      <c r="G1372" s="19">
        <v>0.15</v>
      </c>
      <c r="H1372" s="5" t="s">
        <v>637</v>
      </c>
      <c r="I1372" s="10">
        <f>IF(OR(D1372="", F1372=""), "", F1372 * VLOOKUP(D1372, Products!A:E, 5, FALSE) * (1 - G1372))</f>
        <v>7492.41</v>
      </c>
      <c r="J1372" s="10"/>
    </row>
    <row r="1373" spans="1:10" ht="15.75" customHeight="1" x14ac:dyDescent="0.3">
      <c r="A1373" s="5" t="s">
        <v>2240</v>
      </c>
      <c r="B1373" s="11">
        <v>45899</v>
      </c>
      <c r="C1373" s="5" t="s">
        <v>618</v>
      </c>
      <c r="D1373" s="5" t="s">
        <v>57</v>
      </c>
      <c r="E1373" s="5" t="s">
        <v>37</v>
      </c>
      <c r="F1373" s="5">
        <v>2</v>
      </c>
      <c r="G1373" s="19">
        <v>0</v>
      </c>
      <c r="H1373" s="5" t="s">
        <v>637</v>
      </c>
      <c r="I1373" s="10">
        <f>IF(OR(D1373="", F1373=""), "", F1373 * VLOOKUP(D1373, Products!A:E, 5, FALSE) * (1 - G1373))</f>
        <v>2792.44</v>
      </c>
      <c r="J1373" s="10"/>
    </row>
    <row r="1374" spans="1:10" ht="15.75" customHeight="1" x14ac:dyDescent="0.3">
      <c r="A1374" s="5" t="s">
        <v>2241</v>
      </c>
      <c r="B1374" s="11">
        <v>45383</v>
      </c>
      <c r="C1374" s="5" t="s">
        <v>420</v>
      </c>
      <c r="D1374" s="5" t="s">
        <v>249</v>
      </c>
      <c r="E1374" s="5" t="s">
        <v>33</v>
      </c>
      <c r="F1374" s="5">
        <v>5</v>
      </c>
      <c r="G1374" s="19">
        <v>0.15</v>
      </c>
      <c r="H1374" s="5" t="s">
        <v>454</v>
      </c>
      <c r="I1374" s="10">
        <f>IF(OR(D1374="", F1374=""), "", F1374 * VLOOKUP(D1374, Products!A:E, 5, FALSE) * (1 - G1374))</f>
        <v>7418.8424999999988</v>
      </c>
      <c r="J1374" s="10"/>
    </row>
    <row r="1375" spans="1:10" ht="15.75" customHeight="1" x14ac:dyDescent="0.3">
      <c r="A1375" s="5" t="s">
        <v>2242</v>
      </c>
      <c r="B1375" s="11">
        <v>45438</v>
      </c>
      <c r="C1375" s="5" t="s">
        <v>869</v>
      </c>
      <c r="D1375" s="5" t="s">
        <v>134</v>
      </c>
      <c r="E1375" s="5" t="s">
        <v>29</v>
      </c>
      <c r="F1375" s="5">
        <v>3</v>
      </c>
      <c r="G1375" s="19">
        <v>0</v>
      </c>
      <c r="H1375" s="5" t="s">
        <v>776</v>
      </c>
      <c r="I1375" s="10">
        <f>IF(OR(D1375="", F1375=""), "", F1375 * VLOOKUP(D1375, Products!A:E, 5, FALSE) * (1 - G1375))</f>
        <v>3681.7200000000003</v>
      </c>
      <c r="J1375" s="10"/>
    </row>
    <row r="1376" spans="1:10" ht="15.75" customHeight="1" x14ac:dyDescent="0.3">
      <c r="A1376" s="5" t="s">
        <v>2243</v>
      </c>
      <c r="B1376" s="11">
        <v>45249</v>
      </c>
      <c r="C1376" s="5" t="s">
        <v>722</v>
      </c>
      <c r="D1376" s="5" t="s">
        <v>262</v>
      </c>
      <c r="E1376" s="5" t="s">
        <v>21</v>
      </c>
      <c r="F1376" s="5">
        <v>2</v>
      </c>
      <c r="G1376" s="19">
        <v>0.1</v>
      </c>
      <c r="H1376" s="5" t="s">
        <v>454</v>
      </c>
      <c r="I1376" s="10">
        <f>IF(OR(D1376="", F1376=""), "", F1376 * VLOOKUP(D1376, Products!A:E, 5, FALSE) * (1 - G1376))</f>
        <v>816.51600000000008</v>
      </c>
      <c r="J1376" s="10"/>
    </row>
    <row r="1377" spans="1:10" ht="15.75" customHeight="1" x14ac:dyDescent="0.3">
      <c r="A1377" s="5" t="s">
        <v>2244</v>
      </c>
      <c r="B1377" s="11">
        <v>45448</v>
      </c>
      <c r="C1377" s="5" t="s">
        <v>847</v>
      </c>
      <c r="D1377" s="5" t="s">
        <v>291</v>
      </c>
      <c r="E1377" s="5" t="s">
        <v>37</v>
      </c>
      <c r="F1377" s="5">
        <v>1</v>
      </c>
      <c r="G1377" s="19">
        <v>0.1</v>
      </c>
      <c r="H1377" s="5" t="s">
        <v>637</v>
      </c>
      <c r="I1377" s="10">
        <f>IF(OR(D1377="", F1377=""), "", F1377 * VLOOKUP(D1377, Products!A:E, 5, FALSE) * (1 - G1377))</f>
        <v>940.17600000000016</v>
      </c>
      <c r="J1377" s="10"/>
    </row>
    <row r="1378" spans="1:10" ht="15.75" customHeight="1" x14ac:dyDescent="0.3">
      <c r="A1378" s="5" t="s">
        <v>2245</v>
      </c>
      <c r="B1378" s="11">
        <v>45666</v>
      </c>
      <c r="C1378" s="5" t="s">
        <v>223</v>
      </c>
      <c r="D1378" s="5" t="s">
        <v>249</v>
      </c>
      <c r="E1378" s="5" t="s">
        <v>33</v>
      </c>
      <c r="F1378" s="5">
        <v>3</v>
      </c>
      <c r="G1378" s="19">
        <v>0.1</v>
      </c>
      <c r="H1378" s="5" t="s">
        <v>637</v>
      </c>
      <c r="I1378" s="10">
        <f>IF(OR(D1378="", F1378=""), "", F1378 * VLOOKUP(D1378, Products!A:E, 5, FALSE) * (1 - G1378))</f>
        <v>4713.1469999999999</v>
      </c>
      <c r="J1378" s="10"/>
    </row>
    <row r="1379" spans="1:10" ht="15.75" customHeight="1" x14ac:dyDescent="0.3">
      <c r="A1379" s="5" t="s">
        <v>2246</v>
      </c>
      <c r="B1379" s="11">
        <v>45408</v>
      </c>
      <c r="C1379" s="5" t="s">
        <v>503</v>
      </c>
      <c r="D1379" s="5" t="s">
        <v>285</v>
      </c>
      <c r="E1379" s="5" t="s">
        <v>21</v>
      </c>
      <c r="F1379" s="5">
        <v>2</v>
      </c>
      <c r="G1379" s="19">
        <v>0.05</v>
      </c>
      <c r="H1379" s="5" t="s">
        <v>697</v>
      </c>
      <c r="I1379" s="10">
        <f>IF(OR(D1379="", F1379=""), "", F1379 * VLOOKUP(D1379, Products!A:E, 5, FALSE) * (1 - G1379))</f>
        <v>737.69399999999996</v>
      </c>
      <c r="J1379" s="10"/>
    </row>
    <row r="1380" spans="1:10" ht="15.75" customHeight="1" x14ac:dyDescent="0.3">
      <c r="A1380" s="5" t="s">
        <v>2247</v>
      </c>
      <c r="B1380" s="11">
        <v>45321</v>
      </c>
      <c r="C1380" s="5" t="s">
        <v>766</v>
      </c>
      <c r="D1380" s="5" t="s">
        <v>50</v>
      </c>
      <c r="E1380" s="5" t="s">
        <v>29</v>
      </c>
      <c r="F1380" s="5">
        <v>5</v>
      </c>
      <c r="G1380" s="19">
        <v>0</v>
      </c>
      <c r="H1380" s="5" t="s">
        <v>776</v>
      </c>
      <c r="I1380" s="10">
        <f>IF(OR(D1380="", F1380=""), "", F1380 * VLOOKUP(D1380, Products!A:E, 5, FALSE) * (1 - G1380))</f>
        <v>1688.15</v>
      </c>
      <c r="J1380" s="10"/>
    </row>
    <row r="1381" spans="1:10" ht="15.75" customHeight="1" x14ac:dyDescent="0.3">
      <c r="A1381" s="5" t="s">
        <v>2248</v>
      </c>
      <c r="B1381" s="11">
        <v>45327</v>
      </c>
      <c r="C1381" s="5" t="s">
        <v>462</v>
      </c>
      <c r="D1381" s="5" t="s">
        <v>128</v>
      </c>
      <c r="E1381" s="5" t="s">
        <v>21</v>
      </c>
      <c r="F1381" s="5">
        <v>3</v>
      </c>
      <c r="G1381" s="19">
        <v>0.05</v>
      </c>
      <c r="H1381" s="5" t="s">
        <v>776</v>
      </c>
      <c r="I1381" s="10">
        <f>IF(OR(D1381="", F1381=""), "", F1381 * VLOOKUP(D1381, Products!A:E, 5, FALSE) * (1 - G1381))</f>
        <v>923.17199999999991</v>
      </c>
      <c r="J1381" s="10"/>
    </row>
    <row r="1382" spans="1:10" ht="15.75" customHeight="1" x14ac:dyDescent="0.3">
      <c r="A1382" s="5" t="s">
        <v>2249</v>
      </c>
      <c r="B1382" s="11">
        <v>45216</v>
      </c>
      <c r="C1382" s="5" t="s">
        <v>674</v>
      </c>
      <c r="D1382" s="5" t="s">
        <v>262</v>
      </c>
      <c r="E1382" s="5" t="s">
        <v>29</v>
      </c>
      <c r="F1382" s="5">
        <v>1</v>
      </c>
      <c r="G1382" s="19">
        <v>0.15</v>
      </c>
      <c r="H1382" s="5" t="s">
        <v>637</v>
      </c>
      <c r="I1382" s="10">
        <f>IF(OR(D1382="", F1382=""), "", F1382 * VLOOKUP(D1382, Products!A:E, 5, FALSE) * (1 - G1382))</f>
        <v>385.577</v>
      </c>
      <c r="J1382" s="10"/>
    </row>
    <row r="1383" spans="1:10" ht="15.75" customHeight="1" x14ac:dyDescent="0.3">
      <c r="A1383" s="5" t="s">
        <v>2250</v>
      </c>
      <c r="B1383" s="11">
        <v>45440</v>
      </c>
      <c r="C1383" s="5" t="s">
        <v>703</v>
      </c>
      <c r="D1383" s="5" t="s">
        <v>162</v>
      </c>
      <c r="E1383" s="5" t="s">
        <v>37</v>
      </c>
      <c r="F1383" s="5">
        <v>4</v>
      </c>
      <c r="G1383" s="19">
        <v>0.1</v>
      </c>
      <c r="H1383" s="5" t="s">
        <v>776</v>
      </c>
      <c r="I1383" s="10">
        <f>IF(OR(D1383="", F1383=""), "", F1383 * VLOOKUP(D1383, Products!A:E, 5, FALSE) * (1 - G1383))</f>
        <v>1544.94</v>
      </c>
      <c r="J1383" s="10"/>
    </row>
    <row r="1384" spans="1:10" ht="15.75" customHeight="1" x14ac:dyDescent="0.3">
      <c r="A1384" s="5" t="s">
        <v>2251</v>
      </c>
      <c r="B1384" s="11">
        <v>45597</v>
      </c>
      <c r="C1384" s="5" t="s">
        <v>808</v>
      </c>
      <c r="D1384" s="5" t="s">
        <v>134</v>
      </c>
      <c r="E1384" s="5" t="s">
        <v>33</v>
      </c>
      <c r="F1384" s="5">
        <v>5</v>
      </c>
      <c r="G1384" s="19">
        <v>0</v>
      </c>
      <c r="H1384" s="5" t="s">
        <v>454</v>
      </c>
      <c r="I1384" s="10">
        <f>IF(OR(D1384="", F1384=""), "", F1384 * VLOOKUP(D1384, Products!A:E, 5, FALSE) * (1 - G1384))</f>
        <v>6136.2</v>
      </c>
      <c r="J1384" s="10"/>
    </row>
    <row r="1385" spans="1:10" ht="15.75" customHeight="1" x14ac:dyDescent="0.3">
      <c r="A1385" s="5" t="s">
        <v>2252</v>
      </c>
      <c r="B1385" s="11">
        <v>45866</v>
      </c>
      <c r="C1385" s="5" t="s">
        <v>528</v>
      </c>
      <c r="D1385" s="5" t="s">
        <v>226</v>
      </c>
      <c r="E1385" s="5" t="s">
        <v>37</v>
      </c>
      <c r="F1385" s="5">
        <v>4</v>
      </c>
      <c r="G1385" s="19">
        <v>0.1</v>
      </c>
      <c r="H1385" s="5" t="s">
        <v>776</v>
      </c>
      <c r="I1385" s="10">
        <f>IF(OR(D1385="", F1385=""), "", F1385 * VLOOKUP(D1385, Products!A:E, 5, FALSE) * (1 - G1385))</f>
        <v>5405.2560000000003</v>
      </c>
      <c r="J1385" s="10"/>
    </row>
    <row r="1386" spans="1:10" ht="15.75" customHeight="1" x14ac:dyDescent="0.3">
      <c r="A1386" s="5" t="s">
        <v>2253</v>
      </c>
      <c r="B1386" s="11">
        <v>45337</v>
      </c>
      <c r="C1386" s="5" t="s">
        <v>631</v>
      </c>
      <c r="D1386" s="5" t="s">
        <v>232</v>
      </c>
      <c r="E1386" s="5" t="s">
        <v>21</v>
      </c>
      <c r="F1386" s="5">
        <v>2</v>
      </c>
      <c r="G1386" s="19">
        <v>0.1</v>
      </c>
      <c r="H1386" s="5" t="s">
        <v>637</v>
      </c>
      <c r="I1386" s="10">
        <f>IF(OR(D1386="", F1386=""), "", F1386 * VLOOKUP(D1386, Products!A:E, 5, FALSE) * (1 - G1386))</f>
        <v>3514.7700000000004</v>
      </c>
      <c r="J1386" s="10"/>
    </row>
    <row r="1387" spans="1:10" ht="15.75" customHeight="1" x14ac:dyDescent="0.3">
      <c r="A1387" s="5" t="s">
        <v>2254</v>
      </c>
      <c r="B1387" s="11">
        <v>45319</v>
      </c>
      <c r="C1387" s="5" t="s">
        <v>641</v>
      </c>
      <c r="D1387" s="5" t="s">
        <v>115</v>
      </c>
      <c r="E1387" s="5" t="s">
        <v>29</v>
      </c>
      <c r="F1387" s="5">
        <v>2</v>
      </c>
      <c r="G1387" s="19">
        <v>0.1</v>
      </c>
      <c r="H1387" s="5" t="s">
        <v>454</v>
      </c>
      <c r="I1387" s="10">
        <f>IF(OR(D1387="", F1387=""), "", F1387 * VLOOKUP(D1387, Products!A:E, 5, FALSE) * (1 - G1387))</f>
        <v>2242.998</v>
      </c>
      <c r="J1387" s="10"/>
    </row>
    <row r="1388" spans="1:10" ht="15.75" customHeight="1" x14ac:dyDescent="0.3">
      <c r="A1388" s="5" t="s">
        <v>2255</v>
      </c>
      <c r="B1388" s="11">
        <v>45360</v>
      </c>
      <c r="C1388" s="5" t="s">
        <v>583</v>
      </c>
      <c r="D1388" s="5" t="s">
        <v>249</v>
      </c>
      <c r="E1388" s="5" t="s">
        <v>25</v>
      </c>
      <c r="F1388" s="5">
        <v>4</v>
      </c>
      <c r="G1388" s="19">
        <v>0</v>
      </c>
      <c r="H1388" s="5" t="s">
        <v>697</v>
      </c>
      <c r="I1388" s="10">
        <f>IF(OR(D1388="", F1388=""), "", F1388 * VLOOKUP(D1388, Products!A:E, 5, FALSE) * (1 - G1388))</f>
        <v>6982.44</v>
      </c>
      <c r="J1388" s="10"/>
    </row>
    <row r="1389" spans="1:10" ht="15.75" customHeight="1" x14ac:dyDescent="0.3">
      <c r="A1389" s="5" t="s">
        <v>2256</v>
      </c>
      <c r="B1389" s="11">
        <v>45785</v>
      </c>
      <c r="C1389" s="5" t="s">
        <v>443</v>
      </c>
      <c r="D1389" s="5" t="s">
        <v>269</v>
      </c>
      <c r="E1389" s="5" t="s">
        <v>29</v>
      </c>
      <c r="F1389" s="5">
        <v>1</v>
      </c>
      <c r="G1389" s="19">
        <v>0.1</v>
      </c>
      <c r="H1389" s="5" t="s">
        <v>637</v>
      </c>
      <c r="I1389" s="10">
        <f>IF(OR(D1389="", F1389=""), "", F1389 * VLOOKUP(D1389, Products!A:E, 5, FALSE) * (1 - G1389))</f>
        <v>1691.172</v>
      </c>
      <c r="J1389" s="10"/>
    </row>
    <row r="1390" spans="1:10" ht="15.75" customHeight="1" x14ac:dyDescent="0.3">
      <c r="A1390" s="5" t="s">
        <v>2257</v>
      </c>
      <c r="B1390" s="11">
        <v>45734</v>
      </c>
      <c r="C1390" s="5" t="s">
        <v>380</v>
      </c>
      <c r="D1390" s="5" t="s">
        <v>109</v>
      </c>
      <c r="E1390" s="5" t="s">
        <v>37</v>
      </c>
      <c r="F1390" s="5">
        <v>1</v>
      </c>
      <c r="G1390" s="19">
        <v>0</v>
      </c>
      <c r="H1390" s="5" t="s">
        <v>454</v>
      </c>
      <c r="I1390" s="10">
        <f>IF(OR(D1390="", F1390=""), "", F1390 * VLOOKUP(D1390, Products!A:E, 5, FALSE) * (1 - G1390))</f>
        <v>1858.75</v>
      </c>
      <c r="J1390" s="10"/>
    </row>
    <row r="1391" spans="1:10" ht="15.75" customHeight="1" x14ac:dyDescent="0.3">
      <c r="A1391" s="5" t="s">
        <v>2258</v>
      </c>
      <c r="B1391" s="11">
        <v>45396</v>
      </c>
      <c r="C1391" s="5" t="s">
        <v>429</v>
      </c>
      <c r="D1391" s="5" t="s">
        <v>168</v>
      </c>
      <c r="E1391" s="5" t="s">
        <v>21</v>
      </c>
      <c r="F1391" s="5">
        <v>5</v>
      </c>
      <c r="G1391" s="19">
        <v>0.15</v>
      </c>
      <c r="H1391" s="5" t="s">
        <v>637</v>
      </c>
      <c r="I1391" s="10">
        <f>IF(OR(D1391="", F1391=""), "", F1391 * VLOOKUP(D1391, Products!A:E, 5, FALSE) * (1 - G1391))</f>
        <v>4316.9800000000005</v>
      </c>
      <c r="J1391" s="10"/>
    </row>
    <row r="1392" spans="1:10" ht="15.75" customHeight="1" x14ac:dyDescent="0.3">
      <c r="A1392" s="5" t="s">
        <v>2259</v>
      </c>
      <c r="B1392" s="11">
        <v>45270</v>
      </c>
      <c r="C1392" s="5" t="s">
        <v>365</v>
      </c>
      <c r="D1392" s="5" t="s">
        <v>65</v>
      </c>
      <c r="E1392" s="5" t="s">
        <v>29</v>
      </c>
      <c r="F1392" s="5">
        <v>1</v>
      </c>
      <c r="G1392" s="19">
        <v>0.1</v>
      </c>
      <c r="H1392" s="5" t="s">
        <v>454</v>
      </c>
      <c r="I1392" s="10">
        <f>IF(OR(D1392="", F1392=""), "", F1392 * VLOOKUP(D1392, Products!A:E, 5, FALSE) * (1 - G1392))</f>
        <v>1326.7079999999999</v>
      </c>
      <c r="J1392" s="10"/>
    </row>
    <row r="1393" spans="1:10" ht="15.75" customHeight="1" x14ac:dyDescent="0.3">
      <c r="A1393" s="5" t="s">
        <v>2260</v>
      </c>
      <c r="B1393" s="11">
        <v>45800</v>
      </c>
      <c r="C1393" s="5" t="s">
        <v>579</v>
      </c>
      <c r="D1393" s="5" t="s">
        <v>67</v>
      </c>
      <c r="E1393" s="5" t="s">
        <v>37</v>
      </c>
      <c r="F1393" s="5">
        <v>3</v>
      </c>
      <c r="G1393" s="19">
        <v>0.05</v>
      </c>
      <c r="H1393" s="5" t="s">
        <v>637</v>
      </c>
      <c r="I1393" s="10">
        <f>IF(OR(D1393="", F1393=""), "", F1393 * VLOOKUP(D1393, Products!A:E, 5, FALSE) * (1 - G1393))</f>
        <v>312.87299999999999</v>
      </c>
      <c r="J1393" s="10"/>
    </row>
    <row r="1394" spans="1:10" ht="15.75" customHeight="1" x14ac:dyDescent="0.3">
      <c r="A1394" s="5" t="s">
        <v>2261</v>
      </c>
      <c r="B1394" s="11">
        <v>45620</v>
      </c>
      <c r="C1394" s="5" t="s">
        <v>550</v>
      </c>
      <c r="D1394" s="5" t="s">
        <v>200</v>
      </c>
      <c r="E1394" s="5" t="s">
        <v>29</v>
      </c>
      <c r="F1394" s="5">
        <v>5</v>
      </c>
      <c r="G1394" s="19">
        <v>0.15</v>
      </c>
      <c r="H1394" s="5" t="s">
        <v>697</v>
      </c>
      <c r="I1394" s="10">
        <f>IF(OR(D1394="", F1394=""), "", F1394 * VLOOKUP(D1394, Products!A:E, 5, FALSE) * (1 - G1394))</f>
        <v>4656.8100000000004</v>
      </c>
      <c r="J1394" s="10"/>
    </row>
    <row r="1395" spans="1:10" ht="15.75" customHeight="1" x14ac:dyDescent="0.3">
      <c r="A1395" s="5" t="s">
        <v>2262</v>
      </c>
      <c r="B1395" s="11">
        <v>45553</v>
      </c>
      <c r="C1395" s="5" t="s">
        <v>100</v>
      </c>
      <c r="D1395" s="5" t="s">
        <v>291</v>
      </c>
      <c r="E1395" s="5" t="s">
        <v>37</v>
      </c>
      <c r="F1395" s="5">
        <v>2</v>
      </c>
      <c r="G1395" s="19">
        <v>0.15</v>
      </c>
      <c r="H1395" s="5" t="s">
        <v>697</v>
      </c>
      <c r="I1395" s="10">
        <f>IF(OR(D1395="", F1395=""), "", F1395 * VLOOKUP(D1395, Products!A:E, 5, FALSE) * (1 - G1395))</f>
        <v>1775.8880000000001</v>
      </c>
      <c r="J1395" s="10"/>
    </row>
    <row r="1396" spans="1:10" ht="15.75" customHeight="1" x14ac:dyDescent="0.3">
      <c r="A1396" s="5" t="s">
        <v>2263</v>
      </c>
      <c r="B1396" s="11">
        <v>45755</v>
      </c>
      <c r="C1396" s="5" t="s">
        <v>779</v>
      </c>
      <c r="D1396" s="5" t="s">
        <v>109</v>
      </c>
      <c r="E1396" s="5" t="s">
        <v>33</v>
      </c>
      <c r="F1396" s="5">
        <v>3</v>
      </c>
      <c r="G1396" s="19">
        <v>0.15</v>
      </c>
      <c r="H1396" s="5" t="s">
        <v>776</v>
      </c>
      <c r="I1396" s="10">
        <f>IF(OR(D1396="", F1396=""), "", F1396 * VLOOKUP(D1396, Products!A:E, 5, FALSE) * (1 - G1396))</f>
        <v>4739.8125</v>
      </c>
      <c r="J1396" s="10"/>
    </row>
    <row r="1397" spans="1:10" ht="15.75" customHeight="1" x14ac:dyDescent="0.3">
      <c r="A1397" s="5" t="s">
        <v>2264</v>
      </c>
      <c r="B1397" s="11">
        <v>45747</v>
      </c>
      <c r="C1397" s="5" t="s">
        <v>661</v>
      </c>
      <c r="D1397" s="5" t="s">
        <v>115</v>
      </c>
      <c r="E1397" s="5" t="s">
        <v>25</v>
      </c>
      <c r="F1397" s="5">
        <v>3</v>
      </c>
      <c r="G1397" s="19">
        <v>0.15</v>
      </c>
      <c r="H1397" s="5" t="s">
        <v>697</v>
      </c>
      <c r="I1397" s="10">
        <f>IF(OR(D1397="", F1397=""), "", F1397 * VLOOKUP(D1397, Products!A:E, 5, FALSE) * (1 - G1397))</f>
        <v>3177.5805</v>
      </c>
      <c r="J1397" s="10"/>
    </row>
    <row r="1398" spans="1:10" ht="15.75" customHeight="1" x14ac:dyDescent="0.3">
      <c r="A1398" s="5" t="s">
        <v>2265</v>
      </c>
      <c r="B1398" s="11">
        <v>45391</v>
      </c>
      <c r="C1398" s="5" t="s">
        <v>397</v>
      </c>
      <c r="D1398" s="5" t="s">
        <v>180</v>
      </c>
      <c r="E1398" s="5" t="s">
        <v>25</v>
      </c>
      <c r="F1398" s="5">
        <v>3</v>
      </c>
      <c r="G1398" s="19">
        <v>0.15</v>
      </c>
      <c r="H1398" s="5" t="s">
        <v>637</v>
      </c>
      <c r="I1398" s="10">
        <f>IF(OR(D1398="", F1398=""), "", F1398 * VLOOKUP(D1398, Products!A:E, 5, FALSE) * (1 - G1398))</f>
        <v>1718.1389999999999</v>
      </c>
      <c r="J1398" s="10"/>
    </row>
    <row r="1399" spans="1:10" ht="15.75" customHeight="1" x14ac:dyDescent="0.3">
      <c r="A1399" s="5" t="s">
        <v>2266</v>
      </c>
      <c r="B1399" s="11">
        <v>45685</v>
      </c>
      <c r="C1399" s="5" t="s">
        <v>474</v>
      </c>
      <c r="D1399" s="5" t="s">
        <v>128</v>
      </c>
      <c r="E1399" s="5" t="s">
        <v>21</v>
      </c>
      <c r="F1399" s="5">
        <v>2</v>
      </c>
      <c r="G1399" s="19">
        <v>0.15</v>
      </c>
      <c r="H1399" s="5" t="s">
        <v>454</v>
      </c>
      <c r="I1399" s="10">
        <f>IF(OR(D1399="", F1399=""), "", F1399 * VLOOKUP(D1399, Products!A:E, 5, FALSE) * (1 - G1399))</f>
        <v>550.66399999999999</v>
      </c>
      <c r="J1399" s="10"/>
    </row>
    <row r="1400" spans="1:10" ht="15.75" customHeight="1" x14ac:dyDescent="0.3">
      <c r="A1400" s="5" t="s">
        <v>2267</v>
      </c>
      <c r="B1400" s="11">
        <v>45831</v>
      </c>
      <c r="C1400" s="5" t="s">
        <v>443</v>
      </c>
      <c r="D1400" s="5" t="s">
        <v>50</v>
      </c>
      <c r="E1400" s="5" t="s">
        <v>25</v>
      </c>
      <c r="F1400" s="5">
        <v>3</v>
      </c>
      <c r="G1400" s="19">
        <v>0.05</v>
      </c>
      <c r="H1400" s="5" t="s">
        <v>637</v>
      </c>
      <c r="I1400" s="10">
        <f>IF(OR(D1400="", F1400=""), "", F1400 * VLOOKUP(D1400, Products!A:E, 5, FALSE) * (1 - G1400))</f>
        <v>962.24549999999999</v>
      </c>
      <c r="J1400" s="10"/>
    </row>
    <row r="1401" spans="1:10" ht="15.75" customHeight="1" x14ac:dyDescent="0.3">
      <c r="A1401" s="5" t="s">
        <v>2268</v>
      </c>
      <c r="B1401" s="11">
        <v>45766</v>
      </c>
      <c r="C1401" s="5" t="s">
        <v>397</v>
      </c>
      <c r="D1401" s="5" t="s">
        <v>153</v>
      </c>
      <c r="E1401" s="5" t="s">
        <v>21</v>
      </c>
      <c r="F1401" s="5">
        <v>2</v>
      </c>
      <c r="G1401" s="19">
        <v>0.05</v>
      </c>
      <c r="H1401" s="5" t="s">
        <v>776</v>
      </c>
      <c r="I1401" s="10">
        <f>IF(OR(D1401="", F1401=""), "", F1401 * VLOOKUP(D1401, Products!A:E, 5, FALSE) * (1 - G1401))</f>
        <v>2826.0790000000002</v>
      </c>
      <c r="J1401" s="10"/>
    </row>
    <row r="1402" spans="1:10" ht="15.75" customHeight="1" x14ac:dyDescent="0.3">
      <c r="A1402" s="5" t="s">
        <v>2269</v>
      </c>
      <c r="B1402" s="11">
        <v>45859</v>
      </c>
      <c r="C1402" s="5" t="s">
        <v>401</v>
      </c>
      <c r="D1402" s="5" t="s">
        <v>89</v>
      </c>
      <c r="E1402" s="5" t="s">
        <v>29</v>
      </c>
      <c r="F1402" s="5">
        <v>4</v>
      </c>
      <c r="G1402" s="19">
        <v>0.15</v>
      </c>
      <c r="H1402" s="5" t="s">
        <v>637</v>
      </c>
      <c r="I1402" s="10">
        <f>IF(OR(D1402="", F1402=""), "", F1402 * VLOOKUP(D1402, Products!A:E, 5, FALSE) * (1 - G1402))</f>
        <v>3858.3199999999997</v>
      </c>
      <c r="J1402" s="10"/>
    </row>
    <row r="1403" spans="1:10" ht="15.75" customHeight="1" x14ac:dyDescent="0.3">
      <c r="A1403" s="5" t="s">
        <v>2270</v>
      </c>
      <c r="B1403" s="11">
        <v>45382</v>
      </c>
      <c r="C1403" s="5" t="s">
        <v>571</v>
      </c>
      <c r="D1403" s="5" t="s">
        <v>119</v>
      </c>
      <c r="E1403" s="5" t="s">
        <v>21</v>
      </c>
      <c r="F1403" s="5">
        <v>2</v>
      </c>
      <c r="G1403" s="19">
        <v>0.05</v>
      </c>
      <c r="H1403" s="5" t="s">
        <v>454</v>
      </c>
      <c r="I1403" s="10">
        <f>IF(OR(D1403="", F1403=""), "", F1403 * VLOOKUP(D1403, Products!A:E, 5, FALSE) * (1 - G1403))</f>
        <v>2051.7910000000002</v>
      </c>
      <c r="J1403" s="10"/>
    </row>
    <row r="1404" spans="1:10" ht="15.75" customHeight="1" x14ac:dyDescent="0.3">
      <c r="A1404" s="5" t="s">
        <v>2271</v>
      </c>
      <c r="B1404" s="11">
        <v>45262</v>
      </c>
      <c r="C1404" s="5" t="s">
        <v>286</v>
      </c>
      <c r="D1404" s="5" t="s">
        <v>168</v>
      </c>
      <c r="E1404" s="5" t="s">
        <v>21</v>
      </c>
      <c r="F1404" s="5">
        <v>3</v>
      </c>
      <c r="G1404" s="19">
        <v>0.1</v>
      </c>
      <c r="H1404" s="5" t="s">
        <v>697</v>
      </c>
      <c r="I1404" s="10">
        <f>IF(OR(D1404="", F1404=""), "", F1404 * VLOOKUP(D1404, Products!A:E, 5, FALSE) * (1 - G1404))</f>
        <v>2742.5519999999997</v>
      </c>
      <c r="J1404" s="10"/>
    </row>
    <row r="1405" spans="1:10" ht="15.75" customHeight="1" x14ac:dyDescent="0.3">
      <c r="A1405" s="5" t="s">
        <v>2272</v>
      </c>
      <c r="B1405" s="11">
        <v>45508</v>
      </c>
      <c r="C1405" s="5" t="s">
        <v>762</v>
      </c>
      <c r="D1405" s="5" t="s">
        <v>200</v>
      </c>
      <c r="E1405" s="5" t="s">
        <v>21</v>
      </c>
      <c r="F1405" s="5">
        <v>4</v>
      </c>
      <c r="G1405" s="19">
        <v>0</v>
      </c>
      <c r="H1405" s="5" t="s">
        <v>776</v>
      </c>
      <c r="I1405" s="10">
        <f>IF(OR(D1405="", F1405=""), "", F1405 * VLOOKUP(D1405, Products!A:E, 5, FALSE) * (1 - G1405))</f>
        <v>4382.88</v>
      </c>
      <c r="J1405" s="10"/>
    </row>
    <row r="1406" spans="1:10" ht="15.75" customHeight="1" x14ac:dyDescent="0.3">
      <c r="A1406" s="5" t="s">
        <v>2273</v>
      </c>
      <c r="B1406" s="11">
        <v>45705</v>
      </c>
      <c r="C1406" s="5" t="s">
        <v>203</v>
      </c>
      <c r="D1406" s="5" t="s">
        <v>280</v>
      </c>
      <c r="E1406" s="5" t="s">
        <v>29</v>
      </c>
      <c r="F1406" s="5">
        <v>5</v>
      </c>
      <c r="G1406" s="19">
        <v>0.1</v>
      </c>
      <c r="H1406" s="5" t="s">
        <v>776</v>
      </c>
      <c r="I1406" s="10">
        <f>IF(OR(D1406="", F1406=""), "", F1406 * VLOOKUP(D1406, Products!A:E, 5, FALSE) * (1 - G1406))</f>
        <v>5473.62</v>
      </c>
      <c r="J1406" s="10"/>
    </row>
    <row r="1407" spans="1:10" ht="15.75" customHeight="1" x14ac:dyDescent="0.3">
      <c r="A1407" s="5" t="s">
        <v>2274</v>
      </c>
      <c r="B1407" s="11">
        <v>45531</v>
      </c>
      <c r="C1407" s="5" t="s">
        <v>557</v>
      </c>
      <c r="D1407" s="5" t="s">
        <v>226</v>
      </c>
      <c r="E1407" s="5" t="s">
        <v>29</v>
      </c>
      <c r="F1407" s="5">
        <v>1</v>
      </c>
      <c r="G1407" s="19">
        <v>0.15</v>
      </c>
      <c r="H1407" s="5" t="s">
        <v>697</v>
      </c>
      <c r="I1407" s="10">
        <f>IF(OR(D1407="", F1407=""), "", F1407 * VLOOKUP(D1407, Products!A:E, 5, FALSE) * (1 - G1407))</f>
        <v>1276.241</v>
      </c>
      <c r="J1407" s="10"/>
    </row>
    <row r="1408" spans="1:10" ht="15.75" customHeight="1" x14ac:dyDescent="0.3">
      <c r="A1408" s="5" t="s">
        <v>2275</v>
      </c>
      <c r="B1408" s="11">
        <v>45574</v>
      </c>
      <c r="C1408" s="5" t="s">
        <v>393</v>
      </c>
      <c r="D1408" s="5" t="s">
        <v>122</v>
      </c>
      <c r="E1408" s="5" t="s">
        <v>21</v>
      </c>
      <c r="F1408" s="5">
        <v>5</v>
      </c>
      <c r="G1408" s="19">
        <v>0</v>
      </c>
      <c r="H1408" s="5" t="s">
        <v>454</v>
      </c>
      <c r="I1408" s="10">
        <f>IF(OR(D1408="", F1408=""), "", F1408 * VLOOKUP(D1408, Products!A:E, 5, FALSE) * (1 - G1408))</f>
        <v>8814.6</v>
      </c>
      <c r="J1408" s="10"/>
    </row>
    <row r="1409" spans="1:10" ht="15.75" customHeight="1" x14ac:dyDescent="0.3">
      <c r="A1409" s="5" t="s">
        <v>2276</v>
      </c>
      <c r="B1409" s="11">
        <v>45560</v>
      </c>
      <c r="C1409" s="5" t="s">
        <v>638</v>
      </c>
      <c r="D1409" s="5" t="s">
        <v>188</v>
      </c>
      <c r="E1409" s="5" t="s">
        <v>21</v>
      </c>
      <c r="F1409" s="5">
        <v>2</v>
      </c>
      <c r="G1409" s="19">
        <v>0</v>
      </c>
      <c r="H1409" s="5" t="s">
        <v>454</v>
      </c>
      <c r="I1409" s="10">
        <f>IF(OR(D1409="", F1409=""), "", F1409 * VLOOKUP(D1409, Products!A:E, 5, FALSE) * (1 - G1409))</f>
        <v>2970.1</v>
      </c>
      <c r="J1409" s="10"/>
    </row>
    <row r="1410" spans="1:10" ht="15.75" customHeight="1" x14ac:dyDescent="0.3">
      <c r="A1410" s="5" t="s">
        <v>2277</v>
      </c>
      <c r="B1410" s="11">
        <v>45894</v>
      </c>
      <c r="C1410" s="5" t="s">
        <v>484</v>
      </c>
      <c r="D1410" s="5" t="s">
        <v>43</v>
      </c>
      <c r="E1410" s="5" t="s">
        <v>37</v>
      </c>
      <c r="F1410" s="5">
        <v>4</v>
      </c>
      <c r="G1410" s="19">
        <v>0.05</v>
      </c>
      <c r="H1410" s="5" t="s">
        <v>637</v>
      </c>
      <c r="I1410" s="10">
        <f>IF(OR(D1410="", F1410=""), "", F1410 * VLOOKUP(D1410, Products!A:E, 5, FALSE) * (1 - G1410))</f>
        <v>6360.0219999999999</v>
      </c>
      <c r="J1410" s="10"/>
    </row>
    <row r="1411" spans="1:10" ht="15.75" customHeight="1" x14ac:dyDescent="0.3">
      <c r="A1411" s="5" t="s">
        <v>2278</v>
      </c>
      <c r="B1411" s="11">
        <v>45798</v>
      </c>
      <c r="C1411" s="5" t="s">
        <v>372</v>
      </c>
      <c r="D1411" s="5" t="s">
        <v>168</v>
      </c>
      <c r="E1411" s="5" t="s">
        <v>25</v>
      </c>
      <c r="F1411" s="5">
        <v>1</v>
      </c>
      <c r="G1411" s="19">
        <v>0.05</v>
      </c>
      <c r="H1411" s="5" t="s">
        <v>697</v>
      </c>
      <c r="I1411" s="10">
        <f>IF(OR(D1411="", F1411=""), "", F1411 * VLOOKUP(D1411, Products!A:E, 5, FALSE) * (1 - G1411))</f>
        <v>964.97199999999998</v>
      </c>
      <c r="J1411" s="10"/>
    </row>
    <row r="1412" spans="1:10" ht="15.75" customHeight="1" x14ac:dyDescent="0.3">
      <c r="A1412" s="5" t="s">
        <v>2279</v>
      </c>
      <c r="B1412" s="11">
        <v>45330</v>
      </c>
      <c r="C1412" s="5" t="s">
        <v>433</v>
      </c>
      <c r="D1412" s="5" t="s">
        <v>67</v>
      </c>
      <c r="E1412" s="5" t="s">
        <v>33</v>
      </c>
      <c r="F1412" s="5">
        <v>4</v>
      </c>
      <c r="G1412" s="19">
        <v>0.1</v>
      </c>
      <c r="H1412" s="5" t="s">
        <v>776</v>
      </c>
      <c r="I1412" s="10">
        <f>IF(OR(D1412="", F1412=""), "", F1412 * VLOOKUP(D1412, Products!A:E, 5, FALSE) * (1 - G1412))</f>
        <v>395.20800000000003</v>
      </c>
      <c r="J1412" s="10"/>
    </row>
    <row r="1413" spans="1:10" ht="15.75" customHeight="1" x14ac:dyDescent="0.3">
      <c r="A1413" s="5" t="s">
        <v>2280</v>
      </c>
      <c r="B1413" s="11">
        <v>45278</v>
      </c>
      <c r="C1413" s="5" t="s">
        <v>631</v>
      </c>
      <c r="D1413" s="5" t="s">
        <v>265</v>
      </c>
      <c r="E1413" s="5" t="s">
        <v>37</v>
      </c>
      <c r="F1413" s="5">
        <v>3</v>
      </c>
      <c r="G1413" s="19">
        <v>0</v>
      </c>
      <c r="H1413" s="5" t="s">
        <v>454</v>
      </c>
      <c r="I1413" s="10">
        <f>IF(OR(D1413="", F1413=""), "", F1413 * VLOOKUP(D1413, Products!A:E, 5, FALSE) * (1 - G1413))</f>
        <v>1693.2599999999998</v>
      </c>
      <c r="J1413" s="10"/>
    </row>
    <row r="1414" spans="1:10" ht="15.75" customHeight="1" x14ac:dyDescent="0.3">
      <c r="A1414" s="5" t="s">
        <v>2281</v>
      </c>
      <c r="B1414" s="11">
        <v>45449</v>
      </c>
      <c r="C1414" s="5" t="s">
        <v>680</v>
      </c>
      <c r="D1414" s="5" t="s">
        <v>57</v>
      </c>
      <c r="E1414" s="5" t="s">
        <v>33</v>
      </c>
      <c r="F1414" s="5">
        <v>4</v>
      </c>
      <c r="G1414" s="19">
        <v>0.05</v>
      </c>
      <c r="H1414" s="5" t="s">
        <v>454</v>
      </c>
      <c r="I1414" s="10">
        <f>IF(OR(D1414="", F1414=""), "", F1414 * VLOOKUP(D1414, Products!A:E, 5, FALSE) * (1 - G1414))</f>
        <v>5305.6359999999995</v>
      </c>
      <c r="J1414" s="10"/>
    </row>
    <row r="1415" spans="1:10" ht="15.75" customHeight="1" x14ac:dyDescent="0.3">
      <c r="A1415" s="5" t="s">
        <v>2282</v>
      </c>
      <c r="B1415" s="11">
        <v>45516</v>
      </c>
      <c r="C1415" s="5" t="s">
        <v>300</v>
      </c>
      <c r="D1415" s="5" t="s">
        <v>291</v>
      </c>
      <c r="E1415" s="5" t="s">
        <v>29</v>
      </c>
      <c r="F1415" s="5">
        <v>4</v>
      </c>
      <c r="G1415" s="19">
        <v>0.1</v>
      </c>
      <c r="H1415" s="5" t="s">
        <v>454</v>
      </c>
      <c r="I1415" s="10">
        <f>IF(OR(D1415="", F1415=""), "", F1415 * VLOOKUP(D1415, Products!A:E, 5, FALSE) * (1 - G1415))</f>
        <v>3760.7040000000006</v>
      </c>
      <c r="J1415" s="10"/>
    </row>
    <row r="1416" spans="1:10" ht="15.75" customHeight="1" x14ac:dyDescent="0.3">
      <c r="A1416" s="5" t="s">
        <v>2283</v>
      </c>
      <c r="B1416" s="11">
        <v>45403</v>
      </c>
      <c r="C1416" s="5" t="s">
        <v>106</v>
      </c>
      <c r="D1416" s="5" t="s">
        <v>291</v>
      </c>
      <c r="E1416" s="5" t="s">
        <v>37</v>
      </c>
      <c r="F1416" s="5">
        <v>1</v>
      </c>
      <c r="G1416" s="19">
        <v>0</v>
      </c>
      <c r="H1416" s="5" t="s">
        <v>697</v>
      </c>
      <c r="I1416" s="10">
        <f>IF(OR(D1416="", F1416=""), "", F1416 * VLOOKUP(D1416, Products!A:E, 5, FALSE) * (1 - G1416))</f>
        <v>1044.6400000000001</v>
      </c>
      <c r="J1416" s="10"/>
    </row>
    <row r="1417" spans="1:10" ht="15.75" customHeight="1" x14ac:dyDescent="0.3">
      <c r="A1417" s="5" t="s">
        <v>2284</v>
      </c>
      <c r="B1417" s="11">
        <v>45719</v>
      </c>
      <c r="C1417" s="5" t="s">
        <v>409</v>
      </c>
      <c r="D1417" s="5" t="s">
        <v>168</v>
      </c>
      <c r="E1417" s="5" t="s">
        <v>37</v>
      </c>
      <c r="F1417" s="5">
        <v>4</v>
      </c>
      <c r="G1417" s="19">
        <v>0.1</v>
      </c>
      <c r="H1417" s="5" t="s">
        <v>454</v>
      </c>
      <c r="I1417" s="10">
        <f>IF(OR(D1417="", F1417=""), "", F1417 * VLOOKUP(D1417, Products!A:E, 5, FALSE) * (1 - G1417))</f>
        <v>3656.7359999999999</v>
      </c>
      <c r="J1417" s="10"/>
    </row>
    <row r="1418" spans="1:10" ht="15.75" customHeight="1" x14ac:dyDescent="0.3">
      <c r="A1418" s="5" t="s">
        <v>2285</v>
      </c>
      <c r="B1418" s="11">
        <v>45804</v>
      </c>
      <c r="C1418" s="5" t="s">
        <v>800</v>
      </c>
      <c r="D1418" s="5" t="s">
        <v>291</v>
      </c>
      <c r="E1418" s="5" t="s">
        <v>21</v>
      </c>
      <c r="F1418" s="5">
        <v>5</v>
      </c>
      <c r="G1418" s="19">
        <v>0.05</v>
      </c>
      <c r="H1418" s="5" t="s">
        <v>637</v>
      </c>
      <c r="I1418" s="10">
        <f>IF(OR(D1418="", F1418=""), "", F1418 * VLOOKUP(D1418, Products!A:E, 5, FALSE) * (1 - G1418))</f>
        <v>4962.0400000000009</v>
      </c>
      <c r="J1418" s="10"/>
    </row>
    <row r="1419" spans="1:10" ht="15.75" customHeight="1" x14ac:dyDescent="0.3">
      <c r="A1419" s="5" t="s">
        <v>2286</v>
      </c>
      <c r="B1419" s="11">
        <v>45425</v>
      </c>
      <c r="C1419" s="5" t="s">
        <v>539</v>
      </c>
      <c r="D1419" s="5" t="s">
        <v>57</v>
      </c>
      <c r="E1419" s="5" t="s">
        <v>21</v>
      </c>
      <c r="F1419" s="5">
        <v>4</v>
      </c>
      <c r="G1419" s="19">
        <v>0.1</v>
      </c>
      <c r="H1419" s="5" t="s">
        <v>454</v>
      </c>
      <c r="I1419" s="10">
        <f>IF(OR(D1419="", F1419=""), "", F1419 * VLOOKUP(D1419, Products!A:E, 5, FALSE) * (1 - G1419))</f>
        <v>5026.3919999999998</v>
      </c>
      <c r="J1419" s="10"/>
    </row>
    <row r="1420" spans="1:10" ht="15.75" customHeight="1" x14ac:dyDescent="0.3">
      <c r="A1420" s="5" t="s">
        <v>2287</v>
      </c>
      <c r="B1420" s="11">
        <v>45559</v>
      </c>
      <c r="C1420" s="5" t="s">
        <v>215</v>
      </c>
      <c r="D1420" s="5" t="s">
        <v>217</v>
      </c>
      <c r="E1420" s="5" t="s">
        <v>25</v>
      </c>
      <c r="F1420" s="5">
        <v>3</v>
      </c>
      <c r="G1420" s="19">
        <v>0.05</v>
      </c>
      <c r="H1420" s="5" t="s">
        <v>697</v>
      </c>
      <c r="I1420" s="10">
        <f>IF(OR(D1420="", F1420=""), "", F1420 * VLOOKUP(D1420, Products!A:E, 5, FALSE) * (1 - G1420))</f>
        <v>1219.9425000000001</v>
      </c>
      <c r="J1420" s="10"/>
    </row>
    <row r="1421" spans="1:10" ht="15.75" customHeight="1" x14ac:dyDescent="0.3">
      <c r="A1421" s="5" t="s">
        <v>2288</v>
      </c>
      <c r="B1421" s="11">
        <v>45379</v>
      </c>
      <c r="C1421" s="5" t="s">
        <v>586</v>
      </c>
      <c r="D1421" s="5" t="s">
        <v>168</v>
      </c>
      <c r="E1421" s="5" t="s">
        <v>29</v>
      </c>
      <c r="F1421" s="5">
        <v>4</v>
      </c>
      <c r="G1421" s="19">
        <v>0</v>
      </c>
      <c r="H1421" s="5" t="s">
        <v>454</v>
      </c>
      <c r="I1421" s="10">
        <f>IF(OR(D1421="", F1421=""), "", F1421 * VLOOKUP(D1421, Products!A:E, 5, FALSE) * (1 - G1421))</f>
        <v>4063.04</v>
      </c>
      <c r="J1421" s="10"/>
    </row>
    <row r="1422" spans="1:10" ht="15.75" customHeight="1" x14ac:dyDescent="0.3">
      <c r="A1422" s="5" t="s">
        <v>2289</v>
      </c>
      <c r="B1422" s="11">
        <v>45474</v>
      </c>
      <c r="C1422" s="5" t="s">
        <v>197</v>
      </c>
      <c r="D1422" s="5" t="s">
        <v>47</v>
      </c>
      <c r="E1422" s="5" t="s">
        <v>33</v>
      </c>
      <c r="F1422" s="5">
        <v>4</v>
      </c>
      <c r="G1422" s="19">
        <v>0.15</v>
      </c>
      <c r="H1422" s="5" t="s">
        <v>454</v>
      </c>
      <c r="I1422" s="10">
        <f>IF(OR(D1422="", F1422=""), "", F1422 * VLOOKUP(D1422, Products!A:E, 5, FALSE) * (1 - G1422))</f>
        <v>2783.7840000000001</v>
      </c>
      <c r="J1422" s="10"/>
    </row>
    <row r="1423" spans="1:10" ht="15.75" customHeight="1" x14ac:dyDescent="0.3">
      <c r="A1423" s="5" t="s">
        <v>2290</v>
      </c>
      <c r="B1423" s="11">
        <v>45179</v>
      </c>
      <c r="C1423" s="5" t="s">
        <v>826</v>
      </c>
      <c r="D1423" s="5" t="s">
        <v>109</v>
      </c>
      <c r="E1423" s="5" t="s">
        <v>33</v>
      </c>
      <c r="F1423" s="5">
        <v>1</v>
      </c>
      <c r="G1423" s="19">
        <v>0.05</v>
      </c>
      <c r="H1423" s="5" t="s">
        <v>454</v>
      </c>
      <c r="I1423" s="10">
        <f>IF(OR(D1423="", F1423=""), "", F1423 * VLOOKUP(D1423, Products!A:E, 5, FALSE) * (1 - G1423))</f>
        <v>1765.8125</v>
      </c>
      <c r="J1423" s="10"/>
    </row>
    <row r="1424" spans="1:10" ht="15.75" customHeight="1" x14ac:dyDescent="0.3">
      <c r="A1424" s="5" t="s">
        <v>2291</v>
      </c>
      <c r="B1424" s="11">
        <v>45788</v>
      </c>
      <c r="C1424" s="5" t="s">
        <v>645</v>
      </c>
      <c r="D1424" s="5" t="s">
        <v>243</v>
      </c>
      <c r="E1424" s="5" t="s">
        <v>21</v>
      </c>
      <c r="F1424" s="5">
        <v>3</v>
      </c>
      <c r="G1424" s="19">
        <v>0.15</v>
      </c>
      <c r="H1424" s="5" t="s">
        <v>454</v>
      </c>
      <c r="I1424" s="10">
        <f>IF(OR(D1424="", F1424=""), "", F1424 * VLOOKUP(D1424, Products!A:E, 5, FALSE) * (1 - G1424))</f>
        <v>1379.3970000000002</v>
      </c>
      <c r="J1424" s="10"/>
    </row>
    <row r="1425" spans="1:10" ht="15.75" customHeight="1" x14ac:dyDescent="0.3">
      <c r="A1425" s="5" t="s">
        <v>2292</v>
      </c>
      <c r="B1425" s="11">
        <v>45448</v>
      </c>
      <c r="C1425" s="5" t="s">
        <v>600</v>
      </c>
      <c r="D1425" s="5" t="s">
        <v>237</v>
      </c>
      <c r="E1425" s="5" t="s">
        <v>21</v>
      </c>
      <c r="F1425" s="5">
        <v>1</v>
      </c>
      <c r="G1425" s="19">
        <v>0.05</v>
      </c>
      <c r="H1425" s="5" t="s">
        <v>637</v>
      </c>
      <c r="I1425" s="10">
        <f>IF(OR(D1425="", F1425=""), "", F1425 * VLOOKUP(D1425, Products!A:E, 5, FALSE) * (1 - G1425))</f>
        <v>348.58350000000002</v>
      </c>
      <c r="J1425" s="10"/>
    </row>
    <row r="1426" spans="1:10" ht="15.75" customHeight="1" x14ac:dyDescent="0.3">
      <c r="A1426" s="5" t="s">
        <v>2293</v>
      </c>
      <c r="B1426" s="11">
        <v>45390</v>
      </c>
      <c r="C1426" s="5" t="s">
        <v>762</v>
      </c>
      <c r="D1426" s="5" t="s">
        <v>200</v>
      </c>
      <c r="E1426" s="5" t="s">
        <v>25</v>
      </c>
      <c r="F1426" s="5">
        <v>1</v>
      </c>
      <c r="G1426" s="19">
        <v>0.15</v>
      </c>
      <c r="H1426" s="5" t="s">
        <v>697</v>
      </c>
      <c r="I1426" s="10">
        <f>IF(OR(D1426="", F1426=""), "", F1426 * VLOOKUP(D1426, Products!A:E, 5, FALSE) * (1 - G1426))</f>
        <v>931.36199999999997</v>
      </c>
      <c r="J1426" s="10"/>
    </row>
    <row r="1427" spans="1:10" ht="15.75" customHeight="1" x14ac:dyDescent="0.3">
      <c r="A1427" s="5" t="s">
        <v>2294</v>
      </c>
      <c r="B1427" s="11">
        <v>45236</v>
      </c>
      <c r="C1427" s="5" t="s">
        <v>750</v>
      </c>
      <c r="D1427" s="5" t="s">
        <v>147</v>
      </c>
      <c r="E1427" s="5" t="s">
        <v>29</v>
      </c>
      <c r="F1427" s="5">
        <v>3</v>
      </c>
      <c r="G1427" s="19">
        <v>0</v>
      </c>
      <c r="H1427" s="5" t="s">
        <v>776</v>
      </c>
      <c r="I1427" s="10">
        <f>IF(OR(D1427="", F1427=""), "", F1427 * VLOOKUP(D1427, Products!A:E, 5, FALSE) * (1 - G1427))</f>
        <v>5635.41</v>
      </c>
      <c r="J1427" s="10"/>
    </row>
    <row r="1428" spans="1:10" ht="15.75" customHeight="1" x14ac:dyDescent="0.3">
      <c r="A1428" s="5" t="s">
        <v>2295</v>
      </c>
      <c r="B1428" s="11">
        <v>45752</v>
      </c>
      <c r="C1428" s="5" t="s">
        <v>312</v>
      </c>
      <c r="D1428" s="5" t="s">
        <v>147</v>
      </c>
      <c r="E1428" s="5" t="s">
        <v>25</v>
      </c>
      <c r="F1428" s="5">
        <v>5</v>
      </c>
      <c r="G1428" s="19">
        <v>0.05</v>
      </c>
      <c r="H1428" s="5" t="s">
        <v>637</v>
      </c>
      <c r="I1428" s="10">
        <f>IF(OR(D1428="", F1428=""), "", F1428 * VLOOKUP(D1428, Products!A:E, 5, FALSE) * (1 - G1428))</f>
        <v>8922.7325000000001</v>
      </c>
      <c r="J1428" s="10"/>
    </row>
    <row r="1429" spans="1:10" ht="15.75" customHeight="1" x14ac:dyDescent="0.3">
      <c r="A1429" s="5" t="s">
        <v>2296</v>
      </c>
      <c r="B1429" s="11">
        <v>45358</v>
      </c>
      <c r="C1429" s="5" t="s">
        <v>474</v>
      </c>
      <c r="D1429" s="5" t="s">
        <v>243</v>
      </c>
      <c r="E1429" s="5" t="s">
        <v>33</v>
      </c>
      <c r="F1429" s="5">
        <v>4</v>
      </c>
      <c r="G1429" s="19">
        <v>0.05</v>
      </c>
      <c r="H1429" s="5" t="s">
        <v>454</v>
      </c>
      <c r="I1429" s="10">
        <f>IF(OR(D1429="", F1429=""), "", F1429 * VLOOKUP(D1429, Products!A:E, 5, FALSE) * (1 - G1429))</f>
        <v>2055.5720000000001</v>
      </c>
      <c r="J1429" s="10"/>
    </row>
    <row r="1430" spans="1:10" ht="15.75" customHeight="1" x14ac:dyDescent="0.3">
      <c r="A1430" s="5" t="s">
        <v>2297</v>
      </c>
      <c r="B1430" s="11">
        <v>45429</v>
      </c>
      <c r="C1430" s="5" t="s">
        <v>330</v>
      </c>
      <c r="D1430" s="5" t="s">
        <v>193</v>
      </c>
      <c r="E1430" s="5" t="s">
        <v>37</v>
      </c>
      <c r="F1430" s="5">
        <v>3</v>
      </c>
      <c r="G1430" s="19">
        <v>0.1</v>
      </c>
      <c r="H1430" s="5" t="s">
        <v>697</v>
      </c>
      <c r="I1430" s="10">
        <f>IF(OR(D1430="", F1430=""), "", F1430 * VLOOKUP(D1430, Products!A:E, 5, FALSE) * (1 - G1430))</f>
        <v>78.948000000000008</v>
      </c>
      <c r="J1430" s="10"/>
    </row>
    <row r="1431" spans="1:10" ht="15.75" customHeight="1" x14ac:dyDescent="0.3">
      <c r="A1431" s="5" t="s">
        <v>2298</v>
      </c>
      <c r="B1431" s="11">
        <v>45491</v>
      </c>
      <c r="C1431" s="5" t="s">
        <v>203</v>
      </c>
      <c r="D1431" s="5" t="s">
        <v>74</v>
      </c>
      <c r="E1431" s="5" t="s">
        <v>33</v>
      </c>
      <c r="F1431" s="5">
        <v>3</v>
      </c>
      <c r="G1431" s="19">
        <v>0.05</v>
      </c>
      <c r="H1431" s="5" t="s">
        <v>637</v>
      </c>
      <c r="I1431" s="10">
        <f>IF(OR(D1431="", F1431=""), "", F1431 * VLOOKUP(D1431, Products!A:E, 5, FALSE) * (1 - G1431))</f>
        <v>3403.2419999999997</v>
      </c>
      <c r="J1431" s="10"/>
    </row>
    <row r="1432" spans="1:10" ht="15.75" customHeight="1" x14ac:dyDescent="0.3">
      <c r="A1432" s="5" t="s">
        <v>2299</v>
      </c>
      <c r="B1432" s="11">
        <v>45651</v>
      </c>
      <c r="C1432" s="5" t="s">
        <v>528</v>
      </c>
      <c r="D1432" s="5" t="s">
        <v>249</v>
      </c>
      <c r="E1432" s="5" t="s">
        <v>37</v>
      </c>
      <c r="F1432" s="5">
        <v>2</v>
      </c>
      <c r="G1432" s="19">
        <v>0</v>
      </c>
      <c r="H1432" s="5" t="s">
        <v>776</v>
      </c>
      <c r="I1432" s="10">
        <f>IF(OR(D1432="", F1432=""), "", F1432 * VLOOKUP(D1432, Products!A:E, 5, FALSE) * (1 - G1432))</f>
        <v>3491.22</v>
      </c>
      <c r="J1432" s="10"/>
    </row>
    <row r="1433" spans="1:10" ht="15.75" customHeight="1" x14ac:dyDescent="0.3">
      <c r="A1433" s="5" t="s">
        <v>2300</v>
      </c>
      <c r="B1433" s="11">
        <v>45259</v>
      </c>
      <c r="C1433" s="5" t="s">
        <v>691</v>
      </c>
      <c r="D1433" s="5" t="s">
        <v>128</v>
      </c>
      <c r="E1433" s="5" t="s">
        <v>37</v>
      </c>
      <c r="F1433" s="5">
        <v>2</v>
      </c>
      <c r="G1433" s="19">
        <v>0</v>
      </c>
      <c r="H1433" s="5" t="s">
        <v>637</v>
      </c>
      <c r="I1433" s="10">
        <f>IF(OR(D1433="", F1433=""), "", F1433 * VLOOKUP(D1433, Products!A:E, 5, FALSE) * (1 - G1433))</f>
        <v>647.84</v>
      </c>
      <c r="J1433" s="10"/>
    </row>
    <row r="1434" spans="1:10" ht="15.75" customHeight="1" x14ac:dyDescent="0.3">
      <c r="A1434" s="5" t="s">
        <v>2301</v>
      </c>
      <c r="B1434" s="11">
        <v>45483</v>
      </c>
      <c r="C1434" s="5" t="s">
        <v>353</v>
      </c>
      <c r="D1434" s="5" t="s">
        <v>267</v>
      </c>
      <c r="E1434" s="5" t="s">
        <v>29</v>
      </c>
      <c r="F1434" s="5">
        <v>2</v>
      </c>
      <c r="G1434" s="19">
        <v>0</v>
      </c>
      <c r="H1434" s="5" t="s">
        <v>637</v>
      </c>
      <c r="I1434" s="10">
        <f>IF(OR(D1434="", F1434=""), "", F1434 * VLOOKUP(D1434, Products!A:E, 5, FALSE) * (1 - G1434))</f>
        <v>2573.1</v>
      </c>
      <c r="J1434" s="10"/>
    </row>
    <row r="1435" spans="1:10" ht="15.75" customHeight="1" x14ac:dyDescent="0.3">
      <c r="A1435" s="5" t="s">
        <v>2302</v>
      </c>
      <c r="B1435" s="11">
        <v>45343</v>
      </c>
      <c r="C1435" s="5" t="s">
        <v>744</v>
      </c>
      <c r="D1435" s="5" t="s">
        <v>280</v>
      </c>
      <c r="E1435" s="5" t="s">
        <v>33</v>
      </c>
      <c r="F1435" s="5">
        <v>5</v>
      </c>
      <c r="G1435" s="19">
        <v>0.1</v>
      </c>
      <c r="H1435" s="5" t="s">
        <v>697</v>
      </c>
      <c r="I1435" s="10">
        <f>IF(OR(D1435="", F1435=""), "", F1435 * VLOOKUP(D1435, Products!A:E, 5, FALSE) * (1 - G1435))</f>
        <v>5473.62</v>
      </c>
      <c r="J1435" s="10"/>
    </row>
    <row r="1436" spans="1:10" ht="15.75" customHeight="1" x14ac:dyDescent="0.3">
      <c r="A1436" s="5" t="s">
        <v>2303</v>
      </c>
      <c r="B1436" s="11">
        <v>45747</v>
      </c>
      <c r="C1436" s="5" t="s">
        <v>209</v>
      </c>
      <c r="D1436" s="5" t="s">
        <v>50</v>
      </c>
      <c r="E1436" s="5" t="s">
        <v>29</v>
      </c>
      <c r="F1436" s="5">
        <v>2</v>
      </c>
      <c r="G1436" s="19">
        <v>0</v>
      </c>
      <c r="H1436" s="5" t="s">
        <v>776</v>
      </c>
      <c r="I1436" s="10">
        <f>IF(OR(D1436="", F1436=""), "", F1436 * VLOOKUP(D1436, Products!A:E, 5, FALSE) * (1 - G1436))</f>
        <v>675.26</v>
      </c>
      <c r="J1436" s="10"/>
    </row>
    <row r="1437" spans="1:10" ht="15.75" customHeight="1" x14ac:dyDescent="0.3">
      <c r="A1437" s="5" t="s">
        <v>2304</v>
      </c>
      <c r="B1437" s="11">
        <v>45793</v>
      </c>
      <c r="C1437" s="5" t="s">
        <v>826</v>
      </c>
      <c r="D1437" s="5" t="s">
        <v>265</v>
      </c>
      <c r="E1437" s="5" t="s">
        <v>37</v>
      </c>
      <c r="F1437" s="5">
        <v>4</v>
      </c>
      <c r="G1437" s="19">
        <v>0.15</v>
      </c>
      <c r="H1437" s="5" t="s">
        <v>637</v>
      </c>
      <c r="I1437" s="10">
        <f>IF(OR(D1437="", F1437=""), "", F1437 * VLOOKUP(D1437, Products!A:E, 5, FALSE) * (1 - G1437))</f>
        <v>1919.0279999999998</v>
      </c>
      <c r="J1437" s="10"/>
    </row>
    <row r="1438" spans="1:10" ht="15.75" customHeight="1" x14ac:dyDescent="0.3">
      <c r="A1438" s="5" t="s">
        <v>2305</v>
      </c>
      <c r="B1438" s="11">
        <v>45384</v>
      </c>
      <c r="C1438" s="5" t="s">
        <v>255</v>
      </c>
      <c r="D1438" s="5" t="s">
        <v>256</v>
      </c>
      <c r="E1438" s="5" t="s">
        <v>25</v>
      </c>
      <c r="F1438" s="5">
        <v>2</v>
      </c>
      <c r="G1438" s="19">
        <v>0.05</v>
      </c>
      <c r="H1438" s="5" t="s">
        <v>454</v>
      </c>
      <c r="I1438" s="10">
        <f>IF(OR(D1438="", F1438=""), "", F1438 * VLOOKUP(D1438, Products!A:E, 5, FALSE) * (1 - G1438))</f>
        <v>3106.5189999999998</v>
      </c>
      <c r="J1438" s="10"/>
    </row>
    <row r="1439" spans="1:10" ht="15.75" customHeight="1" x14ac:dyDescent="0.3">
      <c r="A1439" s="5" t="s">
        <v>2306</v>
      </c>
      <c r="B1439" s="11">
        <v>45694</v>
      </c>
      <c r="C1439" s="5" t="s">
        <v>443</v>
      </c>
      <c r="D1439" s="5" t="s">
        <v>188</v>
      </c>
      <c r="E1439" s="5" t="s">
        <v>33</v>
      </c>
      <c r="F1439" s="5">
        <v>4</v>
      </c>
      <c r="G1439" s="19">
        <v>0.05</v>
      </c>
      <c r="H1439" s="5" t="s">
        <v>637</v>
      </c>
      <c r="I1439" s="10">
        <f>IF(OR(D1439="", F1439=""), "", F1439 * VLOOKUP(D1439, Products!A:E, 5, FALSE) * (1 - G1439))</f>
        <v>5643.19</v>
      </c>
      <c r="J1439" s="10"/>
    </row>
    <row r="1440" spans="1:10" ht="15.75" customHeight="1" x14ac:dyDescent="0.3">
      <c r="A1440" s="5" t="s">
        <v>2307</v>
      </c>
      <c r="B1440" s="11">
        <v>45197</v>
      </c>
      <c r="C1440" s="5" t="s">
        <v>361</v>
      </c>
      <c r="D1440" s="5" t="s">
        <v>115</v>
      </c>
      <c r="E1440" s="5" t="s">
        <v>37</v>
      </c>
      <c r="F1440" s="5">
        <v>2</v>
      </c>
      <c r="G1440" s="19">
        <v>0.1</v>
      </c>
      <c r="H1440" s="5" t="s">
        <v>697</v>
      </c>
      <c r="I1440" s="10">
        <f>IF(OR(D1440="", F1440=""), "", F1440 * VLOOKUP(D1440, Products!A:E, 5, FALSE) * (1 - G1440))</f>
        <v>2242.998</v>
      </c>
      <c r="J1440" s="10"/>
    </row>
    <row r="1441" spans="1:10" ht="15.75" customHeight="1" x14ac:dyDescent="0.3">
      <c r="A1441" s="5" t="s">
        <v>2308</v>
      </c>
      <c r="B1441" s="11">
        <v>45609</v>
      </c>
      <c r="C1441" s="5" t="s">
        <v>567</v>
      </c>
      <c r="D1441" s="5" t="s">
        <v>103</v>
      </c>
      <c r="E1441" s="5" t="s">
        <v>25</v>
      </c>
      <c r="F1441" s="5">
        <v>4</v>
      </c>
      <c r="G1441" s="19">
        <v>0.05</v>
      </c>
      <c r="H1441" s="5" t="s">
        <v>776</v>
      </c>
      <c r="I1441" s="10">
        <f>IF(OR(D1441="", F1441=""), "", F1441 * VLOOKUP(D1441, Products!A:E, 5, FALSE) * (1 - G1441))</f>
        <v>1027.7099999999998</v>
      </c>
      <c r="J1441" s="10"/>
    </row>
    <row r="1442" spans="1:10" ht="15.75" customHeight="1" x14ac:dyDescent="0.3">
      <c r="A1442" s="5" t="s">
        <v>2309</v>
      </c>
      <c r="B1442" s="11">
        <v>45748</v>
      </c>
      <c r="C1442" s="5" t="s">
        <v>447</v>
      </c>
      <c r="D1442" s="5" t="s">
        <v>226</v>
      </c>
      <c r="E1442" s="5" t="s">
        <v>29</v>
      </c>
      <c r="F1442" s="5">
        <v>2</v>
      </c>
      <c r="G1442" s="19">
        <v>0.15</v>
      </c>
      <c r="H1442" s="5" t="s">
        <v>697</v>
      </c>
      <c r="I1442" s="10">
        <f>IF(OR(D1442="", F1442=""), "", F1442 * VLOOKUP(D1442, Products!A:E, 5, FALSE) * (1 - G1442))</f>
        <v>2552.482</v>
      </c>
      <c r="J1442" s="10"/>
    </row>
    <row r="1443" spans="1:10" ht="15.75" customHeight="1" x14ac:dyDescent="0.3">
      <c r="A1443" s="5" t="s">
        <v>2310</v>
      </c>
      <c r="B1443" s="11">
        <v>45309</v>
      </c>
      <c r="C1443" s="5" t="s">
        <v>522</v>
      </c>
      <c r="D1443" s="5" t="s">
        <v>103</v>
      </c>
      <c r="E1443" s="5" t="s">
        <v>37</v>
      </c>
      <c r="F1443" s="5">
        <v>4</v>
      </c>
      <c r="G1443" s="19">
        <v>0</v>
      </c>
      <c r="H1443" s="5" t="s">
        <v>776</v>
      </c>
      <c r="I1443" s="10">
        <f>IF(OR(D1443="", F1443=""), "", F1443 * VLOOKUP(D1443, Products!A:E, 5, FALSE) * (1 - G1443))</f>
        <v>1081.8</v>
      </c>
      <c r="J1443" s="10"/>
    </row>
    <row r="1444" spans="1:10" ht="15.75" customHeight="1" x14ac:dyDescent="0.3">
      <c r="A1444" s="5" t="s">
        <v>2311</v>
      </c>
      <c r="B1444" s="11">
        <v>45866</v>
      </c>
      <c r="C1444" s="5" t="s">
        <v>615</v>
      </c>
      <c r="D1444" s="5" t="s">
        <v>128</v>
      </c>
      <c r="E1444" s="5" t="s">
        <v>25</v>
      </c>
      <c r="F1444" s="5">
        <v>3</v>
      </c>
      <c r="G1444" s="19">
        <v>0.15</v>
      </c>
      <c r="H1444" s="5" t="s">
        <v>697</v>
      </c>
      <c r="I1444" s="10">
        <f>IF(OR(D1444="", F1444=""), "", F1444 * VLOOKUP(D1444, Products!A:E, 5, FALSE) * (1 - G1444))</f>
        <v>825.99599999999998</v>
      </c>
      <c r="J1444" s="10"/>
    </row>
    <row r="1445" spans="1:10" ht="15.75" customHeight="1" x14ac:dyDescent="0.3">
      <c r="A1445" s="5" t="s">
        <v>2312</v>
      </c>
      <c r="B1445" s="11">
        <v>45524</v>
      </c>
      <c r="C1445" s="5" t="s">
        <v>823</v>
      </c>
      <c r="D1445" s="5" t="s">
        <v>256</v>
      </c>
      <c r="E1445" s="5" t="s">
        <v>33</v>
      </c>
      <c r="F1445" s="5">
        <v>4</v>
      </c>
      <c r="G1445" s="19">
        <v>0.1</v>
      </c>
      <c r="H1445" s="5" t="s">
        <v>776</v>
      </c>
      <c r="I1445" s="10">
        <f>IF(OR(D1445="", F1445=""), "", F1445 * VLOOKUP(D1445, Products!A:E, 5, FALSE) * (1 - G1445))</f>
        <v>5886.0360000000001</v>
      </c>
      <c r="J1445" s="10"/>
    </row>
    <row r="1446" spans="1:10" ht="15.75" customHeight="1" x14ac:dyDescent="0.3">
      <c r="A1446" s="5" t="s">
        <v>2313</v>
      </c>
      <c r="B1446" s="11">
        <v>45493</v>
      </c>
      <c r="C1446" s="5" t="s">
        <v>223</v>
      </c>
      <c r="D1446" s="5" t="s">
        <v>122</v>
      </c>
      <c r="E1446" s="5" t="s">
        <v>37</v>
      </c>
      <c r="F1446" s="5">
        <v>1</v>
      </c>
      <c r="G1446" s="19">
        <v>0</v>
      </c>
      <c r="H1446" s="5" t="s">
        <v>454</v>
      </c>
      <c r="I1446" s="10">
        <f>IF(OR(D1446="", F1446=""), "", F1446 * VLOOKUP(D1446, Products!A:E, 5, FALSE) * (1 - G1446))</f>
        <v>1762.92</v>
      </c>
      <c r="J1446" s="10"/>
    </row>
    <row r="1447" spans="1:10" ht="15.75" customHeight="1" x14ac:dyDescent="0.3">
      <c r="A1447" s="5" t="s">
        <v>2314</v>
      </c>
      <c r="B1447" s="11">
        <v>45762</v>
      </c>
      <c r="C1447" s="5" t="s">
        <v>393</v>
      </c>
      <c r="D1447" s="5" t="s">
        <v>140</v>
      </c>
      <c r="E1447" s="5" t="s">
        <v>33</v>
      </c>
      <c r="F1447" s="5">
        <v>3</v>
      </c>
      <c r="G1447" s="19">
        <v>0</v>
      </c>
      <c r="H1447" s="5" t="s">
        <v>776</v>
      </c>
      <c r="I1447" s="10">
        <f>IF(OR(D1447="", F1447=""), "", F1447 * VLOOKUP(D1447, Products!A:E, 5, FALSE) * (1 - G1447))</f>
        <v>76.710000000000008</v>
      </c>
      <c r="J1447" s="10"/>
    </row>
    <row r="1448" spans="1:10" ht="15.75" customHeight="1" x14ac:dyDescent="0.3">
      <c r="A1448" s="5" t="s">
        <v>2315</v>
      </c>
      <c r="B1448" s="11">
        <v>45330</v>
      </c>
      <c r="C1448" s="5" t="s">
        <v>409</v>
      </c>
      <c r="D1448" s="5" t="s">
        <v>77</v>
      </c>
      <c r="E1448" s="5" t="s">
        <v>37</v>
      </c>
      <c r="F1448" s="5">
        <v>5</v>
      </c>
      <c r="G1448" s="19">
        <v>0.15</v>
      </c>
      <c r="H1448" s="5" t="s">
        <v>454</v>
      </c>
      <c r="I1448" s="10">
        <f>IF(OR(D1448="", F1448=""), "", F1448 * VLOOKUP(D1448, Products!A:E, 5, FALSE) * (1 - G1448))</f>
        <v>1056.4224999999999</v>
      </c>
      <c r="J1448" s="10"/>
    </row>
    <row r="1449" spans="1:10" ht="15.75" customHeight="1" x14ac:dyDescent="0.3">
      <c r="A1449" s="5" t="s">
        <v>2316</v>
      </c>
      <c r="B1449" s="11">
        <v>45504</v>
      </c>
      <c r="C1449" s="5" t="s">
        <v>546</v>
      </c>
      <c r="D1449" s="5" t="s">
        <v>50</v>
      </c>
      <c r="E1449" s="5" t="s">
        <v>29</v>
      </c>
      <c r="F1449" s="5">
        <v>2</v>
      </c>
      <c r="G1449" s="19">
        <v>0</v>
      </c>
      <c r="H1449" s="5" t="s">
        <v>697</v>
      </c>
      <c r="I1449" s="10">
        <f>IF(OR(D1449="", F1449=""), "", F1449 * VLOOKUP(D1449, Products!A:E, 5, FALSE) * (1 - G1449))</f>
        <v>675.26</v>
      </c>
      <c r="J1449" s="10"/>
    </row>
    <row r="1450" spans="1:10" ht="15.75" customHeight="1" x14ac:dyDescent="0.3">
      <c r="A1450" s="5" t="s">
        <v>2317</v>
      </c>
      <c r="B1450" s="11">
        <v>45568</v>
      </c>
      <c r="C1450" s="5" t="s">
        <v>416</v>
      </c>
      <c r="D1450" s="5" t="s">
        <v>61</v>
      </c>
      <c r="E1450" s="5" t="s">
        <v>25</v>
      </c>
      <c r="F1450" s="5">
        <v>5</v>
      </c>
      <c r="G1450" s="19">
        <v>0.15</v>
      </c>
      <c r="H1450" s="5" t="s">
        <v>454</v>
      </c>
      <c r="I1450" s="10">
        <f>IF(OR(D1450="", F1450=""), "", F1450 * VLOOKUP(D1450, Products!A:E, 5, FALSE) * (1 - G1450))</f>
        <v>1351.7124999999999</v>
      </c>
      <c r="J1450" s="10"/>
    </row>
    <row r="1451" spans="1:10" ht="15.75" customHeight="1" x14ac:dyDescent="0.3">
      <c r="A1451" s="5" t="s">
        <v>2318</v>
      </c>
      <c r="B1451" s="11">
        <v>45621</v>
      </c>
      <c r="C1451" s="5" t="s">
        <v>611</v>
      </c>
      <c r="D1451" s="5" t="s">
        <v>221</v>
      </c>
      <c r="E1451" s="5" t="s">
        <v>25</v>
      </c>
      <c r="F1451" s="5">
        <v>1</v>
      </c>
      <c r="G1451" s="19">
        <v>0.1</v>
      </c>
      <c r="H1451" s="5" t="s">
        <v>637</v>
      </c>
      <c r="I1451" s="10">
        <f>IF(OR(D1451="", F1451=""), "", F1451 * VLOOKUP(D1451, Products!A:E, 5, FALSE) * (1 - G1451))</f>
        <v>1406.1870000000001</v>
      </c>
      <c r="J1451" s="10"/>
    </row>
    <row r="1452" spans="1:10" ht="15.75" customHeight="1" x14ac:dyDescent="0.3">
      <c r="A1452" s="5" t="s">
        <v>2319</v>
      </c>
      <c r="B1452" s="11">
        <v>45218</v>
      </c>
      <c r="C1452" s="5" t="s">
        <v>296</v>
      </c>
      <c r="D1452" s="5" t="s">
        <v>200</v>
      </c>
      <c r="E1452" s="5" t="s">
        <v>29</v>
      </c>
      <c r="F1452" s="5">
        <v>1</v>
      </c>
      <c r="G1452" s="19">
        <v>0.1</v>
      </c>
      <c r="H1452" s="5" t="s">
        <v>776</v>
      </c>
      <c r="I1452" s="10">
        <f>IF(OR(D1452="", F1452=""), "", F1452 * VLOOKUP(D1452, Products!A:E, 5, FALSE) * (1 - G1452))</f>
        <v>986.14800000000002</v>
      </c>
      <c r="J1452" s="10"/>
    </row>
    <row r="1453" spans="1:10" ht="15.75" customHeight="1" x14ac:dyDescent="0.3">
      <c r="A1453" s="5" t="s">
        <v>2320</v>
      </c>
      <c r="B1453" s="11">
        <v>45251</v>
      </c>
      <c r="C1453" s="5" t="s">
        <v>274</v>
      </c>
      <c r="D1453" s="5" t="s">
        <v>122</v>
      </c>
      <c r="E1453" s="5" t="s">
        <v>33</v>
      </c>
      <c r="F1453" s="5">
        <v>3</v>
      </c>
      <c r="G1453" s="19">
        <v>0.1</v>
      </c>
      <c r="H1453" s="5" t="s">
        <v>637</v>
      </c>
      <c r="I1453" s="10">
        <f>IF(OR(D1453="", F1453=""), "", F1453 * VLOOKUP(D1453, Products!A:E, 5, FALSE) * (1 - G1453))</f>
        <v>4759.884</v>
      </c>
      <c r="J1453" s="10"/>
    </row>
    <row r="1454" spans="1:10" ht="15.75" customHeight="1" x14ac:dyDescent="0.3">
      <c r="A1454" s="5" t="s">
        <v>2321</v>
      </c>
      <c r="B1454" s="11">
        <v>45190</v>
      </c>
      <c r="C1454" s="5" t="s">
        <v>440</v>
      </c>
      <c r="D1454" s="5" t="s">
        <v>193</v>
      </c>
      <c r="E1454" s="5" t="s">
        <v>29</v>
      </c>
      <c r="F1454" s="5">
        <v>5</v>
      </c>
      <c r="G1454" s="19">
        <v>0.1</v>
      </c>
      <c r="H1454" s="5" t="s">
        <v>454</v>
      </c>
      <c r="I1454" s="10">
        <f>IF(OR(D1454="", F1454=""), "", F1454 * VLOOKUP(D1454, Products!A:E, 5, FALSE) * (1 - G1454))</f>
        <v>131.57999999999998</v>
      </c>
      <c r="J1454" s="10"/>
    </row>
    <row r="1455" spans="1:10" ht="15.75" customHeight="1" x14ac:dyDescent="0.3">
      <c r="A1455" s="5" t="s">
        <v>2322</v>
      </c>
      <c r="B1455" s="11">
        <v>45676</v>
      </c>
      <c r="C1455" s="5" t="s">
        <v>583</v>
      </c>
      <c r="D1455" s="5" t="s">
        <v>109</v>
      </c>
      <c r="E1455" s="5" t="s">
        <v>25</v>
      </c>
      <c r="F1455" s="5">
        <v>3</v>
      </c>
      <c r="G1455" s="19">
        <v>0.15</v>
      </c>
      <c r="H1455" s="5" t="s">
        <v>697</v>
      </c>
      <c r="I1455" s="10">
        <f>IF(OR(D1455="", F1455=""), "", F1455 * VLOOKUP(D1455, Products!A:E, 5, FALSE) * (1 - G1455))</f>
        <v>4739.8125</v>
      </c>
      <c r="J1455" s="10"/>
    </row>
    <row r="1456" spans="1:10" ht="15.75" customHeight="1" x14ac:dyDescent="0.3">
      <c r="A1456" s="5" t="s">
        <v>2323</v>
      </c>
      <c r="B1456" s="11">
        <v>45862</v>
      </c>
      <c r="C1456" s="5" t="s">
        <v>691</v>
      </c>
      <c r="D1456" s="5" t="s">
        <v>128</v>
      </c>
      <c r="E1456" s="5" t="s">
        <v>33</v>
      </c>
      <c r="F1456" s="5">
        <v>1</v>
      </c>
      <c r="G1456" s="19">
        <v>0.05</v>
      </c>
      <c r="H1456" s="5" t="s">
        <v>697</v>
      </c>
      <c r="I1456" s="10">
        <f>IF(OR(D1456="", F1456=""), "", F1456 * VLOOKUP(D1456, Products!A:E, 5, FALSE) * (1 - G1456))</f>
        <v>307.72399999999999</v>
      </c>
      <c r="J1456" s="10"/>
    </row>
    <row r="1457" spans="1:10" ht="15.75" customHeight="1" x14ac:dyDescent="0.3">
      <c r="A1457" s="5" t="s">
        <v>2324</v>
      </c>
      <c r="B1457" s="11">
        <v>45300</v>
      </c>
      <c r="C1457" s="5" t="s">
        <v>159</v>
      </c>
      <c r="D1457" s="5" t="s">
        <v>115</v>
      </c>
      <c r="E1457" s="5" t="s">
        <v>25</v>
      </c>
      <c r="F1457" s="5">
        <v>2</v>
      </c>
      <c r="G1457" s="19">
        <v>0</v>
      </c>
      <c r="H1457" s="5" t="s">
        <v>637</v>
      </c>
      <c r="I1457" s="10">
        <f>IF(OR(D1457="", F1457=""), "", F1457 * VLOOKUP(D1457, Products!A:E, 5, FALSE) * (1 - G1457))</f>
        <v>2492.2199999999998</v>
      </c>
      <c r="J1457" s="10"/>
    </row>
    <row r="1458" spans="1:10" ht="15.75" customHeight="1" x14ac:dyDescent="0.3">
      <c r="A1458" s="5" t="s">
        <v>2325</v>
      </c>
      <c r="B1458" s="11">
        <v>45562</v>
      </c>
      <c r="C1458" s="5" t="s">
        <v>416</v>
      </c>
      <c r="D1458" s="5" t="s">
        <v>280</v>
      </c>
      <c r="E1458" s="5" t="s">
        <v>25</v>
      </c>
      <c r="F1458" s="5">
        <v>4</v>
      </c>
      <c r="G1458" s="19">
        <v>0.15</v>
      </c>
      <c r="H1458" s="5" t="s">
        <v>776</v>
      </c>
      <c r="I1458" s="10">
        <f>IF(OR(D1458="", F1458=""), "", F1458 * VLOOKUP(D1458, Products!A:E, 5, FALSE) * (1 - G1458))</f>
        <v>4135.6239999999998</v>
      </c>
      <c r="J1458" s="10"/>
    </row>
    <row r="1459" spans="1:10" ht="15.75" customHeight="1" x14ac:dyDescent="0.3">
      <c r="A1459" s="5" t="s">
        <v>2326</v>
      </c>
      <c r="B1459" s="11">
        <v>45631</v>
      </c>
      <c r="C1459" s="5" t="s">
        <v>634</v>
      </c>
      <c r="D1459" s="5" t="s">
        <v>212</v>
      </c>
      <c r="E1459" s="5" t="s">
        <v>21</v>
      </c>
      <c r="F1459" s="5">
        <v>4</v>
      </c>
      <c r="G1459" s="19">
        <v>0.1</v>
      </c>
      <c r="H1459" s="5" t="s">
        <v>637</v>
      </c>
      <c r="I1459" s="10">
        <f>IF(OR(D1459="", F1459=""), "", F1459 * VLOOKUP(D1459, Products!A:E, 5, FALSE) * (1 - G1459))</f>
        <v>6476.2920000000004</v>
      </c>
      <c r="J1459" s="10"/>
    </row>
    <row r="1460" spans="1:10" ht="15.75" customHeight="1" x14ac:dyDescent="0.3">
      <c r="A1460" s="5" t="s">
        <v>2327</v>
      </c>
      <c r="B1460" s="11">
        <v>45758</v>
      </c>
      <c r="C1460" s="5" t="s">
        <v>604</v>
      </c>
      <c r="D1460" s="5" t="s">
        <v>122</v>
      </c>
      <c r="E1460" s="5" t="s">
        <v>33</v>
      </c>
      <c r="F1460" s="5">
        <v>1</v>
      </c>
      <c r="G1460" s="19">
        <v>0.05</v>
      </c>
      <c r="H1460" s="5" t="s">
        <v>776</v>
      </c>
      <c r="I1460" s="10">
        <f>IF(OR(D1460="", F1460=""), "", F1460 * VLOOKUP(D1460, Products!A:E, 5, FALSE) * (1 - G1460))</f>
        <v>1674.7739999999999</v>
      </c>
      <c r="J1460" s="10"/>
    </row>
    <row r="1461" spans="1:10" ht="15.75" customHeight="1" x14ac:dyDescent="0.3">
      <c r="A1461" s="5" t="s">
        <v>2328</v>
      </c>
      <c r="B1461" s="11">
        <v>45329</v>
      </c>
      <c r="C1461" s="5" t="s">
        <v>503</v>
      </c>
      <c r="D1461" s="5" t="s">
        <v>200</v>
      </c>
      <c r="E1461" s="5" t="s">
        <v>21</v>
      </c>
      <c r="F1461" s="5">
        <v>2</v>
      </c>
      <c r="G1461" s="19">
        <v>0.1</v>
      </c>
      <c r="H1461" s="5" t="s">
        <v>697</v>
      </c>
      <c r="I1461" s="10">
        <f>IF(OR(D1461="", F1461=""), "", F1461 * VLOOKUP(D1461, Products!A:E, 5, FALSE) * (1 - G1461))</f>
        <v>1972.296</v>
      </c>
      <c r="J1461" s="10"/>
    </row>
    <row r="1462" spans="1:10" ht="15.75" customHeight="1" x14ac:dyDescent="0.3">
      <c r="A1462" s="5" t="s">
        <v>2329</v>
      </c>
      <c r="B1462" s="11">
        <v>45805</v>
      </c>
      <c r="C1462" s="5" t="s">
        <v>326</v>
      </c>
      <c r="D1462" s="5" t="s">
        <v>269</v>
      </c>
      <c r="E1462" s="5" t="s">
        <v>37</v>
      </c>
      <c r="F1462" s="5">
        <v>3</v>
      </c>
      <c r="G1462" s="19">
        <v>0.05</v>
      </c>
      <c r="H1462" s="5" t="s">
        <v>776</v>
      </c>
      <c r="I1462" s="10">
        <f>IF(OR(D1462="", F1462=""), "", F1462 * VLOOKUP(D1462, Products!A:E, 5, FALSE) * (1 - G1462))</f>
        <v>5355.3779999999997</v>
      </c>
      <c r="J1462" s="10"/>
    </row>
    <row r="1463" spans="1:10" ht="15.75" customHeight="1" x14ac:dyDescent="0.3">
      <c r="A1463" s="5" t="s">
        <v>2330</v>
      </c>
      <c r="B1463" s="11">
        <v>45736</v>
      </c>
      <c r="C1463" s="5" t="s">
        <v>665</v>
      </c>
      <c r="D1463" s="5" t="s">
        <v>212</v>
      </c>
      <c r="E1463" s="5" t="s">
        <v>37</v>
      </c>
      <c r="F1463" s="5">
        <v>2</v>
      </c>
      <c r="G1463" s="19">
        <v>0.15</v>
      </c>
      <c r="H1463" s="5" t="s">
        <v>776</v>
      </c>
      <c r="I1463" s="10">
        <f>IF(OR(D1463="", F1463=""), "", F1463 * VLOOKUP(D1463, Products!A:E, 5, FALSE) * (1 - G1463))</f>
        <v>3058.2489999999998</v>
      </c>
      <c r="J1463" s="10"/>
    </row>
    <row r="1464" spans="1:10" ht="15.75" customHeight="1" x14ac:dyDescent="0.3">
      <c r="A1464" s="5" t="s">
        <v>2331</v>
      </c>
      <c r="B1464" s="11">
        <v>45332</v>
      </c>
      <c r="C1464" s="5" t="s">
        <v>405</v>
      </c>
      <c r="D1464" s="5" t="s">
        <v>82</v>
      </c>
      <c r="E1464" s="5" t="s">
        <v>33</v>
      </c>
      <c r="F1464" s="5">
        <v>1</v>
      </c>
      <c r="G1464" s="19">
        <v>0.1</v>
      </c>
      <c r="H1464" s="5" t="s">
        <v>776</v>
      </c>
      <c r="I1464" s="10">
        <f>IF(OR(D1464="", F1464=""), "", F1464 * VLOOKUP(D1464, Products!A:E, 5, FALSE) * (1 - G1464))</f>
        <v>1073.7809999999999</v>
      </c>
      <c r="J1464" s="10"/>
    </row>
    <row r="1465" spans="1:10" ht="15.75" customHeight="1" x14ac:dyDescent="0.3">
      <c r="A1465" s="5" t="s">
        <v>2332</v>
      </c>
      <c r="B1465" s="11">
        <v>45780</v>
      </c>
      <c r="C1465" s="5" t="s">
        <v>440</v>
      </c>
      <c r="D1465" s="5" t="s">
        <v>221</v>
      </c>
      <c r="E1465" s="5" t="s">
        <v>21</v>
      </c>
      <c r="F1465" s="5">
        <v>4</v>
      </c>
      <c r="G1465" s="19">
        <v>0.1</v>
      </c>
      <c r="H1465" s="5" t="s">
        <v>776</v>
      </c>
      <c r="I1465" s="10">
        <f>IF(OR(D1465="", F1465=""), "", F1465 * VLOOKUP(D1465, Products!A:E, 5, FALSE) * (1 - G1465))</f>
        <v>5624.7480000000005</v>
      </c>
      <c r="J1465" s="10"/>
    </row>
    <row r="1466" spans="1:10" ht="15.75" customHeight="1" x14ac:dyDescent="0.3">
      <c r="A1466" s="5" t="s">
        <v>2333</v>
      </c>
      <c r="B1466" s="11">
        <v>45819</v>
      </c>
      <c r="C1466" s="5" t="s">
        <v>477</v>
      </c>
      <c r="D1466" s="5" t="s">
        <v>285</v>
      </c>
      <c r="E1466" s="5" t="s">
        <v>25</v>
      </c>
      <c r="F1466" s="5">
        <v>1</v>
      </c>
      <c r="G1466" s="19">
        <v>0</v>
      </c>
      <c r="H1466" s="5" t="s">
        <v>637</v>
      </c>
      <c r="I1466" s="10">
        <f>IF(OR(D1466="", F1466=""), "", F1466 * VLOOKUP(D1466, Products!A:E, 5, FALSE) * (1 - G1466))</f>
        <v>388.26</v>
      </c>
      <c r="J1466" s="10"/>
    </row>
    <row r="1467" spans="1:10" ht="15.75" customHeight="1" x14ac:dyDescent="0.3">
      <c r="A1467" s="5" t="s">
        <v>2334</v>
      </c>
      <c r="B1467" s="11">
        <v>45361</v>
      </c>
      <c r="C1467" s="5" t="s">
        <v>819</v>
      </c>
      <c r="D1467" s="5" t="s">
        <v>237</v>
      </c>
      <c r="E1467" s="5" t="s">
        <v>33</v>
      </c>
      <c r="F1467" s="5">
        <v>4</v>
      </c>
      <c r="G1467" s="19">
        <v>0.1</v>
      </c>
      <c r="H1467" s="5" t="s">
        <v>776</v>
      </c>
      <c r="I1467" s="10">
        <f>IF(OR(D1467="", F1467=""), "", F1467 * VLOOKUP(D1467, Products!A:E, 5, FALSE) * (1 - G1467))</f>
        <v>1320.9480000000001</v>
      </c>
      <c r="J1467" s="10"/>
    </row>
    <row r="1468" spans="1:10" ht="15.75" customHeight="1" x14ac:dyDescent="0.3">
      <c r="A1468" s="5" t="s">
        <v>2335</v>
      </c>
      <c r="B1468" s="11">
        <v>45735</v>
      </c>
      <c r="C1468" s="5" t="s">
        <v>484</v>
      </c>
      <c r="D1468" s="5" t="s">
        <v>221</v>
      </c>
      <c r="E1468" s="5" t="s">
        <v>21</v>
      </c>
      <c r="F1468" s="5">
        <v>5</v>
      </c>
      <c r="G1468" s="19">
        <v>0.15</v>
      </c>
      <c r="H1468" s="5" t="s">
        <v>454</v>
      </c>
      <c r="I1468" s="10">
        <f>IF(OR(D1468="", F1468=""), "", F1468 * VLOOKUP(D1468, Products!A:E, 5, FALSE) * (1 - G1468))</f>
        <v>6640.3275000000003</v>
      </c>
      <c r="J1468" s="10"/>
    </row>
    <row r="1469" spans="1:10" ht="15.75" customHeight="1" x14ac:dyDescent="0.3">
      <c r="A1469" s="5" t="s">
        <v>2336</v>
      </c>
      <c r="B1469" s="11">
        <v>45308</v>
      </c>
      <c r="C1469" s="5" t="s">
        <v>840</v>
      </c>
      <c r="D1469" s="5" t="s">
        <v>61</v>
      </c>
      <c r="E1469" s="5" t="s">
        <v>37</v>
      </c>
      <c r="F1469" s="5">
        <v>2</v>
      </c>
      <c r="G1469" s="19">
        <v>0.05</v>
      </c>
      <c r="H1469" s="5" t="s">
        <v>776</v>
      </c>
      <c r="I1469" s="10">
        <f>IF(OR(D1469="", F1469=""), "", F1469 * VLOOKUP(D1469, Products!A:E, 5, FALSE) * (1 - G1469))</f>
        <v>604.29499999999996</v>
      </c>
      <c r="J1469" s="10"/>
    </row>
    <row r="1470" spans="1:10" ht="15.75" customHeight="1" x14ac:dyDescent="0.3">
      <c r="A1470" s="5" t="s">
        <v>2337</v>
      </c>
      <c r="B1470" s="11">
        <v>45490</v>
      </c>
      <c r="C1470" s="5" t="s">
        <v>762</v>
      </c>
      <c r="D1470" s="5" t="s">
        <v>188</v>
      </c>
      <c r="E1470" s="5" t="s">
        <v>29</v>
      </c>
      <c r="F1470" s="5">
        <v>3</v>
      </c>
      <c r="G1470" s="19">
        <v>0</v>
      </c>
      <c r="H1470" s="5" t="s">
        <v>776</v>
      </c>
      <c r="I1470" s="10">
        <f>IF(OR(D1470="", F1470=""), "", F1470 * VLOOKUP(D1470, Products!A:E, 5, FALSE) * (1 - G1470))</f>
        <v>4455.1499999999996</v>
      </c>
      <c r="J1470" s="10"/>
    </row>
    <row r="1471" spans="1:10" ht="15.75" customHeight="1" x14ac:dyDescent="0.3">
      <c r="A1471" s="5" t="s">
        <v>2338</v>
      </c>
      <c r="B1471" s="11">
        <v>45786</v>
      </c>
      <c r="C1471" s="5" t="s">
        <v>683</v>
      </c>
      <c r="D1471" s="5" t="s">
        <v>180</v>
      </c>
      <c r="E1471" s="5" t="s">
        <v>37</v>
      </c>
      <c r="F1471" s="5">
        <v>4</v>
      </c>
      <c r="G1471" s="19">
        <v>0</v>
      </c>
      <c r="H1471" s="5" t="s">
        <v>637</v>
      </c>
      <c r="I1471" s="10">
        <f>IF(OR(D1471="", F1471=""), "", F1471 * VLOOKUP(D1471, Products!A:E, 5, FALSE) * (1 - G1471))</f>
        <v>2695.12</v>
      </c>
      <c r="J1471" s="10"/>
    </row>
    <row r="1472" spans="1:10" ht="15.75" customHeight="1" x14ac:dyDescent="0.3">
      <c r="A1472" s="5" t="s">
        <v>2339</v>
      </c>
      <c r="B1472" s="11">
        <v>45655</v>
      </c>
      <c r="C1472" s="5" t="s">
        <v>412</v>
      </c>
      <c r="D1472" s="5" t="s">
        <v>200</v>
      </c>
      <c r="E1472" s="5" t="s">
        <v>25</v>
      </c>
      <c r="F1472" s="5">
        <v>2</v>
      </c>
      <c r="G1472" s="19">
        <v>0.15</v>
      </c>
      <c r="H1472" s="5" t="s">
        <v>776</v>
      </c>
      <c r="I1472" s="10">
        <f>IF(OR(D1472="", F1472=""), "", F1472 * VLOOKUP(D1472, Products!A:E, 5, FALSE) * (1 - G1472))</f>
        <v>1862.7239999999999</v>
      </c>
      <c r="J1472" s="10"/>
    </row>
    <row r="1473" spans="1:10" ht="15.75" customHeight="1" x14ac:dyDescent="0.3">
      <c r="A1473" s="5" t="s">
        <v>2340</v>
      </c>
      <c r="B1473" s="11">
        <v>45725</v>
      </c>
      <c r="C1473" s="5" t="s">
        <v>106</v>
      </c>
      <c r="D1473" s="5" t="s">
        <v>50</v>
      </c>
      <c r="E1473" s="5" t="s">
        <v>25</v>
      </c>
      <c r="F1473" s="5">
        <v>2</v>
      </c>
      <c r="G1473" s="19">
        <v>0.15</v>
      </c>
      <c r="H1473" s="5" t="s">
        <v>637</v>
      </c>
      <c r="I1473" s="10">
        <f>IF(OR(D1473="", F1473=""), "", F1473 * VLOOKUP(D1473, Products!A:E, 5, FALSE) * (1 - G1473))</f>
        <v>573.971</v>
      </c>
      <c r="J1473" s="10"/>
    </row>
    <row r="1474" spans="1:10" ht="15.75" customHeight="1" x14ac:dyDescent="0.3">
      <c r="A1474" s="5" t="s">
        <v>2341</v>
      </c>
      <c r="B1474" s="11">
        <v>45420</v>
      </c>
      <c r="C1474" s="5" t="s">
        <v>440</v>
      </c>
      <c r="D1474" s="5" t="s">
        <v>77</v>
      </c>
      <c r="E1474" s="5" t="s">
        <v>25</v>
      </c>
      <c r="F1474" s="5">
        <v>1</v>
      </c>
      <c r="G1474" s="19">
        <v>0.1</v>
      </c>
      <c r="H1474" s="5" t="s">
        <v>637</v>
      </c>
      <c r="I1474" s="10">
        <f>IF(OR(D1474="", F1474=""), "", F1474 * VLOOKUP(D1474, Products!A:E, 5, FALSE) * (1 - G1474))</f>
        <v>223.71299999999999</v>
      </c>
      <c r="J1474" s="10"/>
    </row>
    <row r="1475" spans="1:10" ht="15.75" customHeight="1" x14ac:dyDescent="0.3">
      <c r="A1475" s="5" t="s">
        <v>2342</v>
      </c>
      <c r="B1475" s="11">
        <v>45644</v>
      </c>
      <c r="C1475" s="5" t="s">
        <v>579</v>
      </c>
      <c r="D1475" s="5" t="s">
        <v>109</v>
      </c>
      <c r="E1475" s="5" t="s">
        <v>29</v>
      </c>
      <c r="F1475" s="5">
        <v>5</v>
      </c>
      <c r="G1475" s="19">
        <v>0.05</v>
      </c>
      <c r="H1475" s="5" t="s">
        <v>454</v>
      </c>
      <c r="I1475" s="10">
        <f>IF(OR(D1475="", F1475=""), "", F1475 * VLOOKUP(D1475, Products!A:E, 5, FALSE) * (1 - G1475))</f>
        <v>8829.0625</v>
      </c>
      <c r="J1475" s="10"/>
    </row>
    <row r="1476" spans="1:10" ht="15.75" customHeight="1" x14ac:dyDescent="0.3">
      <c r="A1476" s="5" t="s">
        <v>2343</v>
      </c>
      <c r="B1476" s="11">
        <v>45442</v>
      </c>
      <c r="C1476" s="5" t="s">
        <v>602</v>
      </c>
      <c r="D1476" s="5" t="s">
        <v>134</v>
      </c>
      <c r="E1476" s="5" t="s">
        <v>21</v>
      </c>
      <c r="F1476" s="5">
        <v>3</v>
      </c>
      <c r="G1476" s="19">
        <v>0.05</v>
      </c>
      <c r="H1476" s="5" t="s">
        <v>637</v>
      </c>
      <c r="I1476" s="10">
        <f>IF(OR(D1476="", F1476=""), "", F1476 * VLOOKUP(D1476, Products!A:E, 5, FALSE) * (1 - G1476))</f>
        <v>3497.634</v>
      </c>
      <c r="J1476" s="10"/>
    </row>
    <row r="1477" spans="1:10" ht="15.75" customHeight="1" x14ac:dyDescent="0.3">
      <c r="A1477" s="5" t="s">
        <v>2344</v>
      </c>
      <c r="B1477" s="11">
        <v>45635</v>
      </c>
      <c r="C1477" s="5" t="s">
        <v>593</v>
      </c>
      <c r="D1477" s="5" t="s">
        <v>67</v>
      </c>
      <c r="E1477" s="5" t="s">
        <v>33</v>
      </c>
      <c r="F1477" s="5">
        <v>4</v>
      </c>
      <c r="G1477" s="19">
        <v>0.1</v>
      </c>
      <c r="H1477" s="5" t="s">
        <v>637</v>
      </c>
      <c r="I1477" s="10">
        <f>IF(OR(D1477="", F1477=""), "", F1477 * VLOOKUP(D1477, Products!A:E, 5, FALSE) * (1 - G1477))</f>
        <v>395.20800000000003</v>
      </c>
      <c r="J1477" s="10"/>
    </row>
    <row r="1478" spans="1:10" ht="15.75" customHeight="1" x14ac:dyDescent="0.3">
      <c r="A1478" s="5" t="s">
        <v>2345</v>
      </c>
      <c r="B1478" s="11">
        <v>45585</v>
      </c>
      <c r="C1478" s="5" t="s">
        <v>215</v>
      </c>
      <c r="D1478" s="5" t="s">
        <v>262</v>
      </c>
      <c r="E1478" s="5" t="s">
        <v>33</v>
      </c>
      <c r="F1478" s="5">
        <v>3</v>
      </c>
      <c r="G1478" s="19">
        <v>0.05</v>
      </c>
      <c r="H1478" s="5" t="s">
        <v>637</v>
      </c>
      <c r="I1478" s="10">
        <f>IF(OR(D1478="", F1478=""), "", F1478 * VLOOKUP(D1478, Products!A:E, 5, FALSE) * (1 - G1478))</f>
        <v>1292.817</v>
      </c>
      <c r="J1478" s="10"/>
    </row>
    <row r="1479" spans="1:10" ht="15.75" customHeight="1" x14ac:dyDescent="0.3">
      <c r="A1479" s="5" t="s">
        <v>2346</v>
      </c>
      <c r="B1479" s="11">
        <v>45387</v>
      </c>
      <c r="C1479" s="5" t="s">
        <v>752</v>
      </c>
      <c r="D1479" s="5" t="s">
        <v>285</v>
      </c>
      <c r="E1479" s="5" t="s">
        <v>33</v>
      </c>
      <c r="F1479" s="5">
        <v>1</v>
      </c>
      <c r="G1479" s="19">
        <v>0</v>
      </c>
      <c r="H1479" s="5" t="s">
        <v>454</v>
      </c>
      <c r="I1479" s="10">
        <f>IF(OR(D1479="", F1479=""), "", F1479 * VLOOKUP(D1479, Products!A:E, 5, FALSE) * (1 - G1479))</f>
        <v>388.26</v>
      </c>
      <c r="J1479" s="10"/>
    </row>
    <row r="1480" spans="1:10" ht="15.75" customHeight="1" x14ac:dyDescent="0.3">
      <c r="A1480" s="5" t="s">
        <v>2347</v>
      </c>
      <c r="B1480" s="11">
        <v>45740</v>
      </c>
      <c r="C1480" s="5" t="s">
        <v>608</v>
      </c>
      <c r="D1480" s="5" t="s">
        <v>140</v>
      </c>
      <c r="E1480" s="5" t="s">
        <v>25</v>
      </c>
      <c r="F1480" s="5">
        <v>2</v>
      </c>
      <c r="G1480" s="19">
        <v>0.15</v>
      </c>
      <c r="H1480" s="5" t="s">
        <v>776</v>
      </c>
      <c r="I1480" s="10">
        <f>IF(OR(D1480="", F1480=""), "", F1480 * VLOOKUP(D1480, Products!A:E, 5, FALSE) * (1 - G1480))</f>
        <v>43.469000000000001</v>
      </c>
      <c r="J1480" s="10"/>
    </row>
    <row r="1481" spans="1:10" ht="15.75" customHeight="1" x14ac:dyDescent="0.3">
      <c r="A1481" s="5" t="s">
        <v>2348</v>
      </c>
      <c r="B1481" s="11">
        <v>45831</v>
      </c>
      <c r="C1481" s="5" t="s">
        <v>447</v>
      </c>
      <c r="D1481" s="5" t="s">
        <v>57</v>
      </c>
      <c r="E1481" s="5" t="s">
        <v>33</v>
      </c>
      <c r="F1481" s="5">
        <v>4</v>
      </c>
      <c r="G1481" s="19">
        <v>0</v>
      </c>
      <c r="H1481" s="5" t="s">
        <v>637</v>
      </c>
      <c r="I1481" s="10">
        <f>IF(OR(D1481="", F1481=""), "", F1481 * VLOOKUP(D1481, Products!A:E, 5, FALSE) * (1 - G1481))</f>
        <v>5584.88</v>
      </c>
      <c r="J1481" s="10"/>
    </row>
    <row r="1482" spans="1:10" ht="15.75" customHeight="1" x14ac:dyDescent="0.3">
      <c r="A1482" s="5" t="s">
        <v>2349</v>
      </c>
      <c r="B1482" s="11">
        <v>45576</v>
      </c>
      <c r="C1482" s="5" t="s">
        <v>455</v>
      </c>
      <c r="D1482" s="5" t="s">
        <v>74</v>
      </c>
      <c r="E1482" s="5" t="s">
        <v>25</v>
      </c>
      <c r="F1482" s="5">
        <v>2</v>
      </c>
      <c r="G1482" s="19">
        <v>0.1</v>
      </c>
      <c r="H1482" s="5" t="s">
        <v>697</v>
      </c>
      <c r="I1482" s="10">
        <f>IF(OR(D1482="", F1482=""), "", F1482 * VLOOKUP(D1482, Products!A:E, 5, FALSE) * (1 - G1482))</f>
        <v>2149.4159999999997</v>
      </c>
      <c r="J1482" s="10"/>
    </row>
    <row r="1483" spans="1:10" ht="15.75" customHeight="1" x14ac:dyDescent="0.3">
      <c r="A1483" s="5" t="s">
        <v>2350</v>
      </c>
      <c r="B1483" s="11">
        <v>45853</v>
      </c>
      <c r="C1483" s="5" t="s">
        <v>661</v>
      </c>
      <c r="D1483" s="5" t="s">
        <v>267</v>
      </c>
      <c r="E1483" s="5" t="s">
        <v>33</v>
      </c>
      <c r="F1483" s="5">
        <v>3</v>
      </c>
      <c r="G1483" s="19">
        <v>0</v>
      </c>
      <c r="H1483" s="5" t="s">
        <v>776</v>
      </c>
      <c r="I1483" s="10">
        <f>IF(OR(D1483="", F1483=""), "", F1483 * VLOOKUP(D1483, Products!A:E, 5, FALSE) * (1 - G1483))</f>
        <v>3859.6499999999996</v>
      </c>
      <c r="J1483" s="10"/>
    </row>
    <row r="1484" spans="1:10" ht="15.75" customHeight="1" x14ac:dyDescent="0.3">
      <c r="A1484" s="5" t="s">
        <v>2351</v>
      </c>
      <c r="B1484" s="11">
        <v>45391</v>
      </c>
      <c r="C1484" s="5" t="s">
        <v>149</v>
      </c>
      <c r="D1484" s="5" t="s">
        <v>67</v>
      </c>
      <c r="E1484" s="5" t="s">
        <v>37</v>
      </c>
      <c r="F1484" s="5">
        <v>1</v>
      </c>
      <c r="G1484" s="19">
        <v>0.15</v>
      </c>
      <c r="H1484" s="5" t="s">
        <v>637</v>
      </c>
      <c r="I1484" s="10">
        <f>IF(OR(D1484="", F1484=""), "", F1484 * VLOOKUP(D1484, Products!A:E, 5, FALSE) * (1 - G1484))</f>
        <v>93.313000000000002</v>
      </c>
      <c r="J1484" s="10"/>
    </row>
    <row r="1485" spans="1:10" ht="15.75" customHeight="1" x14ac:dyDescent="0.3">
      <c r="A1485" s="5" t="s">
        <v>2352</v>
      </c>
      <c r="B1485" s="11">
        <v>45450</v>
      </c>
      <c r="C1485" s="5" t="s">
        <v>223</v>
      </c>
      <c r="D1485" s="5" t="s">
        <v>217</v>
      </c>
      <c r="E1485" s="5" t="s">
        <v>33</v>
      </c>
      <c r="F1485" s="5">
        <v>5</v>
      </c>
      <c r="G1485" s="19">
        <v>0.1</v>
      </c>
      <c r="H1485" s="5" t="s">
        <v>454</v>
      </c>
      <c r="I1485" s="10">
        <f>IF(OR(D1485="", F1485=""), "", F1485 * VLOOKUP(D1485, Products!A:E, 5, FALSE) * (1 - G1485))</f>
        <v>1926.2250000000001</v>
      </c>
      <c r="J1485" s="10"/>
    </row>
    <row r="1486" spans="1:10" ht="15.75" customHeight="1" x14ac:dyDescent="0.3">
      <c r="A1486" s="5" t="s">
        <v>2353</v>
      </c>
      <c r="B1486" s="11">
        <v>45600</v>
      </c>
      <c r="C1486" s="5" t="s">
        <v>412</v>
      </c>
      <c r="D1486" s="5" t="s">
        <v>262</v>
      </c>
      <c r="E1486" s="5" t="s">
        <v>37</v>
      </c>
      <c r="F1486" s="5">
        <v>1</v>
      </c>
      <c r="G1486" s="19">
        <v>0</v>
      </c>
      <c r="H1486" s="5" t="s">
        <v>776</v>
      </c>
      <c r="I1486" s="10">
        <f>IF(OR(D1486="", F1486=""), "", F1486 * VLOOKUP(D1486, Products!A:E, 5, FALSE) * (1 - G1486))</f>
        <v>453.62</v>
      </c>
      <c r="J1486" s="10"/>
    </row>
    <row r="1487" spans="1:10" ht="15.75" customHeight="1" x14ac:dyDescent="0.3">
      <c r="A1487" s="5" t="s">
        <v>2354</v>
      </c>
      <c r="B1487" s="11">
        <v>45204</v>
      </c>
      <c r="C1487" s="5" t="s">
        <v>847</v>
      </c>
      <c r="D1487" s="5" t="s">
        <v>256</v>
      </c>
      <c r="E1487" s="5" t="s">
        <v>33</v>
      </c>
      <c r="F1487" s="5">
        <v>2</v>
      </c>
      <c r="G1487" s="19">
        <v>0.05</v>
      </c>
      <c r="H1487" s="5" t="s">
        <v>637</v>
      </c>
      <c r="I1487" s="10">
        <f>IF(OR(D1487="", F1487=""), "", F1487 * VLOOKUP(D1487, Products!A:E, 5, FALSE) * (1 - G1487))</f>
        <v>3106.5189999999998</v>
      </c>
      <c r="J1487" s="10"/>
    </row>
    <row r="1488" spans="1:10" ht="15.75" customHeight="1" x14ac:dyDescent="0.3">
      <c r="A1488" s="5" t="s">
        <v>2355</v>
      </c>
      <c r="B1488" s="11">
        <v>45761</v>
      </c>
      <c r="C1488" s="5" t="s">
        <v>149</v>
      </c>
      <c r="D1488" s="5" t="s">
        <v>54</v>
      </c>
      <c r="E1488" s="5" t="s">
        <v>21</v>
      </c>
      <c r="F1488" s="5">
        <v>4</v>
      </c>
      <c r="G1488" s="19">
        <v>0.1</v>
      </c>
      <c r="H1488" s="5" t="s">
        <v>454</v>
      </c>
      <c r="I1488" s="10">
        <f>IF(OR(D1488="", F1488=""), "", F1488 * VLOOKUP(D1488, Products!A:E, 5, FALSE) * (1 - G1488))</f>
        <v>6673.5720000000001</v>
      </c>
      <c r="J1488" s="10"/>
    </row>
    <row r="1489" spans="1:10" ht="15.75" customHeight="1" x14ac:dyDescent="0.3">
      <c r="A1489" s="5" t="s">
        <v>2356</v>
      </c>
      <c r="B1489" s="11">
        <v>45483</v>
      </c>
      <c r="C1489" s="5" t="s">
        <v>718</v>
      </c>
      <c r="D1489" s="5" t="s">
        <v>232</v>
      </c>
      <c r="E1489" s="5" t="s">
        <v>33</v>
      </c>
      <c r="F1489" s="5">
        <v>4</v>
      </c>
      <c r="G1489" s="19">
        <v>0.1</v>
      </c>
      <c r="H1489" s="5" t="s">
        <v>454</v>
      </c>
      <c r="I1489" s="10">
        <f>IF(OR(D1489="", F1489=""), "", F1489 * VLOOKUP(D1489, Products!A:E, 5, FALSE) * (1 - G1489))</f>
        <v>7029.5400000000009</v>
      </c>
      <c r="J1489" s="10"/>
    </row>
    <row r="1490" spans="1:10" ht="15.75" customHeight="1" x14ac:dyDescent="0.3">
      <c r="A1490" s="5" t="s">
        <v>2357</v>
      </c>
      <c r="B1490" s="11">
        <v>45264</v>
      </c>
      <c r="C1490" s="5" t="s">
        <v>342</v>
      </c>
      <c r="D1490" s="5" t="s">
        <v>61</v>
      </c>
      <c r="E1490" s="5" t="s">
        <v>25</v>
      </c>
      <c r="F1490" s="5">
        <v>2</v>
      </c>
      <c r="G1490" s="19">
        <v>0</v>
      </c>
      <c r="H1490" s="5" t="s">
        <v>454</v>
      </c>
      <c r="I1490" s="10">
        <f>IF(OR(D1490="", F1490=""), "", F1490 * VLOOKUP(D1490, Products!A:E, 5, FALSE) * (1 - G1490))</f>
        <v>636.1</v>
      </c>
      <c r="J1490" s="10"/>
    </row>
    <row r="1491" spans="1:10" ht="15.75" customHeight="1" x14ac:dyDescent="0.3">
      <c r="A1491" s="5" t="s">
        <v>2358</v>
      </c>
      <c r="B1491" s="11">
        <v>45239</v>
      </c>
      <c r="C1491" s="5" t="s">
        <v>789</v>
      </c>
      <c r="D1491" s="5" t="s">
        <v>74</v>
      </c>
      <c r="E1491" s="5" t="s">
        <v>21</v>
      </c>
      <c r="F1491" s="5">
        <v>4</v>
      </c>
      <c r="G1491" s="19">
        <v>0</v>
      </c>
      <c r="H1491" s="5" t="s">
        <v>776</v>
      </c>
      <c r="I1491" s="10">
        <f>IF(OR(D1491="", F1491=""), "", F1491 * VLOOKUP(D1491, Products!A:E, 5, FALSE) * (1 - G1491))</f>
        <v>4776.4799999999996</v>
      </c>
      <c r="J1491" s="10"/>
    </row>
    <row r="1492" spans="1:10" ht="15.75" customHeight="1" x14ac:dyDescent="0.3">
      <c r="A1492" s="5" t="s">
        <v>2359</v>
      </c>
      <c r="B1492" s="11">
        <v>45615</v>
      </c>
      <c r="C1492" s="5" t="s">
        <v>546</v>
      </c>
      <c r="D1492" s="5" t="s">
        <v>226</v>
      </c>
      <c r="E1492" s="5" t="s">
        <v>21</v>
      </c>
      <c r="F1492" s="5">
        <v>1</v>
      </c>
      <c r="G1492" s="19">
        <v>0.05</v>
      </c>
      <c r="H1492" s="5" t="s">
        <v>637</v>
      </c>
      <c r="I1492" s="10">
        <f>IF(OR(D1492="", F1492=""), "", F1492 * VLOOKUP(D1492, Products!A:E, 5, FALSE) * (1 - G1492))</f>
        <v>1426.3869999999999</v>
      </c>
      <c r="J1492" s="10"/>
    </row>
    <row r="1493" spans="1:10" ht="15.75" customHeight="1" x14ac:dyDescent="0.3">
      <c r="A1493" s="5" t="s">
        <v>2360</v>
      </c>
      <c r="B1493" s="11">
        <v>45496</v>
      </c>
      <c r="C1493" s="5" t="s">
        <v>604</v>
      </c>
      <c r="D1493" s="5" t="s">
        <v>280</v>
      </c>
      <c r="E1493" s="5" t="s">
        <v>33</v>
      </c>
      <c r="F1493" s="5">
        <v>5</v>
      </c>
      <c r="G1493" s="19">
        <v>0.15</v>
      </c>
      <c r="H1493" s="5" t="s">
        <v>454</v>
      </c>
      <c r="I1493" s="10">
        <f>IF(OR(D1493="", F1493=""), "", F1493 * VLOOKUP(D1493, Products!A:E, 5, FALSE) * (1 - G1493))</f>
        <v>5169.5299999999988</v>
      </c>
      <c r="J1493" s="10"/>
    </row>
    <row r="1494" spans="1:10" ht="15.75" customHeight="1" x14ac:dyDescent="0.3">
      <c r="A1494" s="5" t="s">
        <v>2361</v>
      </c>
      <c r="B1494" s="11">
        <v>45635</v>
      </c>
      <c r="C1494" s="5" t="s">
        <v>744</v>
      </c>
      <c r="D1494" s="5" t="s">
        <v>70</v>
      </c>
      <c r="E1494" s="5" t="s">
        <v>37</v>
      </c>
      <c r="F1494" s="5">
        <v>3</v>
      </c>
      <c r="G1494" s="19">
        <v>0.15</v>
      </c>
      <c r="H1494" s="5" t="s">
        <v>454</v>
      </c>
      <c r="I1494" s="10">
        <f>IF(OR(D1494="", F1494=""), "", F1494 * VLOOKUP(D1494, Products!A:E, 5, FALSE) * (1 - G1494))</f>
        <v>314.1345</v>
      </c>
      <c r="J1494" s="10"/>
    </row>
    <row r="1495" spans="1:10" ht="15.75" customHeight="1" x14ac:dyDescent="0.3">
      <c r="A1495" s="5" t="s">
        <v>2362</v>
      </c>
      <c r="B1495" s="11">
        <v>45437</v>
      </c>
      <c r="C1495" s="5" t="s">
        <v>209</v>
      </c>
      <c r="D1495" s="5" t="s">
        <v>285</v>
      </c>
      <c r="E1495" s="5" t="s">
        <v>25</v>
      </c>
      <c r="F1495" s="5">
        <v>2</v>
      </c>
      <c r="G1495" s="19">
        <v>0</v>
      </c>
      <c r="H1495" s="5" t="s">
        <v>697</v>
      </c>
      <c r="I1495" s="10">
        <f>IF(OR(D1495="", F1495=""), "", F1495 * VLOOKUP(D1495, Products!A:E, 5, FALSE) * (1 - G1495))</f>
        <v>776.52</v>
      </c>
      <c r="J1495" s="10"/>
    </row>
    <row r="1496" spans="1:10" ht="15.75" customHeight="1" x14ac:dyDescent="0.3">
      <c r="A1496" s="5" t="s">
        <v>2363</v>
      </c>
      <c r="B1496" s="11">
        <v>45254</v>
      </c>
      <c r="C1496" s="5" t="s">
        <v>245</v>
      </c>
      <c r="D1496" s="5" t="s">
        <v>134</v>
      </c>
      <c r="E1496" s="5" t="s">
        <v>21</v>
      </c>
      <c r="F1496" s="5">
        <v>2</v>
      </c>
      <c r="G1496" s="19">
        <v>0</v>
      </c>
      <c r="H1496" s="5" t="s">
        <v>697</v>
      </c>
      <c r="I1496" s="10">
        <f>IF(OR(D1496="", F1496=""), "", F1496 * VLOOKUP(D1496, Products!A:E, 5, FALSE) * (1 - G1496))</f>
        <v>2454.48</v>
      </c>
      <c r="J1496" s="10"/>
    </row>
    <row r="1497" spans="1:10" ht="15.75" customHeight="1" x14ac:dyDescent="0.3">
      <c r="A1497" s="5" t="s">
        <v>2364</v>
      </c>
      <c r="B1497" s="11">
        <v>45868</v>
      </c>
      <c r="C1497" s="5" t="s">
        <v>624</v>
      </c>
      <c r="D1497" s="5" t="s">
        <v>175</v>
      </c>
      <c r="E1497" s="5" t="s">
        <v>25</v>
      </c>
      <c r="F1497" s="5">
        <v>2</v>
      </c>
      <c r="G1497" s="19">
        <v>0.15</v>
      </c>
      <c r="H1497" s="5" t="s">
        <v>697</v>
      </c>
      <c r="I1497" s="10">
        <f>IF(OR(D1497="", F1497=""), "", F1497 * VLOOKUP(D1497, Products!A:E, 5, FALSE) * (1 - G1497))</f>
        <v>2162.7910000000002</v>
      </c>
      <c r="J1497" s="10"/>
    </row>
    <row r="1498" spans="1:10" ht="15.75" customHeight="1" x14ac:dyDescent="0.3">
      <c r="A1498" s="5" t="s">
        <v>2365</v>
      </c>
      <c r="B1498" s="11">
        <v>45590</v>
      </c>
      <c r="C1498" s="5" t="s">
        <v>209</v>
      </c>
      <c r="D1498" s="5" t="s">
        <v>272</v>
      </c>
      <c r="E1498" s="5" t="s">
        <v>29</v>
      </c>
      <c r="F1498" s="5">
        <v>4</v>
      </c>
      <c r="G1498" s="19">
        <v>0.05</v>
      </c>
      <c r="H1498" s="5" t="s">
        <v>637</v>
      </c>
      <c r="I1498" s="10">
        <f>IF(OR(D1498="", F1498=""), "", F1498 * VLOOKUP(D1498, Products!A:E, 5, FALSE) * (1 - G1498))</f>
        <v>4428.405999999999</v>
      </c>
      <c r="J1498" s="10"/>
    </row>
    <row r="1499" spans="1:10" ht="15.75" customHeight="1" x14ac:dyDescent="0.3">
      <c r="A1499" s="5" t="s">
        <v>2366</v>
      </c>
      <c r="B1499" s="11">
        <v>45599</v>
      </c>
      <c r="C1499" s="5" t="s">
        <v>571</v>
      </c>
      <c r="D1499" s="5" t="s">
        <v>193</v>
      </c>
      <c r="E1499" s="5" t="s">
        <v>21</v>
      </c>
      <c r="F1499" s="5">
        <v>1</v>
      </c>
      <c r="G1499" s="19">
        <v>0.05</v>
      </c>
      <c r="H1499" s="5" t="s">
        <v>697</v>
      </c>
      <c r="I1499" s="10">
        <f>IF(OR(D1499="", F1499=""), "", F1499 * VLOOKUP(D1499, Products!A:E, 5, FALSE) * (1 - G1499))</f>
        <v>27.777999999999999</v>
      </c>
      <c r="J1499" s="10"/>
    </row>
    <row r="1500" spans="1:10" ht="15.75" customHeight="1" x14ac:dyDescent="0.3">
      <c r="A1500" s="5" t="s">
        <v>2367</v>
      </c>
      <c r="B1500" s="11">
        <v>45462</v>
      </c>
      <c r="C1500" s="5" t="s">
        <v>847</v>
      </c>
      <c r="D1500" s="5" t="s">
        <v>65</v>
      </c>
      <c r="E1500" s="5" t="s">
        <v>33</v>
      </c>
      <c r="F1500" s="5">
        <v>4</v>
      </c>
      <c r="G1500" s="19">
        <v>0.15</v>
      </c>
      <c r="H1500" s="5" t="s">
        <v>776</v>
      </c>
      <c r="I1500" s="10">
        <f>IF(OR(D1500="", F1500=""), "", F1500 * VLOOKUP(D1500, Products!A:E, 5, FALSE) * (1 - G1500))</f>
        <v>5012.0079999999998</v>
      </c>
      <c r="J1500" s="10"/>
    </row>
    <row r="1501" spans="1:10" ht="15.75" customHeight="1" x14ac:dyDescent="0.3">
      <c r="A1501" s="5" t="s">
        <v>2368</v>
      </c>
      <c r="B1501" s="11">
        <v>45741</v>
      </c>
      <c r="C1501" s="5" t="s">
        <v>597</v>
      </c>
      <c r="D1501" s="5" t="s">
        <v>272</v>
      </c>
      <c r="E1501" s="5" t="s">
        <v>37</v>
      </c>
      <c r="F1501" s="5">
        <v>2</v>
      </c>
      <c r="G1501" s="19">
        <v>0.05</v>
      </c>
      <c r="H1501" s="5" t="s">
        <v>454</v>
      </c>
      <c r="I1501" s="10">
        <f>IF(OR(D1501="", F1501=""), "", F1501 * VLOOKUP(D1501, Products!A:E, 5, FALSE) * (1 - G1501))</f>
        <v>2214.2029999999995</v>
      </c>
      <c r="J1501" s="10"/>
    </row>
    <row r="1502" spans="1:10" ht="15.75" customHeight="1" x14ac:dyDescent="0.3">
      <c r="A1502" s="5" t="s">
        <v>2369</v>
      </c>
      <c r="B1502" s="11">
        <v>45259</v>
      </c>
      <c r="C1502" s="5" t="s">
        <v>703</v>
      </c>
      <c r="D1502" s="5" t="s">
        <v>119</v>
      </c>
      <c r="E1502" s="5" t="s">
        <v>33</v>
      </c>
      <c r="F1502" s="5">
        <v>1</v>
      </c>
      <c r="G1502" s="19">
        <v>0.1</v>
      </c>
      <c r="H1502" s="5" t="s">
        <v>776</v>
      </c>
      <c r="I1502" s="10">
        <f>IF(OR(D1502="", F1502=""), "", F1502 * VLOOKUP(D1502, Products!A:E, 5, FALSE) * (1 - G1502))</f>
        <v>971.90100000000007</v>
      </c>
      <c r="J1502" s="10"/>
    </row>
    <row r="1503" spans="1:10" ht="15.75" customHeight="1" x14ac:dyDescent="0.3">
      <c r="A1503" s="5" t="s">
        <v>2370</v>
      </c>
      <c r="B1503" s="11">
        <v>45320</v>
      </c>
      <c r="C1503" s="5" t="s">
        <v>235</v>
      </c>
      <c r="D1503" s="5" t="s">
        <v>226</v>
      </c>
      <c r="E1503" s="5" t="s">
        <v>33</v>
      </c>
      <c r="F1503" s="5">
        <v>4</v>
      </c>
      <c r="G1503" s="19">
        <v>0.15</v>
      </c>
      <c r="H1503" s="5" t="s">
        <v>454</v>
      </c>
      <c r="I1503" s="10">
        <f>IF(OR(D1503="", F1503=""), "", F1503 * VLOOKUP(D1503, Products!A:E, 5, FALSE) * (1 - G1503))</f>
        <v>5104.9639999999999</v>
      </c>
      <c r="J1503" s="10"/>
    </row>
    <row r="1504" spans="1:10" ht="15.75" customHeight="1" x14ac:dyDescent="0.3">
      <c r="A1504" s="5" t="s">
        <v>2371</v>
      </c>
      <c r="B1504" s="11">
        <v>45358</v>
      </c>
      <c r="C1504" s="5" t="s">
        <v>137</v>
      </c>
      <c r="D1504" s="5" t="s">
        <v>200</v>
      </c>
      <c r="E1504" s="5" t="s">
        <v>33</v>
      </c>
      <c r="F1504" s="5">
        <v>4</v>
      </c>
      <c r="G1504" s="19">
        <v>0.15</v>
      </c>
      <c r="H1504" s="5" t="s">
        <v>637</v>
      </c>
      <c r="I1504" s="10">
        <f>IF(OR(D1504="", F1504=""), "", F1504 * VLOOKUP(D1504, Products!A:E, 5, FALSE) * (1 - G1504))</f>
        <v>3725.4479999999999</v>
      </c>
      <c r="J1504" s="10"/>
    </row>
    <row r="1505" spans="1:10" ht="15.75" customHeight="1" x14ac:dyDescent="0.3">
      <c r="A1505" s="5" t="s">
        <v>2372</v>
      </c>
      <c r="B1505" s="11">
        <v>45670</v>
      </c>
      <c r="C1505" s="5" t="s">
        <v>389</v>
      </c>
      <c r="D1505" s="5" t="s">
        <v>140</v>
      </c>
      <c r="E1505" s="5" t="s">
        <v>21</v>
      </c>
      <c r="F1505" s="5">
        <v>5</v>
      </c>
      <c r="G1505" s="19">
        <v>0</v>
      </c>
      <c r="H1505" s="5" t="s">
        <v>637</v>
      </c>
      <c r="I1505" s="10">
        <f>IF(OR(D1505="", F1505=""), "", F1505 * VLOOKUP(D1505, Products!A:E, 5, FALSE) * (1 - G1505))</f>
        <v>127.85</v>
      </c>
      <c r="J1505" s="10"/>
    </row>
    <row r="1506" spans="1:10" ht="15.75" customHeight="1" x14ac:dyDescent="0.3">
      <c r="A1506" s="5" t="s">
        <v>2373</v>
      </c>
      <c r="B1506" s="11">
        <v>45439</v>
      </c>
      <c r="C1506" s="5" t="s">
        <v>708</v>
      </c>
      <c r="D1506" s="5" t="s">
        <v>74</v>
      </c>
      <c r="E1506" s="5" t="s">
        <v>29</v>
      </c>
      <c r="F1506" s="5">
        <v>5</v>
      </c>
      <c r="G1506" s="19">
        <v>0</v>
      </c>
      <c r="H1506" s="5" t="s">
        <v>454</v>
      </c>
      <c r="I1506" s="10">
        <f>IF(OR(D1506="", F1506=""), "", F1506 * VLOOKUP(D1506, Products!A:E, 5, FALSE) * (1 - G1506))</f>
        <v>5970.5999999999995</v>
      </c>
      <c r="J1506" s="10"/>
    </row>
    <row r="1507" spans="1:10" ht="15.75" customHeight="1" x14ac:dyDescent="0.3">
      <c r="A1507" s="5" t="s">
        <v>2374</v>
      </c>
      <c r="B1507" s="11">
        <v>45737</v>
      </c>
      <c r="C1507" s="5" t="s">
        <v>766</v>
      </c>
      <c r="D1507" s="5" t="s">
        <v>267</v>
      </c>
      <c r="E1507" s="5" t="s">
        <v>33</v>
      </c>
      <c r="F1507" s="5">
        <v>4</v>
      </c>
      <c r="G1507" s="19">
        <v>0</v>
      </c>
      <c r="H1507" s="5" t="s">
        <v>637</v>
      </c>
      <c r="I1507" s="10">
        <f>IF(OR(D1507="", F1507=""), "", F1507 * VLOOKUP(D1507, Products!A:E, 5, FALSE) * (1 - G1507))</f>
        <v>5146.2</v>
      </c>
      <c r="J1507" s="10"/>
    </row>
    <row r="1508" spans="1:10" ht="15.75" customHeight="1" x14ac:dyDescent="0.3">
      <c r="A1508" s="5" t="s">
        <v>2375</v>
      </c>
      <c r="B1508" s="11">
        <v>45392</v>
      </c>
      <c r="C1508" s="5" t="s">
        <v>402</v>
      </c>
      <c r="D1508" s="5" t="s">
        <v>267</v>
      </c>
      <c r="E1508" s="5" t="s">
        <v>29</v>
      </c>
      <c r="F1508" s="5">
        <v>4</v>
      </c>
      <c r="G1508" s="19">
        <v>0.15</v>
      </c>
      <c r="H1508" s="5" t="s">
        <v>776</v>
      </c>
      <c r="I1508" s="10">
        <f>IF(OR(D1508="", F1508=""), "", F1508 * VLOOKUP(D1508, Products!A:E, 5, FALSE) * (1 - G1508))</f>
        <v>4374.2699999999995</v>
      </c>
      <c r="J1508" s="10"/>
    </row>
    <row r="1509" spans="1:10" ht="15.75" customHeight="1" x14ac:dyDescent="0.3">
      <c r="A1509" s="5" t="s">
        <v>2376</v>
      </c>
      <c r="B1509" s="11">
        <v>45495</v>
      </c>
      <c r="C1509" s="5" t="s">
        <v>317</v>
      </c>
      <c r="D1509" s="5" t="s">
        <v>206</v>
      </c>
      <c r="E1509" s="5" t="s">
        <v>29</v>
      </c>
      <c r="F1509" s="5">
        <v>2</v>
      </c>
      <c r="G1509" s="19">
        <v>0.15</v>
      </c>
      <c r="H1509" s="5" t="s">
        <v>454</v>
      </c>
      <c r="I1509" s="10">
        <f>IF(OR(D1509="", F1509=""), "", F1509 * VLOOKUP(D1509, Products!A:E, 5, FALSE) * (1 - G1509))</f>
        <v>518.00699999999995</v>
      </c>
      <c r="J1509" s="10"/>
    </row>
    <row r="1510" spans="1:10" ht="15.75" customHeight="1" x14ac:dyDescent="0.3">
      <c r="A1510" s="5" t="s">
        <v>2377</v>
      </c>
      <c r="B1510" s="11">
        <v>45401</v>
      </c>
      <c r="C1510" s="5" t="s">
        <v>586</v>
      </c>
      <c r="D1510" s="5" t="s">
        <v>269</v>
      </c>
      <c r="E1510" s="5" t="s">
        <v>25</v>
      </c>
      <c r="F1510" s="5">
        <v>5</v>
      </c>
      <c r="G1510" s="19">
        <v>0.05</v>
      </c>
      <c r="H1510" s="5" t="s">
        <v>454</v>
      </c>
      <c r="I1510" s="10">
        <f>IF(OR(D1510="", F1510=""), "", F1510 * VLOOKUP(D1510, Products!A:E, 5, FALSE) * (1 - G1510))</f>
        <v>8925.6299999999992</v>
      </c>
      <c r="J1510" s="10"/>
    </row>
    <row r="1511" spans="1:10" ht="15.75" customHeight="1" x14ac:dyDescent="0.3">
      <c r="A1511" s="5" t="s">
        <v>2378</v>
      </c>
      <c r="B1511" s="11">
        <v>45871</v>
      </c>
      <c r="C1511" s="5" t="s">
        <v>729</v>
      </c>
      <c r="D1511" s="5" t="s">
        <v>147</v>
      </c>
      <c r="E1511" s="5" t="s">
        <v>33</v>
      </c>
      <c r="F1511" s="5">
        <v>2</v>
      </c>
      <c r="G1511" s="19">
        <v>0.1</v>
      </c>
      <c r="H1511" s="5" t="s">
        <v>637</v>
      </c>
      <c r="I1511" s="10">
        <f>IF(OR(D1511="", F1511=""), "", F1511 * VLOOKUP(D1511, Products!A:E, 5, FALSE) * (1 - G1511))</f>
        <v>3381.2460000000001</v>
      </c>
      <c r="J1511" s="10"/>
    </row>
    <row r="1512" spans="1:10" ht="15.75" customHeight="1" x14ac:dyDescent="0.3">
      <c r="A1512" s="5" t="s">
        <v>2379</v>
      </c>
      <c r="B1512" s="11">
        <v>45481</v>
      </c>
      <c r="C1512" s="5" t="s">
        <v>563</v>
      </c>
      <c r="D1512" s="5" t="s">
        <v>57</v>
      </c>
      <c r="E1512" s="5" t="s">
        <v>29</v>
      </c>
      <c r="F1512" s="5">
        <v>4</v>
      </c>
      <c r="G1512" s="19">
        <v>0.05</v>
      </c>
      <c r="H1512" s="5" t="s">
        <v>697</v>
      </c>
      <c r="I1512" s="10">
        <f>IF(OR(D1512="", F1512=""), "", F1512 * VLOOKUP(D1512, Products!A:E, 5, FALSE) * (1 - G1512))</f>
        <v>5305.6359999999995</v>
      </c>
      <c r="J1512" s="10"/>
    </row>
    <row r="1513" spans="1:10" ht="15.75" customHeight="1" x14ac:dyDescent="0.3">
      <c r="A1513" s="5" t="s">
        <v>2380</v>
      </c>
      <c r="B1513" s="11">
        <v>45342</v>
      </c>
      <c r="C1513" s="5" t="s">
        <v>440</v>
      </c>
      <c r="D1513" s="5" t="s">
        <v>193</v>
      </c>
      <c r="E1513" s="5" t="s">
        <v>21</v>
      </c>
      <c r="F1513" s="5">
        <v>4</v>
      </c>
      <c r="G1513" s="19">
        <v>0.05</v>
      </c>
      <c r="H1513" s="5" t="s">
        <v>697</v>
      </c>
      <c r="I1513" s="10">
        <f>IF(OR(D1513="", F1513=""), "", F1513 * VLOOKUP(D1513, Products!A:E, 5, FALSE) * (1 - G1513))</f>
        <v>111.11199999999999</v>
      </c>
      <c r="J1513" s="10"/>
    </row>
    <row r="1514" spans="1:10" ht="15.75" customHeight="1" x14ac:dyDescent="0.3">
      <c r="A1514" s="5" t="s">
        <v>2381</v>
      </c>
      <c r="B1514" s="11">
        <v>45800</v>
      </c>
      <c r="C1514" s="5" t="s">
        <v>357</v>
      </c>
      <c r="D1514" s="5" t="s">
        <v>103</v>
      </c>
      <c r="E1514" s="5" t="s">
        <v>25</v>
      </c>
      <c r="F1514" s="5">
        <v>5</v>
      </c>
      <c r="G1514" s="19">
        <v>0.15</v>
      </c>
      <c r="H1514" s="5" t="s">
        <v>776</v>
      </c>
      <c r="I1514" s="10">
        <f>IF(OR(D1514="", F1514=""), "", F1514 * VLOOKUP(D1514, Products!A:E, 5, FALSE) * (1 - G1514))</f>
        <v>1149.4124999999999</v>
      </c>
      <c r="J1514" s="10"/>
    </row>
    <row r="1515" spans="1:10" ht="15.75" customHeight="1" x14ac:dyDescent="0.3">
      <c r="A1515" s="5" t="s">
        <v>2382</v>
      </c>
      <c r="B1515" s="11">
        <v>45315</v>
      </c>
      <c r="C1515" s="5" t="s">
        <v>563</v>
      </c>
      <c r="D1515" s="5" t="s">
        <v>249</v>
      </c>
      <c r="E1515" s="5" t="s">
        <v>33</v>
      </c>
      <c r="F1515" s="5">
        <v>3</v>
      </c>
      <c r="G1515" s="19">
        <v>0.05</v>
      </c>
      <c r="H1515" s="5" t="s">
        <v>697</v>
      </c>
      <c r="I1515" s="10">
        <f>IF(OR(D1515="", F1515=""), "", F1515 * VLOOKUP(D1515, Products!A:E, 5, FALSE) * (1 - G1515))</f>
        <v>4974.9884999999995</v>
      </c>
      <c r="J1515" s="10"/>
    </row>
    <row r="1516" spans="1:10" ht="15.75" customHeight="1" x14ac:dyDescent="0.3">
      <c r="A1516" s="5" t="s">
        <v>2383</v>
      </c>
      <c r="B1516" s="11">
        <v>45816</v>
      </c>
      <c r="C1516" s="5" t="s">
        <v>691</v>
      </c>
      <c r="D1516" s="5" t="s">
        <v>265</v>
      </c>
      <c r="E1516" s="5" t="s">
        <v>21</v>
      </c>
      <c r="F1516" s="5">
        <v>1</v>
      </c>
      <c r="G1516" s="19">
        <v>0.1</v>
      </c>
      <c r="H1516" s="5" t="s">
        <v>454</v>
      </c>
      <c r="I1516" s="10">
        <f>IF(OR(D1516="", F1516=""), "", F1516 * VLOOKUP(D1516, Products!A:E, 5, FALSE) * (1 - G1516))</f>
        <v>507.97799999999995</v>
      </c>
      <c r="J1516" s="10"/>
    </row>
    <row r="1517" spans="1:10" ht="15.75" customHeight="1" x14ac:dyDescent="0.3">
      <c r="A1517" s="5" t="s">
        <v>2384</v>
      </c>
      <c r="B1517" s="11">
        <v>45777</v>
      </c>
      <c r="C1517" s="5" t="s">
        <v>511</v>
      </c>
      <c r="D1517" s="5" t="s">
        <v>57</v>
      </c>
      <c r="E1517" s="5" t="s">
        <v>25</v>
      </c>
      <c r="F1517" s="5">
        <v>2</v>
      </c>
      <c r="G1517" s="19">
        <v>0</v>
      </c>
      <c r="H1517" s="5" t="s">
        <v>776</v>
      </c>
      <c r="I1517" s="10">
        <f>IF(OR(D1517="", F1517=""), "", F1517 * VLOOKUP(D1517, Products!A:E, 5, FALSE) * (1 - G1517))</f>
        <v>2792.44</v>
      </c>
      <c r="J1517" s="10"/>
    </row>
    <row r="1518" spans="1:10" ht="15.75" customHeight="1" x14ac:dyDescent="0.3">
      <c r="A1518" s="5" t="s">
        <v>2385</v>
      </c>
      <c r="B1518" s="11">
        <v>45215</v>
      </c>
      <c r="C1518" s="5" t="s">
        <v>491</v>
      </c>
      <c r="D1518" s="5" t="s">
        <v>109</v>
      </c>
      <c r="E1518" s="5" t="s">
        <v>33</v>
      </c>
      <c r="F1518" s="5">
        <v>1</v>
      </c>
      <c r="G1518" s="19">
        <v>0.05</v>
      </c>
      <c r="H1518" s="5" t="s">
        <v>776</v>
      </c>
      <c r="I1518" s="10">
        <f>IF(OR(D1518="", F1518=""), "", F1518 * VLOOKUP(D1518, Products!A:E, 5, FALSE) * (1 - G1518))</f>
        <v>1765.8125</v>
      </c>
      <c r="J1518" s="10"/>
    </row>
    <row r="1519" spans="1:10" ht="15.75" customHeight="1" x14ac:dyDescent="0.3">
      <c r="A1519" s="5" t="s">
        <v>2386</v>
      </c>
      <c r="B1519" s="11">
        <v>45291</v>
      </c>
      <c r="C1519" s="5" t="s">
        <v>695</v>
      </c>
      <c r="D1519" s="5" t="s">
        <v>65</v>
      </c>
      <c r="E1519" s="5" t="s">
        <v>25</v>
      </c>
      <c r="F1519" s="5">
        <v>4</v>
      </c>
      <c r="G1519" s="19">
        <v>0.1</v>
      </c>
      <c r="H1519" s="5" t="s">
        <v>454</v>
      </c>
      <c r="I1519" s="10">
        <f>IF(OR(D1519="", F1519=""), "", F1519 * VLOOKUP(D1519, Products!A:E, 5, FALSE) * (1 - G1519))</f>
        <v>5306.8319999999994</v>
      </c>
      <c r="J1519" s="10"/>
    </row>
    <row r="1520" spans="1:10" ht="15.75" customHeight="1" x14ac:dyDescent="0.3">
      <c r="A1520" s="5" t="s">
        <v>2387</v>
      </c>
      <c r="B1520" s="11">
        <v>45257</v>
      </c>
      <c r="C1520" s="5" t="s">
        <v>507</v>
      </c>
      <c r="D1520" s="5" t="s">
        <v>50</v>
      </c>
      <c r="E1520" s="5" t="s">
        <v>21</v>
      </c>
      <c r="F1520" s="5">
        <v>5</v>
      </c>
      <c r="G1520" s="19">
        <v>0.1</v>
      </c>
      <c r="H1520" s="5" t="s">
        <v>697</v>
      </c>
      <c r="I1520" s="10">
        <f>IF(OR(D1520="", F1520=""), "", F1520 * VLOOKUP(D1520, Products!A:E, 5, FALSE) * (1 - G1520))</f>
        <v>1519.335</v>
      </c>
      <c r="J1520" s="10"/>
    </row>
    <row r="1521" spans="1:10" ht="15.75" customHeight="1" x14ac:dyDescent="0.3">
      <c r="A1521" s="5" t="s">
        <v>2388</v>
      </c>
      <c r="B1521" s="11">
        <v>45271</v>
      </c>
      <c r="C1521" s="5" t="s">
        <v>802</v>
      </c>
      <c r="D1521" s="5" t="s">
        <v>175</v>
      </c>
      <c r="E1521" s="5" t="s">
        <v>37</v>
      </c>
      <c r="F1521" s="5">
        <v>5</v>
      </c>
      <c r="G1521" s="19">
        <v>0</v>
      </c>
      <c r="H1521" s="5" t="s">
        <v>776</v>
      </c>
      <c r="I1521" s="10">
        <f>IF(OR(D1521="", F1521=""), "", F1521 * VLOOKUP(D1521, Products!A:E, 5, FALSE) * (1 - G1521))</f>
        <v>6361.15</v>
      </c>
      <c r="J1521" s="10"/>
    </row>
    <row r="1522" spans="1:10" ht="15.75" customHeight="1" x14ac:dyDescent="0.3">
      <c r="A1522" s="5" t="s">
        <v>2389</v>
      </c>
      <c r="B1522" s="11">
        <v>45643</v>
      </c>
      <c r="C1522" s="5" t="s">
        <v>586</v>
      </c>
      <c r="D1522" s="5" t="s">
        <v>119</v>
      </c>
      <c r="E1522" s="5" t="s">
        <v>33</v>
      </c>
      <c r="F1522" s="5">
        <v>1</v>
      </c>
      <c r="G1522" s="19">
        <v>0</v>
      </c>
      <c r="H1522" s="5" t="s">
        <v>776</v>
      </c>
      <c r="I1522" s="10">
        <f>IF(OR(D1522="", F1522=""), "", F1522 * VLOOKUP(D1522, Products!A:E, 5, FALSE) * (1 - G1522))</f>
        <v>1079.8900000000001</v>
      </c>
      <c r="J1522" s="10"/>
    </row>
    <row r="1523" spans="1:10" ht="15.75" customHeight="1" x14ac:dyDescent="0.3">
      <c r="A1523" s="5" t="s">
        <v>2390</v>
      </c>
      <c r="B1523" s="11">
        <v>45829</v>
      </c>
      <c r="C1523" s="5" t="s">
        <v>695</v>
      </c>
      <c r="D1523" s="5" t="s">
        <v>77</v>
      </c>
      <c r="E1523" s="5" t="s">
        <v>21</v>
      </c>
      <c r="F1523" s="5">
        <v>5</v>
      </c>
      <c r="G1523" s="19">
        <v>0</v>
      </c>
      <c r="H1523" s="5" t="s">
        <v>697</v>
      </c>
      <c r="I1523" s="10">
        <f>IF(OR(D1523="", F1523=""), "", F1523 * VLOOKUP(D1523, Products!A:E, 5, FALSE) * (1 - G1523))</f>
        <v>1242.8499999999999</v>
      </c>
      <c r="J1523" s="10"/>
    </row>
    <row r="1524" spans="1:10" ht="15.75" customHeight="1" x14ac:dyDescent="0.3">
      <c r="A1524" s="5" t="s">
        <v>2391</v>
      </c>
      <c r="B1524" s="11">
        <v>45592</v>
      </c>
      <c r="C1524" s="5" t="s">
        <v>752</v>
      </c>
      <c r="D1524" s="5" t="s">
        <v>200</v>
      </c>
      <c r="E1524" s="5" t="s">
        <v>21</v>
      </c>
      <c r="F1524" s="5">
        <v>2</v>
      </c>
      <c r="G1524" s="19">
        <v>0.1</v>
      </c>
      <c r="H1524" s="5" t="s">
        <v>697</v>
      </c>
      <c r="I1524" s="10">
        <f>IF(OR(D1524="", F1524=""), "", F1524 * VLOOKUP(D1524, Products!A:E, 5, FALSE) * (1 - G1524))</f>
        <v>1972.296</v>
      </c>
      <c r="J1524" s="10"/>
    </row>
    <row r="1525" spans="1:10" ht="15.75" customHeight="1" x14ac:dyDescent="0.3">
      <c r="A1525" s="5" t="s">
        <v>2392</v>
      </c>
      <c r="B1525" s="11">
        <v>45681</v>
      </c>
      <c r="C1525" s="5" t="s">
        <v>837</v>
      </c>
      <c r="D1525" s="5" t="s">
        <v>89</v>
      </c>
      <c r="E1525" s="5" t="s">
        <v>29</v>
      </c>
      <c r="F1525" s="5">
        <v>4</v>
      </c>
      <c r="G1525" s="19">
        <v>0.15</v>
      </c>
      <c r="H1525" s="5" t="s">
        <v>776</v>
      </c>
      <c r="I1525" s="10">
        <f>IF(OR(D1525="", F1525=""), "", F1525 * VLOOKUP(D1525, Products!A:E, 5, FALSE) * (1 - G1525))</f>
        <v>3858.3199999999997</v>
      </c>
      <c r="J1525" s="10"/>
    </row>
    <row r="1526" spans="1:10" ht="15.75" customHeight="1" x14ac:dyDescent="0.3">
      <c r="A1526" s="5" t="s">
        <v>2393</v>
      </c>
      <c r="B1526" s="11">
        <v>45468</v>
      </c>
      <c r="C1526" s="5" t="s">
        <v>308</v>
      </c>
      <c r="D1526" s="5" t="s">
        <v>82</v>
      </c>
      <c r="E1526" s="5" t="s">
        <v>29</v>
      </c>
      <c r="F1526" s="5">
        <v>3</v>
      </c>
      <c r="G1526" s="19">
        <v>0.05</v>
      </c>
      <c r="H1526" s="5" t="s">
        <v>776</v>
      </c>
      <c r="I1526" s="10">
        <f>IF(OR(D1526="", F1526=""), "", F1526 * VLOOKUP(D1526, Products!A:E, 5, FALSE) * (1 - G1526))</f>
        <v>3400.3064999999992</v>
      </c>
      <c r="J1526" s="10"/>
    </row>
    <row r="1527" spans="1:10" ht="15.75" customHeight="1" x14ac:dyDescent="0.3">
      <c r="A1527" s="5" t="s">
        <v>2394</v>
      </c>
      <c r="B1527" s="11">
        <v>45478</v>
      </c>
      <c r="C1527" s="5" t="s">
        <v>357</v>
      </c>
      <c r="D1527" s="5" t="s">
        <v>70</v>
      </c>
      <c r="E1527" s="5" t="s">
        <v>33</v>
      </c>
      <c r="F1527" s="5">
        <v>4</v>
      </c>
      <c r="G1527" s="19">
        <v>0</v>
      </c>
      <c r="H1527" s="5" t="s">
        <v>697</v>
      </c>
      <c r="I1527" s="10">
        <f>IF(OR(D1527="", F1527=""), "", F1527 * VLOOKUP(D1527, Products!A:E, 5, FALSE) * (1 - G1527))</f>
        <v>492.76</v>
      </c>
      <c r="J1527" s="10"/>
    </row>
    <row r="1528" spans="1:10" ht="15.75" customHeight="1" x14ac:dyDescent="0.3">
      <c r="A1528" s="5" t="s">
        <v>2395</v>
      </c>
      <c r="B1528" s="11">
        <v>45540</v>
      </c>
      <c r="C1528" s="5" t="s">
        <v>618</v>
      </c>
      <c r="D1528" s="5" t="s">
        <v>82</v>
      </c>
      <c r="E1528" s="5" t="s">
        <v>29</v>
      </c>
      <c r="F1528" s="5">
        <v>3</v>
      </c>
      <c r="G1528" s="19">
        <v>0.05</v>
      </c>
      <c r="H1528" s="5" t="s">
        <v>776</v>
      </c>
      <c r="I1528" s="10">
        <f>IF(OR(D1528="", F1528=""), "", F1528 * VLOOKUP(D1528, Products!A:E, 5, FALSE) * (1 - G1528))</f>
        <v>3400.3064999999992</v>
      </c>
      <c r="J1528" s="10"/>
    </row>
    <row r="1529" spans="1:10" ht="15.75" customHeight="1" x14ac:dyDescent="0.3">
      <c r="A1529" s="5" t="s">
        <v>2396</v>
      </c>
      <c r="B1529" s="11">
        <v>45686</v>
      </c>
      <c r="C1529" s="5" t="s">
        <v>425</v>
      </c>
      <c r="D1529" s="5" t="s">
        <v>119</v>
      </c>
      <c r="E1529" s="5" t="s">
        <v>29</v>
      </c>
      <c r="F1529" s="5">
        <v>4</v>
      </c>
      <c r="G1529" s="19">
        <v>0.1</v>
      </c>
      <c r="H1529" s="5" t="s">
        <v>697</v>
      </c>
      <c r="I1529" s="10">
        <f>IF(OR(D1529="", F1529=""), "", F1529 * VLOOKUP(D1529, Products!A:E, 5, FALSE) * (1 - G1529))</f>
        <v>3887.6040000000003</v>
      </c>
      <c r="J1529" s="10"/>
    </row>
    <row r="1530" spans="1:10" ht="15.75" customHeight="1" x14ac:dyDescent="0.3">
      <c r="A1530" s="5" t="s">
        <v>2397</v>
      </c>
      <c r="B1530" s="11">
        <v>45410</v>
      </c>
      <c r="C1530" s="5" t="s">
        <v>304</v>
      </c>
      <c r="D1530" s="5" t="s">
        <v>103</v>
      </c>
      <c r="E1530" s="5" t="s">
        <v>37</v>
      </c>
      <c r="F1530" s="5">
        <v>4</v>
      </c>
      <c r="G1530" s="19">
        <v>0.05</v>
      </c>
      <c r="H1530" s="5" t="s">
        <v>697</v>
      </c>
      <c r="I1530" s="10">
        <f>IF(OR(D1530="", F1530=""), "", F1530 * VLOOKUP(D1530, Products!A:E, 5, FALSE) * (1 - G1530))</f>
        <v>1027.7099999999998</v>
      </c>
      <c r="J1530" s="10"/>
    </row>
    <row r="1531" spans="1:10" ht="15.75" customHeight="1" x14ac:dyDescent="0.3">
      <c r="A1531" s="5" t="s">
        <v>2398</v>
      </c>
      <c r="B1531" s="11">
        <v>45244</v>
      </c>
      <c r="C1531" s="5" t="s">
        <v>575</v>
      </c>
      <c r="D1531" s="5" t="s">
        <v>74</v>
      </c>
      <c r="E1531" s="5" t="s">
        <v>33</v>
      </c>
      <c r="F1531" s="5">
        <v>4</v>
      </c>
      <c r="G1531" s="19">
        <v>0.15</v>
      </c>
      <c r="H1531" s="5" t="s">
        <v>454</v>
      </c>
      <c r="I1531" s="10">
        <f>IF(OR(D1531="", F1531=""), "", F1531 * VLOOKUP(D1531, Products!A:E, 5, FALSE) * (1 - G1531))</f>
        <v>4060.0079999999994</v>
      </c>
      <c r="J1531" s="10"/>
    </row>
    <row r="1532" spans="1:10" ht="15.75" customHeight="1" x14ac:dyDescent="0.3">
      <c r="A1532" s="5" t="s">
        <v>2399</v>
      </c>
      <c r="B1532" s="11">
        <v>45734</v>
      </c>
      <c r="C1532" s="5" t="s">
        <v>121</v>
      </c>
      <c r="D1532" s="5" t="s">
        <v>206</v>
      </c>
      <c r="E1532" s="5" t="s">
        <v>33</v>
      </c>
      <c r="F1532" s="5">
        <v>2</v>
      </c>
      <c r="G1532" s="19">
        <v>0</v>
      </c>
      <c r="H1532" s="5" t="s">
        <v>776</v>
      </c>
      <c r="I1532" s="10">
        <f>IF(OR(D1532="", F1532=""), "", F1532 * VLOOKUP(D1532, Products!A:E, 5, FALSE) * (1 - G1532))</f>
        <v>609.41999999999996</v>
      </c>
      <c r="J1532" s="10"/>
    </row>
    <row r="1533" spans="1:10" ht="15.75" customHeight="1" x14ac:dyDescent="0.3">
      <c r="A1533" s="5" t="s">
        <v>2400</v>
      </c>
      <c r="B1533" s="11">
        <v>45577</v>
      </c>
      <c r="C1533" s="5" t="s">
        <v>203</v>
      </c>
      <c r="D1533" s="5" t="s">
        <v>243</v>
      </c>
      <c r="E1533" s="5" t="s">
        <v>29</v>
      </c>
      <c r="F1533" s="5">
        <v>3</v>
      </c>
      <c r="G1533" s="19">
        <v>0.15</v>
      </c>
      <c r="H1533" s="5" t="s">
        <v>697</v>
      </c>
      <c r="I1533" s="10">
        <f>IF(OR(D1533="", F1533=""), "", F1533 * VLOOKUP(D1533, Products!A:E, 5, FALSE) * (1 - G1533))</f>
        <v>1379.3970000000002</v>
      </c>
      <c r="J1533" s="10"/>
    </row>
    <row r="1534" spans="1:10" ht="15.75" customHeight="1" x14ac:dyDescent="0.3">
      <c r="A1534" s="5" t="s">
        <v>2401</v>
      </c>
      <c r="B1534" s="11">
        <v>45557</v>
      </c>
      <c r="C1534" s="5" t="s">
        <v>583</v>
      </c>
      <c r="D1534" s="5" t="s">
        <v>193</v>
      </c>
      <c r="E1534" s="5" t="s">
        <v>21</v>
      </c>
      <c r="F1534" s="5">
        <v>4</v>
      </c>
      <c r="G1534" s="19">
        <v>0</v>
      </c>
      <c r="H1534" s="5" t="s">
        <v>697</v>
      </c>
      <c r="I1534" s="10">
        <f>IF(OR(D1534="", F1534=""), "", F1534 * VLOOKUP(D1534, Products!A:E, 5, FALSE) * (1 - G1534))</f>
        <v>116.96</v>
      </c>
      <c r="J1534" s="10"/>
    </row>
    <row r="1535" spans="1:10" ht="15.75" customHeight="1" x14ac:dyDescent="0.3">
      <c r="A1535" s="5" t="s">
        <v>2402</v>
      </c>
      <c r="B1535" s="11">
        <v>45657</v>
      </c>
      <c r="C1535" s="5" t="s">
        <v>708</v>
      </c>
      <c r="D1535" s="5" t="s">
        <v>249</v>
      </c>
      <c r="E1535" s="5" t="s">
        <v>21</v>
      </c>
      <c r="F1535" s="5">
        <v>5</v>
      </c>
      <c r="G1535" s="19">
        <v>0.1</v>
      </c>
      <c r="H1535" s="5" t="s">
        <v>637</v>
      </c>
      <c r="I1535" s="10">
        <f>IF(OR(D1535="", F1535=""), "", F1535 * VLOOKUP(D1535, Products!A:E, 5, FALSE) * (1 - G1535))</f>
        <v>7855.2449999999999</v>
      </c>
      <c r="J1535" s="10"/>
    </row>
    <row r="1536" spans="1:10" ht="15.75" customHeight="1" x14ac:dyDescent="0.3">
      <c r="A1536" s="5" t="s">
        <v>2403</v>
      </c>
      <c r="B1536" s="11">
        <v>45842</v>
      </c>
      <c r="C1536" s="5" t="s">
        <v>550</v>
      </c>
      <c r="D1536" s="5" t="s">
        <v>262</v>
      </c>
      <c r="E1536" s="5" t="s">
        <v>37</v>
      </c>
      <c r="F1536" s="5">
        <v>3</v>
      </c>
      <c r="G1536" s="19">
        <v>0.1</v>
      </c>
      <c r="H1536" s="5" t="s">
        <v>454</v>
      </c>
      <c r="I1536" s="10">
        <f>IF(OR(D1536="", F1536=""), "", F1536 * VLOOKUP(D1536, Products!A:E, 5, FALSE) * (1 - G1536))</f>
        <v>1224.7740000000001</v>
      </c>
      <c r="J1536" s="10"/>
    </row>
    <row r="1537" spans="1:10" ht="15.75" customHeight="1" x14ac:dyDescent="0.3">
      <c r="A1537" s="5" t="s">
        <v>2404</v>
      </c>
      <c r="B1537" s="11">
        <v>45814</v>
      </c>
      <c r="C1537" s="5" t="s">
        <v>81</v>
      </c>
      <c r="D1537" s="5" t="s">
        <v>269</v>
      </c>
      <c r="E1537" s="5" t="s">
        <v>29</v>
      </c>
      <c r="F1537" s="5">
        <v>5</v>
      </c>
      <c r="G1537" s="19">
        <v>0.05</v>
      </c>
      <c r="H1537" s="5" t="s">
        <v>637</v>
      </c>
      <c r="I1537" s="10">
        <f>IF(OR(D1537="", F1537=""), "", F1537 * VLOOKUP(D1537, Products!A:E, 5, FALSE) * (1 - G1537))</f>
        <v>8925.6299999999992</v>
      </c>
      <c r="J1537" s="10"/>
    </row>
    <row r="1538" spans="1:10" ht="15.75" customHeight="1" x14ac:dyDescent="0.3">
      <c r="A1538" s="5" t="s">
        <v>2405</v>
      </c>
      <c r="B1538" s="11">
        <v>45777</v>
      </c>
      <c r="C1538" s="5" t="s">
        <v>593</v>
      </c>
      <c r="D1538" s="5" t="s">
        <v>115</v>
      </c>
      <c r="E1538" s="5" t="s">
        <v>25</v>
      </c>
      <c r="F1538" s="5">
        <v>5</v>
      </c>
      <c r="G1538" s="19">
        <v>0.15</v>
      </c>
      <c r="H1538" s="5" t="s">
        <v>454</v>
      </c>
      <c r="I1538" s="10">
        <f>IF(OR(D1538="", F1538=""), "", F1538 * VLOOKUP(D1538, Products!A:E, 5, FALSE) * (1 - G1538))</f>
        <v>5295.9674999999988</v>
      </c>
      <c r="J1538" s="10"/>
    </row>
    <row r="1539" spans="1:10" ht="15.75" customHeight="1" x14ac:dyDescent="0.3">
      <c r="A1539" s="5" t="s">
        <v>2406</v>
      </c>
      <c r="B1539" s="11">
        <v>45262</v>
      </c>
      <c r="C1539" s="5" t="s">
        <v>770</v>
      </c>
      <c r="D1539" s="5" t="s">
        <v>221</v>
      </c>
      <c r="E1539" s="5" t="s">
        <v>33</v>
      </c>
      <c r="F1539" s="5">
        <v>2</v>
      </c>
      <c r="G1539" s="19">
        <v>0.1</v>
      </c>
      <c r="H1539" s="5" t="s">
        <v>776</v>
      </c>
      <c r="I1539" s="10">
        <f>IF(OR(D1539="", F1539=""), "", F1539 * VLOOKUP(D1539, Products!A:E, 5, FALSE) * (1 - G1539))</f>
        <v>2812.3740000000003</v>
      </c>
      <c r="J1539" s="10"/>
    </row>
    <row r="1540" spans="1:10" ht="15.75" customHeight="1" x14ac:dyDescent="0.3">
      <c r="A1540" s="5" t="s">
        <v>2407</v>
      </c>
      <c r="B1540" s="11">
        <v>45724</v>
      </c>
      <c r="C1540" s="5" t="s">
        <v>137</v>
      </c>
      <c r="D1540" s="5" t="s">
        <v>226</v>
      </c>
      <c r="E1540" s="5" t="s">
        <v>37</v>
      </c>
      <c r="F1540" s="5">
        <v>3</v>
      </c>
      <c r="G1540" s="19">
        <v>0.15</v>
      </c>
      <c r="H1540" s="5" t="s">
        <v>697</v>
      </c>
      <c r="I1540" s="10">
        <f>IF(OR(D1540="", F1540=""), "", F1540 * VLOOKUP(D1540, Products!A:E, 5, FALSE) * (1 - G1540))</f>
        <v>3828.723</v>
      </c>
      <c r="J1540" s="10"/>
    </row>
    <row r="1541" spans="1:10" ht="15.75" customHeight="1" x14ac:dyDescent="0.3">
      <c r="A1541" s="5" t="s">
        <v>2408</v>
      </c>
      <c r="B1541" s="11">
        <v>45189</v>
      </c>
      <c r="C1541" s="5" t="s">
        <v>661</v>
      </c>
      <c r="D1541" s="5" t="s">
        <v>57</v>
      </c>
      <c r="E1541" s="5" t="s">
        <v>37</v>
      </c>
      <c r="F1541" s="5">
        <v>3</v>
      </c>
      <c r="G1541" s="19">
        <v>0.05</v>
      </c>
      <c r="H1541" s="5" t="s">
        <v>776</v>
      </c>
      <c r="I1541" s="10">
        <f>IF(OR(D1541="", F1541=""), "", F1541 * VLOOKUP(D1541, Products!A:E, 5, FALSE) * (1 - G1541))</f>
        <v>3979.2269999999999</v>
      </c>
      <c r="J1541" s="10"/>
    </row>
    <row r="1542" spans="1:10" ht="15.75" customHeight="1" x14ac:dyDescent="0.3">
      <c r="A1542" s="5" t="s">
        <v>2409</v>
      </c>
      <c r="B1542" s="11">
        <v>45576</v>
      </c>
      <c r="C1542" s="5" t="s">
        <v>649</v>
      </c>
      <c r="D1542" s="5" t="s">
        <v>168</v>
      </c>
      <c r="E1542" s="5" t="s">
        <v>37</v>
      </c>
      <c r="F1542" s="5">
        <v>3</v>
      </c>
      <c r="G1542" s="19">
        <v>0.1</v>
      </c>
      <c r="H1542" s="5" t="s">
        <v>697</v>
      </c>
      <c r="I1542" s="10">
        <f>IF(OR(D1542="", F1542=""), "", F1542 * VLOOKUP(D1542, Products!A:E, 5, FALSE) * (1 - G1542))</f>
        <v>2742.5519999999997</v>
      </c>
      <c r="J1542" s="10"/>
    </row>
    <row r="1543" spans="1:10" ht="15.75" customHeight="1" x14ac:dyDescent="0.3">
      <c r="A1543" s="5" t="s">
        <v>2410</v>
      </c>
      <c r="B1543" s="11">
        <v>45796</v>
      </c>
      <c r="C1543" s="5" t="s">
        <v>106</v>
      </c>
      <c r="D1543" s="5" t="s">
        <v>175</v>
      </c>
      <c r="E1543" s="5" t="s">
        <v>21</v>
      </c>
      <c r="F1543" s="5">
        <v>5</v>
      </c>
      <c r="G1543" s="19">
        <v>0.1</v>
      </c>
      <c r="H1543" s="5" t="s">
        <v>697</v>
      </c>
      <c r="I1543" s="10">
        <f>IF(OR(D1543="", F1543=""), "", F1543 * VLOOKUP(D1543, Products!A:E, 5, FALSE) * (1 - G1543))</f>
        <v>5725.0349999999999</v>
      </c>
      <c r="J1543" s="10"/>
    </row>
    <row r="1544" spans="1:10" ht="15.75" customHeight="1" x14ac:dyDescent="0.3">
      <c r="A1544" s="5" t="s">
        <v>2411</v>
      </c>
      <c r="B1544" s="11">
        <v>45697</v>
      </c>
      <c r="C1544" s="5" t="s">
        <v>876</v>
      </c>
      <c r="D1544" s="5" t="s">
        <v>232</v>
      </c>
      <c r="E1544" s="5" t="s">
        <v>29</v>
      </c>
      <c r="F1544" s="5">
        <v>4</v>
      </c>
      <c r="G1544" s="19">
        <v>0</v>
      </c>
      <c r="H1544" s="5" t="s">
        <v>776</v>
      </c>
      <c r="I1544" s="10">
        <f>IF(OR(D1544="", F1544=""), "", F1544 * VLOOKUP(D1544, Products!A:E, 5, FALSE) * (1 - G1544))</f>
        <v>7810.6</v>
      </c>
      <c r="J1544" s="10"/>
    </row>
    <row r="1545" spans="1:10" ht="15.75" customHeight="1" x14ac:dyDescent="0.3">
      <c r="A1545" s="5" t="s">
        <v>2412</v>
      </c>
      <c r="B1545" s="11">
        <v>45627</v>
      </c>
      <c r="C1545" s="5" t="s">
        <v>526</v>
      </c>
      <c r="D1545" s="5" t="s">
        <v>249</v>
      </c>
      <c r="E1545" s="5" t="s">
        <v>29</v>
      </c>
      <c r="F1545" s="5">
        <v>5</v>
      </c>
      <c r="G1545" s="19">
        <v>0.1</v>
      </c>
      <c r="H1545" s="5" t="s">
        <v>776</v>
      </c>
      <c r="I1545" s="10">
        <f>IF(OR(D1545="", F1545=""), "", F1545 * VLOOKUP(D1545, Products!A:E, 5, FALSE) * (1 - G1545))</f>
        <v>7855.2449999999999</v>
      </c>
      <c r="J1545" s="10"/>
    </row>
    <row r="1546" spans="1:10" ht="15.75" customHeight="1" x14ac:dyDescent="0.3">
      <c r="A1546" s="5" t="s">
        <v>2413</v>
      </c>
      <c r="B1546" s="11">
        <v>45565</v>
      </c>
      <c r="C1546" s="5" t="s">
        <v>155</v>
      </c>
      <c r="D1546" s="5" t="s">
        <v>57</v>
      </c>
      <c r="E1546" s="5" t="s">
        <v>21</v>
      </c>
      <c r="F1546" s="5">
        <v>4</v>
      </c>
      <c r="G1546" s="19">
        <v>0.1</v>
      </c>
      <c r="H1546" s="5" t="s">
        <v>776</v>
      </c>
      <c r="I1546" s="10">
        <f>IF(OR(D1546="", F1546=""), "", F1546 * VLOOKUP(D1546, Products!A:E, 5, FALSE) * (1 - G1546))</f>
        <v>5026.3919999999998</v>
      </c>
      <c r="J1546" s="10"/>
    </row>
    <row r="1547" spans="1:10" ht="15.75" customHeight="1" x14ac:dyDescent="0.3">
      <c r="A1547" s="5" t="s">
        <v>2414</v>
      </c>
      <c r="B1547" s="11">
        <v>45370</v>
      </c>
      <c r="C1547" s="5" t="s">
        <v>600</v>
      </c>
      <c r="D1547" s="5" t="s">
        <v>67</v>
      </c>
      <c r="E1547" s="5" t="s">
        <v>29</v>
      </c>
      <c r="F1547" s="5">
        <v>2</v>
      </c>
      <c r="G1547" s="19">
        <v>0.05</v>
      </c>
      <c r="H1547" s="5" t="s">
        <v>454</v>
      </c>
      <c r="I1547" s="10">
        <f>IF(OR(D1547="", F1547=""), "", F1547 * VLOOKUP(D1547, Products!A:E, 5, FALSE) * (1 - G1547))</f>
        <v>208.58199999999999</v>
      </c>
      <c r="J1547" s="10"/>
    </row>
    <row r="1548" spans="1:10" ht="15.75" customHeight="1" x14ac:dyDescent="0.3">
      <c r="A1548" s="5" t="s">
        <v>2415</v>
      </c>
      <c r="B1548" s="11">
        <v>45352</v>
      </c>
      <c r="C1548" s="5" t="s">
        <v>455</v>
      </c>
      <c r="D1548" s="5" t="s">
        <v>122</v>
      </c>
      <c r="E1548" s="5" t="s">
        <v>29</v>
      </c>
      <c r="F1548" s="5">
        <v>5</v>
      </c>
      <c r="G1548" s="19">
        <v>0.05</v>
      </c>
      <c r="H1548" s="5" t="s">
        <v>637</v>
      </c>
      <c r="I1548" s="10">
        <f>IF(OR(D1548="", F1548=""), "", F1548 * VLOOKUP(D1548, Products!A:E, 5, FALSE) * (1 - G1548))</f>
        <v>8373.8700000000008</v>
      </c>
      <c r="J1548" s="10"/>
    </row>
    <row r="1549" spans="1:10" ht="15.75" customHeight="1" x14ac:dyDescent="0.3">
      <c r="A1549" s="5" t="s">
        <v>2416</v>
      </c>
      <c r="B1549" s="11">
        <v>45477</v>
      </c>
      <c r="C1549" s="5" t="s">
        <v>661</v>
      </c>
      <c r="D1549" s="5" t="s">
        <v>226</v>
      </c>
      <c r="E1549" s="5" t="s">
        <v>25</v>
      </c>
      <c r="F1549" s="5">
        <v>1</v>
      </c>
      <c r="G1549" s="19">
        <v>0.1</v>
      </c>
      <c r="H1549" s="5" t="s">
        <v>697</v>
      </c>
      <c r="I1549" s="10">
        <f>IF(OR(D1549="", F1549=""), "", F1549 * VLOOKUP(D1549, Products!A:E, 5, FALSE) * (1 - G1549))</f>
        <v>1351.3140000000001</v>
      </c>
      <c r="J1549" s="10"/>
    </row>
    <row r="1550" spans="1:10" ht="15.75" customHeight="1" x14ac:dyDescent="0.3">
      <c r="A1550" s="5" t="s">
        <v>2417</v>
      </c>
      <c r="B1550" s="11">
        <v>45862</v>
      </c>
      <c r="C1550" s="5" t="s">
        <v>878</v>
      </c>
      <c r="D1550" s="5" t="s">
        <v>237</v>
      </c>
      <c r="E1550" s="5" t="s">
        <v>29</v>
      </c>
      <c r="F1550" s="5">
        <v>4</v>
      </c>
      <c r="G1550" s="19">
        <v>0</v>
      </c>
      <c r="H1550" s="5" t="s">
        <v>697</v>
      </c>
      <c r="I1550" s="10">
        <f>IF(OR(D1550="", F1550=""), "", F1550 * VLOOKUP(D1550, Products!A:E, 5, FALSE) * (1 - G1550))</f>
        <v>1467.72</v>
      </c>
      <c r="J1550" s="10"/>
    </row>
    <row r="1551" spans="1:10" ht="15.75" customHeight="1" x14ac:dyDescent="0.3">
      <c r="A1551" s="5" t="s">
        <v>2418</v>
      </c>
      <c r="B1551" s="11">
        <v>45785</v>
      </c>
      <c r="C1551" s="5" t="s">
        <v>823</v>
      </c>
      <c r="D1551" s="5" t="s">
        <v>65</v>
      </c>
      <c r="E1551" s="5" t="s">
        <v>33</v>
      </c>
      <c r="F1551" s="5">
        <v>4</v>
      </c>
      <c r="G1551" s="19">
        <v>0</v>
      </c>
      <c r="H1551" s="5" t="s">
        <v>776</v>
      </c>
      <c r="I1551" s="10">
        <f>IF(OR(D1551="", F1551=""), "", F1551 * VLOOKUP(D1551, Products!A:E, 5, FALSE) * (1 - G1551))</f>
        <v>5896.48</v>
      </c>
      <c r="J1551" s="10"/>
    </row>
    <row r="1552" spans="1:10" ht="15.75" customHeight="1" x14ac:dyDescent="0.3">
      <c r="A1552" s="5" t="s">
        <v>2419</v>
      </c>
      <c r="B1552" s="11">
        <v>45630</v>
      </c>
      <c r="C1552" s="5" t="s">
        <v>171</v>
      </c>
      <c r="D1552" s="5" t="s">
        <v>237</v>
      </c>
      <c r="E1552" s="5" t="s">
        <v>33</v>
      </c>
      <c r="F1552" s="5">
        <v>2</v>
      </c>
      <c r="G1552" s="19">
        <v>0.15</v>
      </c>
      <c r="H1552" s="5" t="s">
        <v>697</v>
      </c>
      <c r="I1552" s="10">
        <f>IF(OR(D1552="", F1552=""), "", F1552 * VLOOKUP(D1552, Products!A:E, 5, FALSE) * (1 - G1552))</f>
        <v>623.78099999999995</v>
      </c>
      <c r="J1552" s="10"/>
    </row>
    <row r="1553" spans="1:10" ht="15.75" customHeight="1" x14ac:dyDescent="0.3">
      <c r="A1553" s="5" t="s">
        <v>2420</v>
      </c>
      <c r="B1553" s="11">
        <v>45510</v>
      </c>
      <c r="C1553" s="5" t="s">
        <v>593</v>
      </c>
      <c r="D1553" s="5" t="s">
        <v>65</v>
      </c>
      <c r="E1553" s="5" t="s">
        <v>21</v>
      </c>
      <c r="F1553" s="5">
        <v>3</v>
      </c>
      <c r="G1553" s="19">
        <v>0.15</v>
      </c>
      <c r="H1553" s="5" t="s">
        <v>637</v>
      </c>
      <c r="I1553" s="10">
        <f>IF(OR(D1553="", F1553=""), "", F1553 * VLOOKUP(D1553, Products!A:E, 5, FALSE) * (1 - G1553))</f>
        <v>3759.0059999999994</v>
      </c>
      <c r="J1553" s="10"/>
    </row>
    <row r="1554" spans="1:10" ht="15.75" customHeight="1" x14ac:dyDescent="0.3">
      <c r="A1554" s="5" t="s">
        <v>2421</v>
      </c>
      <c r="B1554" s="11">
        <v>45758</v>
      </c>
      <c r="C1554" s="5" t="s">
        <v>420</v>
      </c>
      <c r="D1554" s="5" t="s">
        <v>70</v>
      </c>
      <c r="E1554" s="5" t="s">
        <v>37</v>
      </c>
      <c r="F1554" s="5">
        <v>4</v>
      </c>
      <c r="G1554" s="19">
        <v>0.15</v>
      </c>
      <c r="H1554" s="5" t="s">
        <v>637</v>
      </c>
      <c r="I1554" s="10">
        <f>IF(OR(D1554="", F1554=""), "", F1554 * VLOOKUP(D1554, Products!A:E, 5, FALSE) * (1 - G1554))</f>
        <v>418.846</v>
      </c>
      <c r="J1554" s="10"/>
    </row>
    <row r="1555" spans="1:10" ht="15.75" customHeight="1" x14ac:dyDescent="0.3">
      <c r="A1555" s="5" t="s">
        <v>2422</v>
      </c>
      <c r="B1555" s="11">
        <v>45679</v>
      </c>
      <c r="C1555" s="5" t="s">
        <v>802</v>
      </c>
      <c r="D1555" s="5" t="s">
        <v>200</v>
      </c>
      <c r="E1555" s="5" t="s">
        <v>33</v>
      </c>
      <c r="F1555" s="5">
        <v>4</v>
      </c>
      <c r="G1555" s="19">
        <v>0.05</v>
      </c>
      <c r="H1555" s="5" t="s">
        <v>697</v>
      </c>
      <c r="I1555" s="10">
        <f>IF(OR(D1555="", F1555=""), "", F1555 * VLOOKUP(D1555, Products!A:E, 5, FALSE) * (1 - G1555))</f>
        <v>4163.7359999999999</v>
      </c>
      <c r="J1555" s="10"/>
    </row>
    <row r="1556" spans="1:10" ht="15.75" customHeight="1" x14ac:dyDescent="0.3">
      <c r="A1556" s="5" t="s">
        <v>2423</v>
      </c>
      <c r="B1556" s="11">
        <v>45217</v>
      </c>
      <c r="C1556" s="5" t="s">
        <v>645</v>
      </c>
      <c r="D1556" s="5" t="s">
        <v>193</v>
      </c>
      <c r="E1556" s="5" t="s">
        <v>25</v>
      </c>
      <c r="F1556" s="5">
        <v>4</v>
      </c>
      <c r="G1556" s="19">
        <v>0.15</v>
      </c>
      <c r="H1556" s="5" t="s">
        <v>697</v>
      </c>
      <c r="I1556" s="10">
        <f>IF(OR(D1556="", F1556=""), "", F1556 * VLOOKUP(D1556, Products!A:E, 5, FALSE) * (1 - G1556))</f>
        <v>99.415999999999997</v>
      </c>
      <c r="J1556" s="10"/>
    </row>
    <row r="1557" spans="1:10" ht="15.75" customHeight="1" x14ac:dyDescent="0.3">
      <c r="A1557" s="5" t="s">
        <v>2424</v>
      </c>
      <c r="B1557" s="11">
        <v>45714</v>
      </c>
      <c r="C1557" s="5" t="s">
        <v>815</v>
      </c>
      <c r="D1557" s="5" t="s">
        <v>256</v>
      </c>
      <c r="E1557" s="5" t="s">
        <v>37</v>
      </c>
      <c r="F1557" s="5">
        <v>5</v>
      </c>
      <c r="G1557" s="19">
        <v>0</v>
      </c>
      <c r="H1557" s="5" t="s">
        <v>697</v>
      </c>
      <c r="I1557" s="10">
        <f>IF(OR(D1557="", F1557=""), "", F1557 * VLOOKUP(D1557, Products!A:E, 5, FALSE) * (1 - G1557))</f>
        <v>8175.05</v>
      </c>
      <c r="J1557" s="10"/>
    </row>
    <row r="1558" spans="1:10" ht="15.75" customHeight="1" x14ac:dyDescent="0.3">
      <c r="A1558" s="5" t="s">
        <v>2425</v>
      </c>
      <c r="B1558" s="11">
        <v>45549</v>
      </c>
      <c r="C1558" s="5" t="s">
        <v>600</v>
      </c>
      <c r="D1558" s="5" t="s">
        <v>50</v>
      </c>
      <c r="E1558" s="5" t="s">
        <v>33</v>
      </c>
      <c r="F1558" s="5">
        <v>1</v>
      </c>
      <c r="G1558" s="19">
        <v>0.05</v>
      </c>
      <c r="H1558" s="5" t="s">
        <v>454</v>
      </c>
      <c r="I1558" s="10">
        <f>IF(OR(D1558="", F1558=""), "", F1558 * VLOOKUP(D1558, Products!A:E, 5, FALSE) * (1 - G1558))</f>
        <v>320.74849999999998</v>
      </c>
      <c r="J1558" s="10"/>
    </row>
    <row r="1559" spans="1:10" ht="15.75" customHeight="1" x14ac:dyDescent="0.3">
      <c r="A1559" s="5" t="s">
        <v>2426</v>
      </c>
      <c r="B1559" s="11">
        <v>45526</v>
      </c>
      <c r="C1559" s="5" t="s">
        <v>255</v>
      </c>
      <c r="D1559" s="5" t="s">
        <v>262</v>
      </c>
      <c r="E1559" s="5" t="s">
        <v>37</v>
      </c>
      <c r="F1559" s="5">
        <v>4</v>
      </c>
      <c r="G1559" s="19">
        <v>0</v>
      </c>
      <c r="H1559" s="5" t="s">
        <v>776</v>
      </c>
      <c r="I1559" s="10">
        <f>IF(OR(D1559="", F1559=""), "", F1559 * VLOOKUP(D1559, Products!A:E, 5, FALSE) * (1 - G1559))</f>
        <v>1814.48</v>
      </c>
      <c r="J1559" s="10"/>
    </row>
    <row r="1560" spans="1:10" ht="15.75" customHeight="1" x14ac:dyDescent="0.3">
      <c r="A1560" s="5" t="s">
        <v>2427</v>
      </c>
      <c r="B1560" s="11">
        <v>45595</v>
      </c>
      <c r="C1560" s="5" t="s">
        <v>522</v>
      </c>
      <c r="D1560" s="5" t="s">
        <v>65</v>
      </c>
      <c r="E1560" s="5" t="s">
        <v>37</v>
      </c>
      <c r="F1560" s="5">
        <v>3</v>
      </c>
      <c r="G1560" s="19">
        <v>0</v>
      </c>
      <c r="H1560" s="5" t="s">
        <v>697</v>
      </c>
      <c r="I1560" s="10">
        <f>IF(OR(D1560="", F1560=""), "", F1560 * VLOOKUP(D1560, Products!A:E, 5, FALSE) * (1 - G1560))</f>
        <v>4422.3599999999997</v>
      </c>
      <c r="J1560" s="10"/>
    </row>
    <row r="1561" spans="1:10" ht="15.75" customHeight="1" x14ac:dyDescent="0.3">
      <c r="A1561" s="5" t="s">
        <v>2428</v>
      </c>
      <c r="B1561" s="11">
        <v>45777</v>
      </c>
      <c r="C1561" s="5" t="s">
        <v>255</v>
      </c>
      <c r="D1561" s="5" t="s">
        <v>232</v>
      </c>
      <c r="E1561" s="5" t="s">
        <v>29</v>
      </c>
      <c r="F1561" s="5">
        <v>3</v>
      </c>
      <c r="G1561" s="19">
        <v>0.1</v>
      </c>
      <c r="H1561" s="5" t="s">
        <v>454</v>
      </c>
      <c r="I1561" s="10">
        <f>IF(OR(D1561="", F1561=""), "", F1561 * VLOOKUP(D1561, Products!A:E, 5, FALSE) * (1 - G1561))</f>
        <v>5272.1550000000007</v>
      </c>
      <c r="J1561" s="10"/>
    </row>
    <row r="1562" spans="1:10" ht="15.75" customHeight="1" x14ac:dyDescent="0.3">
      <c r="A1562" s="5" t="s">
        <v>2429</v>
      </c>
      <c r="B1562" s="11">
        <v>45246</v>
      </c>
      <c r="C1562" s="5" t="s">
        <v>450</v>
      </c>
      <c r="D1562" s="5" t="s">
        <v>109</v>
      </c>
      <c r="E1562" s="5" t="s">
        <v>33</v>
      </c>
      <c r="F1562" s="5">
        <v>1</v>
      </c>
      <c r="G1562" s="19">
        <v>0.05</v>
      </c>
      <c r="H1562" s="5" t="s">
        <v>697</v>
      </c>
      <c r="I1562" s="10">
        <f>IF(OR(D1562="", F1562=""), "", F1562 * VLOOKUP(D1562, Products!A:E, 5, FALSE) * (1 - G1562))</f>
        <v>1765.8125</v>
      </c>
      <c r="J1562" s="10"/>
    </row>
    <row r="1563" spans="1:10" ht="15.75" customHeight="1" x14ac:dyDescent="0.3">
      <c r="A1563" s="5" t="s">
        <v>2430</v>
      </c>
      <c r="B1563" s="11">
        <v>45552</v>
      </c>
      <c r="C1563" s="5" t="s">
        <v>718</v>
      </c>
      <c r="D1563" s="5" t="s">
        <v>256</v>
      </c>
      <c r="E1563" s="5" t="s">
        <v>33</v>
      </c>
      <c r="F1563" s="5">
        <v>1</v>
      </c>
      <c r="G1563" s="19">
        <v>0.1</v>
      </c>
      <c r="H1563" s="5" t="s">
        <v>454</v>
      </c>
      <c r="I1563" s="10">
        <f>IF(OR(D1563="", F1563=""), "", F1563 * VLOOKUP(D1563, Products!A:E, 5, FALSE) * (1 - G1563))</f>
        <v>1471.509</v>
      </c>
      <c r="J1563" s="10"/>
    </row>
    <row r="1564" spans="1:10" ht="15.75" customHeight="1" x14ac:dyDescent="0.3">
      <c r="A1564" s="5" t="s">
        <v>2431</v>
      </c>
      <c r="B1564" s="11">
        <v>45270</v>
      </c>
      <c r="C1564" s="5" t="s">
        <v>372</v>
      </c>
      <c r="D1564" s="5" t="s">
        <v>188</v>
      </c>
      <c r="E1564" s="5" t="s">
        <v>25</v>
      </c>
      <c r="F1564" s="5">
        <v>4</v>
      </c>
      <c r="G1564" s="19">
        <v>0</v>
      </c>
      <c r="H1564" s="5" t="s">
        <v>776</v>
      </c>
      <c r="I1564" s="10">
        <f>IF(OR(D1564="", F1564=""), "", F1564 * VLOOKUP(D1564, Products!A:E, 5, FALSE) * (1 - G1564))</f>
        <v>5940.2</v>
      </c>
      <c r="J1564" s="10"/>
    </row>
    <row r="1565" spans="1:10" ht="15.75" customHeight="1" x14ac:dyDescent="0.3">
      <c r="A1565" s="5" t="s">
        <v>2432</v>
      </c>
      <c r="B1565" s="11">
        <v>45718</v>
      </c>
      <c r="C1565" s="5" t="s">
        <v>683</v>
      </c>
      <c r="D1565" s="5" t="s">
        <v>193</v>
      </c>
      <c r="E1565" s="5" t="s">
        <v>29</v>
      </c>
      <c r="F1565" s="5">
        <v>1</v>
      </c>
      <c r="G1565" s="19">
        <v>0</v>
      </c>
      <c r="H1565" s="5" t="s">
        <v>637</v>
      </c>
      <c r="I1565" s="10">
        <f>IF(OR(D1565="", F1565=""), "", F1565 * VLOOKUP(D1565, Products!A:E, 5, FALSE) * (1 - G1565))</f>
        <v>29.24</v>
      </c>
      <c r="J1565" s="10"/>
    </row>
    <row r="1566" spans="1:10" ht="15.75" customHeight="1" x14ac:dyDescent="0.3">
      <c r="A1566" s="5" t="s">
        <v>2433</v>
      </c>
      <c r="B1566" s="11">
        <v>45578</v>
      </c>
      <c r="C1566" s="5" t="s">
        <v>624</v>
      </c>
      <c r="D1566" s="5" t="s">
        <v>140</v>
      </c>
      <c r="E1566" s="5" t="s">
        <v>37</v>
      </c>
      <c r="F1566" s="5">
        <v>3</v>
      </c>
      <c r="G1566" s="19">
        <v>0.15</v>
      </c>
      <c r="H1566" s="5" t="s">
        <v>454</v>
      </c>
      <c r="I1566" s="10">
        <f>IF(OR(D1566="", F1566=""), "", F1566 * VLOOKUP(D1566, Products!A:E, 5, FALSE) * (1 - G1566))</f>
        <v>65.203500000000005</v>
      </c>
      <c r="J1566" s="10"/>
    </row>
    <row r="1567" spans="1:10" ht="15.75" customHeight="1" x14ac:dyDescent="0.3">
      <c r="A1567" s="5" t="s">
        <v>2434</v>
      </c>
      <c r="B1567" s="11">
        <v>45714</v>
      </c>
      <c r="C1567" s="5" t="s">
        <v>528</v>
      </c>
      <c r="D1567" s="5" t="s">
        <v>188</v>
      </c>
      <c r="E1567" s="5" t="s">
        <v>33</v>
      </c>
      <c r="F1567" s="5">
        <v>5</v>
      </c>
      <c r="G1567" s="19">
        <v>0.05</v>
      </c>
      <c r="H1567" s="5" t="s">
        <v>697</v>
      </c>
      <c r="I1567" s="10">
        <f>IF(OR(D1567="", F1567=""), "", F1567 * VLOOKUP(D1567, Products!A:E, 5, FALSE) * (1 - G1567))</f>
        <v>7053.9874999999993</v>
      </c>
      <c r="J1567" s="10"/>
    </row>
    <row r="1568" spans="1:10" ht="15.75" customHeight="1" x14ac:dyDescent="0.3">
      <c r="A1568" s="5" t="s">
        <v>2435</v>
      </c>
      <c r="B1568" s="11">
        <v>45622</v>
      </c>
      <c r="C1568" s="5" t="s">
        <v>645</v>
      </c>
      <c r="D1568" s="5" t="s">
        <v>256</v>
      </c>
      <c r="E1568" s="5" t="s">
        <v>33</v>
      </c>
      <c r="F1568" s="5">
        <v>4</v>
      </c>
      <c r="G1568" s="19">
        <v>0.15</v>
      </c>
      <c r="H1568" s="5" t="s">
        <v>697</v>
      </c>
      <c r="I1568" s="10">
        <f>IF(OR(D1568="", F1568=""), "", F1568 * VLOOKUP(D1568, Products!A:E, 5, FALSE) * (1 - G1568))</f>
        <v>5559.0339999999997</v>
      </c>
      <c r="J1568" s="10"/>
    </row>
    <row r="1569" spans="1:10" ht="15.75" customHeight="1" x14ac:dyDescent="0.3">
      <c r="A1569" s="5" t="s">
        <v>2436</v>
      </c>
      <c r="B1569" s="11">
        <v>45324</v>
      </c>
      <c r="C1569" s="5" t="s">
        <v>837</v>
      </c>
      <c r="D1569" s="5" t="s">
        <v>115</v>
      </c>
      <c r="E1569" s="5" t="s">
        <v>29</v>
      </c>
      <c r="F1569" s="5">
        <v>1</v>
      </c>
      <c r="G1569" s="19">
        <v>0.15</v>
      </c>
      <c r="H1569" s="5" t="s">
        <v>637</v>
      </c>
      <c r="I1569" s="10">
        <f>IF(OR(D1569="", F1569=""), "", F1569 * VLOOKUP(D1569, Products!A:E, 5, FALSE) * (1 - G1569))</f>
        <v>1059.1934999999999</v>
      </c>
      <c r="J1569" s="10"/>
    </row>
    <row r="1570" spans="1:10" ht="15.75" customHeight="1" x14ac:dyDescent="0.3">
      <c r="A1570" s="5" t="s">
        <v>2437</v>
      </c>
      <c r="B1570" s="11">
        <v>45337</v>
      </c>
      <c r="C1570" s="5" t="s">
        <v>389</v>
      </c>
      <c r="D1570" s="5" t="s">
        <v>243</v>
      </c>
      <c r="E1570" s="5" t="s">
        <v>33</v>
      </c>
      <c r="F1570" s="5">
        <v>3</v>
      </c>
      <c r="G1570" s="19">
        <v>0</v>
      </c>
      <c r="H1570" s="5" t="s">
        <v>637</v>
      </c>
      <c r="I1570" s="10">
        <f>IF(OR(D1570="", F1570=""), "", F1570 * VLOOKUP(D1570, Products!A:E, 5, FALSE) * (1 - G1570))</f>
        <v>1622.8200000000002</v>
      </c>
      <c r="J1570" s="10"/>
    </row>
    <row r="1571" spans="1:10" ht="15.75" customHeight="1" x14ac:dyDescent="0.3">
      <c r="A1571" s="5" t="s">
        <v>2438</v>
      </c>
      <c r="B1571" s="11">
        <v>45857</v>
      </c>
      <c r="C1571" s="5" t="s">
        <v>842</v>
      </c>
      <c r="D1571" s="5" t="s">
        <v>140</v>
      </c>
      <c r="E1571" s="5" t="s">
        <v>29</v>
      </c>
      <c r="F1571" s="5">
        <v>1</v>
      </c>
      <c r="G1571" s="19">
        <v>0.05</v>
      </c>
      <c r="H1571" s="5" t="s">
        <v>776</v>
      </c>
      <c r="I1571" s="10">
        <f>IF(OR(D1571="", F1571=""), "", F1571 * VLOOKUP(D1571, Products!A:E, 5, FALSE) * (1 - G1571))</f>
        <v>24.291499999999999</v>
      </c>
      <c r="J1571" s="10"/>
    </row>
    <row r="1572" spans="1:10" ht="15.75" customHeight="1" x14ac:dyDescent="0.3">
      <c r="A1572" s="5" t="s">
        <v>2439</v>
      </c>
      <c r="B1572" s="11">
        <v>45704</v>
      </c>
      <c r="C1572" s="5" t="s">
        <v>705</v>
      </c>
      <c r="D1572" s="5" t="s">
        <v>67</v>
      </c>
      <c r="E1572" s="5" t="s">
        <v>29</v>
      </c>
      <c r="F1572" s="5">
        <v>5</v>
      </c>
      <c r="G1572" s="19">
        <v>0</v>
      </c>
      <c r="H1572" s="5" t="s">
        <v>776</v>
      </c>
      <c r="I1572" s="10">
        <f>IF(OR(D1572="", F1572=""), "", F1572 * VLOOKUP(D1572, Products!A:E, 5, FALSE) * (1 - G1572))</f>
        <v>548.9</v>
      </c>
      <c r="J1572" s="10"/>
    </row>
    <row r="1573" spans="1:10" ht="15.75" customHeight="1" x14ac:dyDescent="0.3">
      <c r="A1573" s="5" t="s">
        <v>2440</v>
      </c>
      <c r="B1573" s="11">
        <v>45608</v>
      </c>
      <c r="C1573" s="5" t="s">
        <v>350</v>
      </c>
      <c r="D1573" s="5" t="s">
        <v>95</v>
      </c>
      <c r="E1573" s="5" t="s">
        <v>37</v>
      </c>
      <c r="F1573" s="5">
        <v>5</v>
      </c>
      <c r="G1573" s="19">
        <v>0</v>
      </c>
      <c r="H1573" s="5" t="s">
        <v>697</v>
      </c>
      <c r="I1573" s="10">
        <f>IF(OR(D1573="", F1573=""), "", F1573 * VLOOKUP(D1573, Products!A:E, 5, FALSE) * (1 - G1573))</f>
        <v>6713.75</v>
      </c>
      <c r="J1573" s="10"/>
    </row>
    <row r="1574" spans="1:10" ht="15.75" customHeight="1" x14ac:dyDescent="0.3">
      <c r="A1574" s="5" t="s">
        <v>2441</v>
      </c>
      <c r="B1574" s="11">
        <v>45298</v>
      </c>
      <c r="C1574" s="5" t="s">
        <v>799</v>
      </c>
      <c r="D1574" s="5" t="s">
        <v>147</v>
      </c>
      <c r="E1574" s="5" t="s">
        <v>33</v>
      </c>
      <c r="F1574" s="5">
        <v>5</v>
      </c>
      <c r="G1574" s="19">
        <v>0</v>
      </c>
      <c r="H1574" s="5" t="s">
        <v>776</v>
      </c>
      <c r="I1574" s="10">
        <f>IF(OR(D1574="", F1574=""), "", F1574 * VLOOKUP(D1574, Products!A:E, 5, FALSE) * (1 - G1574))</f>
        <v>9392.35</v>
      </c>
      <c r="J1574" s="10"/>
    </row>
    <row r="1575" spans="1:10" ht="15.75" customHeight="1" x14ac:dyDescent="0.3">
      <c r="A1575" s="5" t="s">
        <v>2442</v>
      </c>
      <c r="B1575" s="11">
        <v>45549</v>
      </c>
      <c r="C1575" s="5" t="s">
        <v>773</v>
      </c>
      <c r="D1575" s="5" t="s">
        <v>82</v>
      </c>
      <c r="E1575" s="5" t="s">
        <v>37</v>
      </c>
      <c r="F1575" s="5">
        <v>2</v>
      </c>
      <c r="G1575" s="19">
        <v>0</v>
      </c>
      <c r="H1575" s="5" t="s">
        <v>454</v>
      </c>
      <c r="I1575" s="10">
        <f>IF(OR(D1575="", F1575=""), "", F1575 * VLOOKUP(D1575, Products!A:E, 5, FALSE) * (1 - G1575))</f>
        <v>2386.1799999999998</v>
      </c>
      <c r="J1575" s="10"/>
    </row>
    <row r="1576" spans="1:10" ht="15.75" customHeight="1" x14ac:dyDescent="0.3">
      <c r="A1576" s="5" t="s">
        <v>2443</v>
      </c>
      <c r="B1576" s="11">
        <v>45831</v>
      </c>
      <c r="C1576" s="5" t="s">
        <v>361</v>
      </c>
      <c r="D1576" s="5" t="s">
        <v>272</v>
      </c>
      <c r="E1576" s="5" t="s">
        <v>25</v>
      </c>
      <c r="F1576" s="5">
        <v>5</v>
      </c>
      <c r="G1576" s="19">
        <v>0.15</v>
      </c>
      <c r="H1576" s="5" t="s">
        <v>776</v>
      </c>
      <c r="I1576" s="10">
        <f>IF(OR(D1576="", F1576=""), "", F1576 * VLOOKUP(D1576, Products!A:E, 5, FALSE) * (1 - G1576))</f>
        <v>4952.8224999999993</v>
      </c>
      <c r="J1576" s="10"/>
    </row>
    <row r="1577" spans="1:10" ht="15.75" customHeight="1" x14ac:dyDescent="0.3">
      <c r="A1577" s="5" t="s">
        <v>2444</v>
      </c>
      <c r="B1577" s="11">
        <v>45231</v>
      </c>
      <c r="C1577" s="5" t="s">
        <v>671</v>
      </c>
      <c r="D1577" s="5" t="s">
        <v>175</v>
      </c>
      <c r="E1577" s="5" t="s">
        <v>37</v>
      </c>
      <c r="F1577" s="5">
        <v>3</v>
      </c>
      <c r="G1577" s="19">
        <v>0.15</v>
      </c>
      <c r="H1577" s="5" t="s">
        <v>776</v>
      </c>
      <c r="I1577" s="10">
        <f>IF(OR(D1577="", F1577=""), "", F1577 * VLOOKUP(D1577, Products!A:E, 5, FALSE) * (1 - G1577))</f>
        <v>3244.1864999999998</v>
      </c>
      <c r="J1577" s="10"/>
    </row>
    <row r="1578" spans="1:10" ht="15.75" customHeight="1" x14ac:dyDescent="0.3">
      <c r="A1578" s="5" t="s">
        <v>2445</v>
      </c>
      <c r="B1578" s="11">
        <v>45674</v>
      </c>
      <c r="C1578" s="5" t="s">
        <v>631</v>
      </c>
      <c r="D1578" s="5" t="s">
        <v>140</v>
      </c>
      <c r="E1578" s="5" t="s">
        <v>21</v>
      </c>
      <c r="F1578" s="5">
        <v>3</v>
      </c>
      <c r="G1578" s="19">
        <v>0.15</v>
      </c>
      <c r="H1578" s="5" t="s">
        <v>697</v>
      </c>
      <c r="I1578" s="10">
        <f>IF(OR(D1578="", F1578=""), "", F1578 * VLOOKUP(D1578, Products!A:E, 5, FALSE) * (1 - G1578))</f>
        <v>65.203500000000005</v>
      </c>
      <c r="J1578" s="10"/>
    </row>
    <row r="1579" spans="1:10" ht="15.75" customHeight="1" x14ac:dyDescent="0.3">
      <c r="A1579" s="5" t="s">
        <v>2446</v>
      </c>
      <c r="B1579" s="11">
        <v>45546</v>
      </c>
      <c r="C1579" s="5" t="s">
        <v>563</v>
      </c>
      <c r="D1579" s="5" t="s">
        <v>243</v>
      </c>
      <c r="E1579" s="5" t="s">
        <v>21</v>
      </c>
      <c r="F1579" s="5">
        <v>5</v>
      </c>
      <c r="G1579" s="19">
        <v>0.1</v>
      </c>
      <c r="H1579" s="5" t="s">
        <v>637</v>
      </c>
      <c r="I1579" s="10">
        <f>IF(OR(D1579="", F1579=""), "", F1579 * VLOOKUP(D1579, Products!A:E, 5, FALSE) * (1 - G1579))</f>
        <v>2434.2300000000005</v>
      </c>
      <c r="J1579" s="10"/>
    </row>
    <row r="1580" spans="1:10" ht="15.75" customHeight="1" x14ac:dyDescent="0.3">
      <c r="A1580" s="5" t="s">
        <v>2447</v>
      </c>
      <c r="B1580" s="11">
        <v>45481</v>
      </c>
      <c r="C1580" s="5" t="s">
        <v>412</v>
      </c>
      <c r="D1580" s="5" t="s">
        <v>140</v>
      </c>
      <c r="E1580" s="5" t="s">
        <v>21</v>
      </c>
      <c r="F1580" s="5">
        <v>1</v>
      </c>
      <c r="G1580" s="19">
        <v>0</v>
      </c>
      <c r="H1580" s="5" t="s">
        <v>697</v>
      </c>
      <c r="I1580" s="10">
        <f>IF(OR(D1580="", F1580=""), "", F1580 * VLOOKUP(D1580, Products!A:E, 5, FALSE) * (1 - G1580))</f>
        <v>25.57</v>
      </c>
      <c r="J1580" s="10"/>
    </row>
    <row r="1581" spans="1:10" ht="15.75" customHeight="1" x14ac:dyDescent="0.3">
      <c r="A1581" s="5" t="s">
        <v>2448</v>
      </c>
      <c r="B1581" s="11">
        <v>45907</v>
      </c>
      <c r="C1581" s="5" t="s">
        <v>443</v>
      </c>
      <c r="D1581" s="5" t="s">
        <v>50</v>
      </c>
      <c r="E1581" s="5" t="s">
        <v>25</v>
      </c>
      <c r="F1581" s="5">
        <v>2</v>
      </c>
      <c r="G1581" s="19">
        <v>0.1</v>
      </c>
      <c r="H1581" s="5" t="s">
        <v>776</v>
      </c>
      <c r="I1581" s="10">
        <f>IF(OR(D1581="", F1581=""), "", F1581 * VLOOKUP(D1581, Products!A:E, 5, FALSE) * (1 - G1581))</f>
        <v>607.73400000000004</v>
      </c>
      <c r="J1581" s="10"/>
    </row>
    <row r="1582" spans="1:10" ht="15.75" customHeight="1" x14ac:dyDescent="0.3">
      <c r="A1582" s="5" t="s">
        <v>2449</v>
      </c>
      <c r="B1582" s="11">
        <v>45725</v>
      </c>
      <c r="C1582" s="5" t="s">
        <v>308</v>
      </c>
      <c r="D1582" s="5" t="s">
        <v>95</v>
      </c>
      <c r="E1582" s="5" t="s">
        <v>29</v>
      </c>
      <c r="F1582" s="5">
        <v>4</v>
      </c>
      <c r="G1582" s="19">
        <v>0.05</v>
      </c>
      <c r="H1582" s="5" t="s">
        <v>776</v>
      </c>
      <c r="I1582" s="10">
        <f>IF(OR(D1582="", F1582=""), "", F1582 * VLOOKUP(D1582, Products!A:E, 5, FALSE) * (1 - G1582))</f>
        <v>5102.45</v>
      </c>
      <c r="J1582" s="10"/>
    </row>
    <row r="1583" spans="1:10" ht="15.75" customHeight="1" x14ac:dyDescent="0.3">
      <c r="A1583" s="5" t="s">
        <v>2450</v>
      </c>
      <c r="B1583" s="11">
        <v>45710</v>
      </c>
      <c r="C1583" s="5" t="s">
        <v>740</v>
      </c>
      <c r="D1583" s="5" t="s">
        <v>280</v>
      </c>
      <c r="E1583" s="5" t="s">
        <v>29</v>
      </c>
      <c r="F1583" s="5">
        <v>2</v>
      </c>
      <c r="G1583" s="19">
        <v>0</v>
      </c>
      <c r="H1583" s="5" t="s">
        <v>776</v>
      </c>
      <c r="I1583" s="10">
        <f>IF(OR(D1583="", F1583=""), "", F1583 * VLOOKUP(D1583, Products!A:E, 5, FALSE) * (1 - G1583))</f>
        <v>2432.7199999999998</v>
      </c>
      <c r="J1583" s="10"/>
    </row>
    <row r="1584" spans="1:10" ht="15.75" customHeight="1" x14ac:dyDescent="0.3">
      <c r="A1584" s="5" t="s">
        <v>2451</v>
      </c>
      <c r="B1584" s="11">
        <v>45548</v>
      </c>
      <c r="C1584" s="5" t="s">
        <v>455</v>
      </c>
      <c r="D1584" s="5" t="s">
        <v>115</v>
      </c>
      <c r="E1584" s="5" t="s">
        <v>33</v>
      </c>
      <c r="F1584" s="5">
        <v>1</v>
      </c>
      <c r="G1584" s="19">
        <v>0.1</v>
      </c>
      <c r="H1584" s="5" t="s">
        <v>697</v>
      </c>
      <c r="I1584" s="10">
        <f>IF(OR(D1584="", F1584=""), "", F1584 * VLOOKUP(D1584, Products!A:E, 5, FALSE) * (1 - G1584))</f>
        <v>1121.499</v>
      </c>
      <c r="J1584" s="10"/>
    </row>
    <row r="1585" spans="1:10" ht="15.75" customHeight="1" x14ac:dyDescent="0.3">
      <c r="A1585" s="5" t="s">
        <v>2452</v>
      </c>
      <c r="B1585" s="11">
        <v>45802</v>
      </c>
      <c r="C1585" s="5" t="s">
        <v>560</v>
      </c>
      <c r="D1585" s="5" t="s">
        <v>212</v>
      </c>
      <c r="E1585" s="5" t="s">
        <v>29</v>
      </c>
      <c r="F1585" s="5">
        <v>3</v>
      </c>
      <c r="G1585" s="19">
        <v>0.15</v>
      </c>
      <c r="H1585" s="5" t="s">
        <v>776</v>
      </c>
      <c r="I1585" s="10">
        <f>IF(OR(D1585="", F1585=""), "", F1585 * VLOOKUP(D1585, Products!A:E, 5, FALSE) * (1 - G1585))</f>
        <v>4587.3734999999997</v>
      </c>
      <c r="J1585" s="10"/>
    </row>
    <row r="1586" spans="1:10" ht="15.75" customHeight="1" x14ac:dyDescent="0.3">
      <c r="A1586" s="5" t="s">
        <v>2453</v>
      </c>
      <c r="B1586" s="11">
        <v>45789</v>
      </c>
      <c r="C1586" s="5" t="s">
        <v>159</v>
      </c>
      <c r="D1586" s="5" t="s">
        <v>180</v>
      </c>
      <c r="E1586" s="5" t="s">
        <v>25</v>
      </c>
      <c r="F1586" s="5">
        <v>2</v>
      </c>
      <c r="G1586" s="19">
        <v>0.05</v>
      </c>
      <c r="H1586" s="5" t="s">
        <v>637</v>
      </c>
      <c r="I1586" s="10">
        <f>IF(OR(D1586="", F1586=""), "", F1586 * VLOOKUP(D1586, Products!A:E, 5, FALSE) * (1 - G1586))</f>
        <v>1280.1819999999998</v>
      </c>
      <c r="J1586" s="10"/>
    </row>
    <row r="1587" spans="1:10" ht="15.75" customHeight="1" x14ac:dyDescent="0.3">
      <c r="A1587" s="5" t="s">
        <v>2454</v>
      </c>
      <c r="B1587" s="11">
        <v>45573</v>
      </c>
      <c r="C1587" s="5" t="s">
        <v>649</v>
      </c>
      <c r="D1587" s="5" t="s">
        <v>180</v>
      </c>
      <c r="E1587" s="5" t="s">
        <v>37</v>
      </c>
      <c r="F1587" s="5">
        <v>4</v>
      </c>
      <c r="G1587" s="19">
        <v>0</v>
      </c>
      <c r="H1587" s="5" t="s">
        <v>454</v>
      </c>
      <c r="I1587" s="10">
        <f>IF(OR(D1587="", F1587=""), "", F1587 * VLOOKUP(D1587, Products!A:E, 5, FALSE) * (1 - G1587))</f>
        <v>2695.12</v>
      </c>
      <c r="J1587" s="10"/>
    </row>
    <row r="1588" spans="1:10" ht="15.75" customHeight="1" x14ac:dyDescent="0.3">
      <c r="A1588" s="5" t="s">
        <v>2455</v>
      </c>
      <c r="B1588" s="11">
        <v>45585</v>
      </c>
      <c r="C1588" s="5" t="s">
        <v>171</v>
      </c>
      <c r="D1588" s="5" t="s">
        <v>256</v>
      </c>
      <c r="E1588" s="5" t="s">
        <v>29</v>
      </c>
      <c r="F1588" s="5">
        <v>4</v>
      </c>
      <c r="G1588" s="19">
        <v>0.15</v>
      </c>
      <c r="H1588" s="5" t="s">
        <v>776</v>
      </c>
      <c r="I1588" s="10">
        <f>IF(OR(D1588="", F1588=""), "", F1588 * VLOOKUP(D1588, Products!A:E, 5, FALSE) * (1 - G1588))</f>
        <v>5559.0339999999997</v>
      </c>
      <c r="J1588" s="10"/>
    </row>
    <row r="1589" spans="1:10" ht="15.75" customHeight="1" x14ac:dyDescent="0.3">
      <c r="A1589" s="5" t="s">
        <v>2456</v>
      </c>
      <c r="B1589" s="11">
        <v>45288</v>
      </c>
      <c r="C1589" s="5" t="s">
        <v>624</v>
      </c>
      <c r="D1589" s="5" t="s">
        <v>256</v>
      </c>
      <c r="E1589" s="5" t="s">
        <v>21</v>
      </c>
      <c r="F1589" s="5">
        <v>4</v>
      </c>
      <c r="G1589" s="19">
        <v>0.05</v>
      </c>
      <c r="H1589" s="5" t="s">
        <v>776</v>
      </c>
      <c r="I1589" s="10">
        <f>IF(OR(D1589="", F1589=""), "", F1589 * VLOOKUP(D1589, Products!A:E, 5, FALSE) * (1 - G1589))</f>
        <v>6213.0379999999996</v>
      </c>
      <c r="J1589" s="10"/>
    </row>
    <row r="1590" spans="1:10" ht="15.75" customHeight="1" x14ac:dyDescent="0.3">
      <c r="A1590" s="5" t="s">
        <v>2457</v>
      </c>
      <c r="B1590" s="11">
        <v>45615</v>
      </c>
      <c r="C1590" s="5" t="s">
        <v>425</v>
      </c>
      <c r="D1590" s="5" t="s">
        <v>128</v>
      </c>
      <c r="E1590" s="5" t="s">
        <v>37</v>
      </c>
      <c r="F1590" s="5">
        <v>5</v>
      </c>
      <c r="G1590" s="19">
        <v>0</v>
      </c>
      <c r="H1590" s="5" t="s">
        <v>697</v>
      </c>
      <c r="I1590" s="10">
        <f>IF(OR(D1590="", F1590=""), "", F1590 * VLOOKUP(D1590, Products!A:E, 5, FALSE) * (1 - G1590))</f>
        <v>1619.6000000000001</v>
      </c>
      <c r="J1590" s="10"/>
    </row>
    <row r="1591" spans="1:10" ht="15.75" customHeight="1" x14ac:dyDescent="0.3">
      <c r="A1591" s="5" t="s">
        <v>2458</v>
      </c>
      <c r="B1591" s="11">
        <v>45542</v>
      </c>
      <c r="C1591" s="5" t="s">
        <v>865</v>
      </c>
      <c r="D1591" s="5" t="s">
        <v>54</v>
      </c>
      <c r="E1591" s="5" t="s">
        <v>37</v>
      </c>
      <c r="F1591" s="5">
        <v>2</v>
      </c>
      <c r="G1591" s="19">
        <v>0.1</v>
      </c>
      <c r="H1591" s="5" t="s">
        <v>637</v>
      </c>
      <c r="I1591" s="10">
        <f>IF(OR(D1591="", F1591=""), "", F1591 * VLOOKUP(D1591, Products!A:E, 5, FALSE) * (1 - G1591))</f>
        <v>3336.7860000000001</v>
      </c>
      <c r="J1591" s="10"/>
    </row>
    <row r="1592" spans="1:10" ht="15.75" customHeight="1" x14ac:dyDescent="0.3">
      <c r="A1592" s="5" t="s">
        <v>2459</v>
      </c>
      <c r="B1592" s="11">
        <v>45226</v>
      </c>
      <c r="C1592" s="5" t="s">
        <v>593</v>
      </c>
      <c r="D1592" s="5" t="s">
        <v>47</v>
      </c>
      <c r="E1592" s="5" t="s">
        <v>21</v>
      </c>
      <c r="F1592" s="5">
        <v>5</v>
      </c>
      <c r="G1592" s="19">
        <v>0.05</v>
      </c>
      <c r="H1592" s="5" t="s">
        <v>697</v>
      </c>
      <c r="I1592" s="10">
        <f>IF(OR(D1592="", F1592=""), "", F1592 * VLOOKUP(D1592, Products!A:E, 5, FALSE) * (1 - G1592))</f>
        <v>3889.11</v>
      </c>
      <c r="J1592" s="10"/>
    </row>
    <row r="1593" spans="1:10" ht="15.75" customHeight="1" x14ac:dyDescent="0.3">
      <c r="A1593" s="5" t="s">
        <v>2460</v>
      </c>
      <c r="B1593" s="11">
        <v>45540</v>
      </c>
      <c r="C1593" s="5" t="s">
        <v>526</v>
      </c>
      <c r="D1593" s="5" t="s">
        <v>285</v>
      </c>
      <c r="E1593" s="5" t="s">
        <v>37</v>
      </c>
      <c r="F1593" s="5">
        <v>2</v>
      </c>
      <c r="G1593" s="19">
        <v>0.05</v>
      </c>
      <c r="H1593" s="5" t="s">
        <v>637</v>
      </c>
      <c r="I1593" s="10">
        <f>IF(OR(D1593="", F1593=""), "", F1593 * VLOOKUP(D1593, Products!A:E, 5, FALSE) * (1 - G1593))</f>
        <v>737.69399999999996</v>
      </c>
      <c r="J1593" s="10"/>
    </row>
    <row r="1594" spans="1:10" ht="15.75" customHeight="1" x14ac:dyDescent="0.3">
      <c r="A1594" s="5" t="s">
        <v>2461</v>
      </c>
      <c r="B1594" s="11">
        <v>45363</v>
      </c>
      <c r="C1594" s="5" t="s">
        <v>691</v>
      </c>
      <c r="D1594" s="5" t="s">
        <v>193</v>
      </c>
      <c r="E1594" s="5" t="s">
        <v>33</v>
      </c>
      <c r="F1594" s="5">
        <v>1</v>
      </c>
      <c r="G1594" s="19">
        <v>0</v>
      </c>
      <c r="H1594" s="5" t="s">
        <v>637</v>
      </c>
      <c r="I1594" s="10">
        <f>IF(OR(D1594="", F1594=""), "", F1594 * VLOOKUP(D1594, Products!A:E, 5, FALSE) * (1 - G1594))</f>
        <v>29.24</v>
      </c>
      <c r="J1594" s="10"/>
    </row>
    <row r="1595" spans="1:10" ht="15.75" customHeight="1" x14ac:dyDescent="0.3">
      <c r="A1595" s="5" t="s">
        <v>2462</v>
      </c>
      <c r="B1595" s="11">
        <v>45483</v>
      </c>
      <c r="C1595" s="5" t="s">
        <v>744</v>
      </c>
      <c r="D1595" s="5" t="s">
        <v>276</v>
      </c>
      <c r="E1595" s="5" t="s">
        <v>29</v>
      </c>
      <c r="F1595" s="5">
        <v>2</v>
      </c>
      <c r="G1595" s="19">
        <v>0</v>
      </c>
      <c r="H1595" s="5" t="s">
        <v>776</v>
      </c>
      <c r="I1595" s="10">
        <f>IF(OR(D1595="", F1595=""), "", F1595 * VLOOKUP(D1595, Products!A:E, 5, FALSE) * (1 - G1595))</f>
        <v>2394.36</v>
      </c>
      <c r="J1595" s="10"/>
    </row>
    <row r="1596" spans="1:10" ht="15.75" customHeight="1" x14ac:dyDescent="0.3">
      <c r="A1596" s="5" t="s">
        <v>2463</v>
      </c>
      <c r="B1596" s="11">
        <v>45266</v>
      </c>
      <c r="C1596" s="5" t="s">
        <v>624</v>
      </c>
      <c r="D1596" s="5" t="s">
        <v>77</v>
      </c>
      <c r="E1596" s="5" t="s">
        <v>29</v>
      </c>
      <c r="F1596" s="5">
        <v>5</v>
      </c>
      <c r="G1596" s="19">
        <v>0.1</v>
      </c>
      <c r="H1596" s="5" t="s">
        <v>637</v>
      </c>
      <c r="I1596" s="10">
        <f>IF(OR(D1596="", F1596=""), "", F1596 * VLOOKUP(D1596, Products!A:E, 5, FALSE) * (1 - G1596))</f>
        <v>1118.5650000000001</v>
      </c>
      <c r="J1596" s="10"/>
    </row>
    <row r="1597" spans="1:10" ht="15.75" customHeight="1" x14ac:dyDescent="0.3">
      <c r="A1597" s="5" t="s">
        <v>2464</v>
      </c>
      <c r="B1597" s="11">
        <v>45819</v>
      </c>
      <c r="C1597" s="5" t="s">
        <v>503</v>
      </c>
      <c r="D1597" s="5" t="s">
        <v>103</v>
      </c>
      <c r="E1597" s="5" t="s">
        <v>25</v>
      </c>
      <c r="F1597" s="5">
        <v>5</v>
      </c>
      <c r="G1597" s="19">
        <v>0.1</v>
      </c>
      <c r="H1597" s="5" t="s">
        <v>776</v>
      </c>
      <c r="I1597" s="10">
        <f>IF(OR(D1597="", F1597=""), "", F1597 * VLOOKUP(D1597, Products!A:E, 5, FALSE) * (1 - G1597))</f>
        <v>1217.0250000000001</v>
      </c>
      <c r="J1597" s="10"/>
    </row>
    <row r="1598" spans="1:10" ht="15.75" customHeight="1" x14ac:dyDescent="0.3">
      <c r="A1598" s="5" t="s">
        <v>2465</v>
      </c>
      <c r="B1598" s="11">
        <v>45547</v>
      </c>
      <c r="C1598" s="5" t="s">
        <v>317</v>
      </c>
      <c r="D1598" s="5" t="s">
        <v>269</v>
      </c>
      <c r="E1598" s="5" t="s">
        <v>37</v>
      </c>
      <c r="F1598" s="5">
        <v>5</v>
      </c>
      <c r="G1598" s="19">
        <v>0</v>
      </c>
      <c r="H1598" s="5" t="s">
        <v>454</v>
      </c>
      <c r="I1598" s="10">
        <f>IF(OR(D1598="", F1598=""), "", F1598 * VLOOKUP(D1598, Products!A:E, 5, FALSE) * (1 - G1598))</f>
        <v>9395.4</v>
      </c>
      <c r="J1598" s="10"/>
    </row>
    <row r="1599" spans="1:10" ht="15.75" customHeight="1" x14ac:dyDescent="0.3">
      <c r="A1599" s="5" t="s">
        <v>2466</v>
      </c>
      <c r="B1599" s="11">
        <v>45200</v>
      </c>
      <c r="C1599" s="5" t="s">
        <v>209</v>
      </c>
      <c r="D1599" s="5" t="s">
        <v>122</v>
      </c>
      <c r="E1599" s="5" t="s">
        <v>33</v>
      </c>
      <c r="F1599" s="5">
        <v>1</v>
      </c>
      <c r="G1599" s="19">
        <v>0.05</v>
      </c>
      <c r="H1599" s="5" t="s">
        <v>454</v>
      </c>
      <c r="I1599" s="10">
        <f>IF(OR(D1599="", F1599=""), "", F1599 * VLOOKUP(D1599, Products!A:E, 5, FALSE) * (1 - G1599))</f>
        <v>1674.7739999999999</v>
      </c>
      <c r="J1599" s="10"/>
    </row>
    <row r="1600" spans="1:10" ht="15.75" customHeight="1" x14ac:dyDescent="0.3">
      <c r="A1600" s="5" t="s">
        <v>2467</v>
      </c>
      <c r="B1600" s="11">
        <v>45497</v>
      </c>
      <c r="C1600" s="5" t="s">
        <v>579</v>
      </c>
      <c r="D1600" s="5" t="s">
        <v>265</v>
      </c>
      <c r="E1600" s="5" t="s">
        <v>25</v>
      </c>
      <c r="F1600" s="5">
        <v>5</v>
      </c>
      <c r="G1600" s="19">
        <v>0.1</v>
      </c>
      <c r="H1600" s="5" t="s">
        <v>454</v>
      </c>
      <c r="I1600" s="10">
        <f>IF(OR(D1600="", F1600=""), "", F1600 * VLOOKUP(D1600, Products!A:E, 5, FALSE) * (1 - G1600))</f>
        <v>2539.89</v>
      </c>
      <c r="J1600" s="10"/>
    </row>
    <row r="1601" spans="1:10" ht="15.75" customHeight="1" x14ac:dyDescent="0.3">
      <c r="A1601" s="5" t="s">
        <v>2468</v>
      </c>
      <c r="B1601" s="11">
        <v>45595</v>
      </c>
      <c r="C1601" s="5" t="s">
        <v>755</v>
      </c>
      <c r="D1601" s="5" t="s">
        <v>50</v>
      </c>
      <c r="E1601" s="5" t="s">
        <v>29</v>
      </c>
      <c r="F1601" s="5">
        <v>4</v>
      </c>
      <c r="G1601" s="19">
        <v>0.1</v>
      </c>
      <c r="H1601" s="5" t="s">
        <v>697</v>
      </c>
      <c r="I1601" s="10">
        <f>IF(OR(D1601="", F1601=""), "", F1601 * VLOOKUP(D1601, Products!A:E, 5, FALSE) * (1 - G1601))</f>
        <v>1215.4680000000001</v>
      </c>
      <c r="J1601" s="10"/>
    </row>
    <row r="1602" spans="1:10" ht="15.75" customHeight="1" x14ac:dyDescent="0.3">
      <c r="A1602" s="5" t="s">
        <v>2469</v>
      </c>
      <c r="B1602" s="11">
        <v>45894</v>
      </c>
      <c r="C1602" s="5" t="s">
        <v>779</v>
      </c>
      <c r="D1602" s="5" t="s">
        <v>212</v>
      </c>
      <c r="E1602" s="5" t="s">
        <v>29</v>
      </c>
      <c r="F1602" s="5">
        <v>3</v>
      </c>
      <c r="G1602" s="19">
        <v>0.05</v>
      </c>
      <c r="H1602" s="5" t="s">
        <v>637</v>
      </c>
      <c r="I1602" s="10">
        <f>IF(OR(D1602="", F1602=""), "", F1602 * VLOOKUP(D1602, Products!A:E, 5, FALSE) * (1 - G1602))</f>
        <v>5127.0644999999995</v>
      </c>
      <c r="J1602" s="10"/>
    </row>
    <row r="1603" spans="1:10" ht="15.75" customHeight="1" x14ac:dyDescent="0.3">
      <c r="A1603" s="5" t="s">
        <v>2470</v>
      </c>
      <c r="B1603" s="11">
        <v>45325</v>
      </c>
      <c r="C1603" s="5" t="s">
        <v>727</v>
      </c>
      <c r="D1603" s="5" t="s">
        <v>232</v>
      </c>
      <c r="E1603" s="5" t="s">
        <v>29</v>
      </c>
      <c r="F1603" s="5">
        <v>1</v>
      </c>
      <c r="G1603" s="19">
        <v>0.05</v>
      </c>
      <c r="H1603" s="5" t="s">
        <v>776</v>
      </c>
      <c r="I1603" s="10">
        <f>IF(OR(D1603="", F1603=""), "", F1603 * VLOOKUP(D1603, Products!A:E, 5, FALSE) * (1 - G1603))</f>
        <v>1855.0174999999999</v>
      </c>
      <c r="J1603" s="10"/>
    </row>
    <row r="1604" spans="1:10" ht="15.75" customHeight="1" x14ac:dyDescent="0.3">
      <c r="A1604" s="5" t="s">
        <v>2471</v>
      </c>
      <c r="B1604" s="11">
        <v>45377</v>
      </c>
      <c r="C1604" s="5" t="s">
        <v>733</v>
      </c>
      <c r="D1604" s="5" t="s">
        <v>95</v>
      </c>
      <c r="E1604" s="5" t="s">
        <v>33</v>
      </c>
      <c r="F1604" s="5">
        <v>1</v>
      </c>
      <c r="G1604" s="19">
        <v>0</v>
      </c>
      <c r="H1604" s="5" t="s">
        <v>697</v>
      </c>
      <c r="I1604" s="10">
        <f>IF(OR(D1604="", F1604=""), "", F1604 * VLOOKUP(D1604, Products!A:E, 5, FALSE) * (1 - G1604))</f>
        <v>1342.75</v>
      </c>
      <c r="J1604" s="10"/>
    </row>
    <row r="1605" spans="1:10" ht="15.75" customHeight="1" x14ac:dyDescent="0.3">
      <c r="A1605" s="5" t="s">
        <v>2472</v>
      </c>
      <c r="B1605" s="11">
        <v>45812</v>
      </c>
      <c r="C1605" s="5" t="s">
        <v>560</v>
      </c>
      <c r="D1605" s="5" t="s">
        <v>77</v>
      </c>
      <c r="E1605" s="5" t="s">
        <v>37</v>
      </c>
      <c r="F1605" s="5">
        <v>4</v>
      </c>
      <c r="G1605" s="19">
        <v>0.15</v>
      </c>
      <c r="H1605" s="5" t="s">
        <v>776</v>
      </c>
      <c r="I1605" s="10">
        <f>IF(OR(D1605="", F1605=""), "", F1605 * VLOOKUP(D1605, Products!A:E, 5, FALSE) * (1 - G1605))</f>
        <v>845.13799999999992</v>
      </c>
      <c r="J1605" s="10"/>
    </row>
    <row r="1606" spans="1:10" ht="15.75" customHeight="1" x14ac:dyDescent="0.3">
      <c r="A1606" s="5" t="s">
        <v>2473</v>
      </c>
      <c r="B1606" s="11">
        <v>45790</v>
      </c>
      <c r="C1606" s="5" t="s">
        <v>770</v>
      </c>
      <c r="D1606" s="5" t="s">
        <v>193</v>
      </c>
      <c r="E1606" s="5" t="s">
        <v>21</v>
      </c>
      <c r="F1606" s="5">
        <v>5</v>
      </c>
      <c r="G1606" s="19">
        <v>0</v>
      </c>
      <c r="H1606" s="5" t="s">
        <v>637</v>
      </c>
      <c r="I1606" s="10">
        <f>IF(OR(D1606="", F1606=""), "", F1606 * VLOOKUP(D1606, Products!A:E, 5, FALSE) * (1 - G1606))</f>
        <v>146.19999999999999</v>
      </c>
      <c r="J1606" s="10"/>
    </row>
    <row r="1607" spans="1:10" ht="15.75" customHeight="1" x14ac:dyDescent="0.3">
      <c r="A1607" s="5" t="s">
        <v>2474</v>
      </c>
      <c r="B1607" s="11">
        <v>45604</v>
      </c>
      <c r="C1607" s="5" t="s">
        <v>789</v>
      </c>
      <c r="D1607" s="5" t="s">
        <v>147</v>
      </c>
      <c r="E1607" s="5" t="s">
        <v>21</v>
      </c>
      <c r="F1607" s="5">
        <v>3</v>
      </c>
      <c r="G1607" s="19">
        <v>0.15</v>
      </c>
      <c r="H1607" s="5" t="s">
        <v>454</v>
      </c>
      <c r="I1607" s="10">
        <f>IF(OR(D1607="", F1607=""), "", F1607 * VLOOKUP(D1607, Products!A:E, 5, FALSE) * (1 - G1607))</f>
        <v>4790.0985000000001</v>
      </c>
      <c r="J1607" s="10"/>
    </row>
    <row r="1608" spans="1:10" ht="15.75" customHeight="1" x14ac:dyDescent="0.3">
      <c r="A1608" s="5" t="s">
        <v>2475</v>
      </c>
      <c r="B1608" s="11">
        <v>45537</v>
      </c>
      <c r="C1608" s="5" t="s">
        <v>539</v>
      </c>
      <c r="D1608" s="5" t="s">
        <v>61</v>
      </c>
      <c r="E1608" s="5" t="s">
        <v>25</v>
      </c>
      <c r="F1608" s="5">
        <v>1</v>
      </c>
      <c r="G1608" s="19">
        <v>0</v>
      </c>
      <c r="H1608" s="5" t="s">
        <v>637</v>
      </c>
      <c r="I1608" s="10">
        <f>IF(OR(D1608="", F1608=""), "", F1608 * VLOOKUP(D1608, Products!A:E, 5, FALSE) * (1 - G1608))</f>
        <v>318.05</v>
      </c>
      <c r="J1608" s="10"/>
    </row>
    <row r="1609" spans="1:10" ht="15.75" customHeight="1" x14ac:dyDescent="0.3">
      <c r="A1609" s="5" t="s">
        <v>2476</v>
      </c>
      <c r="B1609" s="11">
        <v>45749</v>
      </c>
      <c r="C1609" s="5" t="s">
        <v>522</v>
      </c>
      <c r="D1609" s="5" t="s">
        <v>221</v>
      </c>
      <c r="E1609" s="5" t="s">
        <v>25</v>
      </c>
      <c r="F1609" s="5">
        <v>4</v>
      </c>
      <c r="G1609" s="19">
        <v>0</v>
      </c>
      <c r="H1609" s="5" t="s">
        <v>697</v>
      </c>
      <c r="I1609" s="10">
        <f>IF(OR(D1609="", F1609=""), "", F1609 * VLOOKUP(D1609, Products!A:E, 5, FALSE) * (1 - G1609))</f>
        <v>6249.72</v>
      </c>
      <c r="J1609" s="10"/>
    </row>
    <row r="1610" spans="1:10" ht="15.75" customHeight="1" x14ac:dyDescent="0.3">
      <c r="A1610" s="5" t="s">
        <v>2477</v>
      </c>
      <c r="B1610" s="11">
        <v>45206</v>
      </c>
      <c r="C1610" s="5" t="s">
        <v>850</v>
      </c>
      <c r="D1610" s="5" t="s">
        <v>285</v>
      </c>
      <c r="E1610" s="5" t="s">
        <v>21</v>
      </c>
      <c r="F1610" s="5">
        <v>3</v>
      </c>
      <c r="G1610" s="19">
        <v>0.1</v>
      </c>
      <c r="H1610" s="5" t="s">
        <v>697</v>
      </c>
      <c r="I1610" s="10">
        <f>IF(OR(D1610="", F1610=""), "", F1610 * VLOOKUP(D1610, Products!A:E, 5, FALSE) * (1 - G1610))</f>
        <v>1048.3019999999999</v>
      </c>
      <c r="J1610" s="10"/>
    </row>
    <row r="1611" spans="1:10" ht="15.75" customHeight="1" x14ac:dyDescent="0.3">
      <c r="A1611" s="5" t="s">
        <v>2478</v>
      </c>
      <c r="B1611" s="11">
        <v>45671</v>
      </c>
      <c r="C1611" s="5" t="s">
        <v>215</v>
      </c>
      <c r="D1611" s="5" t="s">
        <v>175</v>
      </c>
      <c r="E1611" s="5" t="s">
        <v>37</v>
      </c>
      <c r="F1611" s="5">
        <v>3</v>
      </c>
      <c r="G1611" s="19">
        <v>0.05</v>
      </c>
      <c r="H1611" s="5" t="s">
        <v>697</v>
      </c>
      <c r="I1611" s="10">
        <f>IF(OR(D1611="", F1611=""), "", F1611 * VLOOKUP(D1611, Products!A:E, 5, FALSE) * (1 - G1611))</f>
        <v>3625.8554999999997</v>
      </c>
      <c r="J1611" s="10"/>
    </row>
    <row r="1612" spans="1:10" ht="15.75" customHeight="1" x14ac:dyDescent="0.3">
      <c r="A1612" s="5" t="s">
        <v>2479</v>
      </c>
      <c r="B1612" s="11">
        <v>45630</v>
      </c>
      <c r="C1612" s="5" t="s">
        <v>634</v>
      </c>
      <c r="D1612" s="5" t="s">
        <v>168</v>
      </c>
      <c r="E1612" s="5" t="s">
        <v>29</v>
      </c>
      <c r="F1612" s="5">
        <v>1</v>
      </c>
      <c r="G1612" s="19">
        <v>0.1</v>
      </c>
      <c r="H1612" s="5" t="s">
        <v>637</v>
      </c>
      <c r="I1612" s="10">
        <f>IF(OR(D1612="", F1612=""), "", F1612 * VLOOKUP(D1612, Products!A:E, 5, FALSE) * (1 - G1612))</f>
        <v>914.18399999999997</v>
      </c>
      <c r="J1612" s="10"/>
    </row>
    <row r="1613" spans="1:10" ht="15.75" customHeight="1" x14ac:dyDescent="0.3">
      <c r="A1613" s="5" t="s">
        <v>2480</v>
      </c>
      <c r="B1613" s="11">
        <v>45711</v>
      </c>
      <c r="C1613" s="5" t="s">
        <v>815</v>
      </c>
      <c r="D1613" s="5" t="s">
        <v>243</v>
      </c>
      <c r="E1613" s="5" t="s">
        <v>37</v>
      </c>
      <c r="F1613" s="5">
        <v>2</v>
      </c>
      <c r="G1613" s="19">
        <v>0</v>
      </c>
      <c r="H1613" s="5" t="s">
        <v>697</v>
      </c>
      <c r="I1613" s="10">
        <f>IF(OR(D1613="", F1613=""), "", F1613 * VLOOKUP(D1613, Products!A:E, 5, FALSE) * (1 - G1613))</f>
        <v>1081.8800000000001</v>
      </c>
      <c r="J1613" s="10"/>
    </row>
    <row r="1614" spans="1:10" ht="15.75" customHeight="1" x14ac:dyDescent="0.3">
      <c r="A1614" s="5" t="s">
        <v>2481</v>
      </c>
      <c r="B1614" s="11">
        <v>45301</v>
      </c>
      <c r="C1614" s="5" t="s">
        <v>758</v>
      </c>
      <c r="D1614" s="5" t="s">
        <v>61</v>
      </c>
      <c r="E1614" s="5" t="s">
        <v>33</v>
      </c>
      <c r="F1614" s="5">
        <v>1</v>
      </c>
      <c r="G1614" s="19">
        <v>0.1</v>
      </c>
      <c r="H1614" s="5" t="s">
        <v>637</v>
      </c>
      <c r="I1614" s="10">
        <f>IF(OR(D1614="", F1614=""), "", F1614 * VLOOKUP(D1614, Products!A:E, 5, FALSE) * (1 - G1614))</f>
        <v>286.245</v>
      </c>
      <c r="J1614" s="10"/>
    </row>
    <row r="1615" spans="1:10" ht="15.75" customHeight="1" x14ac:dyDescent="0.3">
      <c r="A1615" s="5" t="s">
        <v>2482</v>
      </c>
      <c r="B1615" s="11">
        <v>45189</v>
      </c>
      <c r="C1615" s="5" t="s">
        <v>326</v>
      </c>
      <c r="D1615" s="5" t="s">
        <v>212</v>
      </c>
      <c r="E1615" s="5" t="s">
        <v>37</v>
      </c>
      <c r="F1615" s="5">
        <v>2</v>
      </c>
      <c r="G1615" s="19">
        <v>0.05</v>
      </c>
      <c r="H1615" s="5" t="s">
        <v>776</v>
      </c>
      <c r="I1615" s="10">
        <f>IF(OR(D1615="", F1615=""), "", F1615 * VLOOKUP(D1615, Products!A:E, 5, FALSE) * (1 - G1615))</f>
        <v>3418.0429999999997</v>
      </c>
      <c r="J1615" s="10"/>
    </row>
    <row r="1616" spans="1:10" ht="15.75" customHeight="1" x14ac:dyDescent="0.3">
      <c r="A1616" s="5" t="s">
        <v>2483</v>
      </c>
      <c r="B1616" s="11">
        <v>45250</v>
      </c>
      <c r="C1616" s="5" t="s">
        <v>718</v>
      </c>
      <c r="D1616" s="5" t="s">
        <v>206</v>
      </c>
      <c r="E1616" s="5" t="s">
        <v>25</v>
      </c>
      <c r="F1616" s="5">
        <v>1</v>
      </c>
      <c r="G1616" s="19">
        <v>0.05</v>
      </c>
      <c r="H1616" s="5" t="s">
        <v>454</v>
      </c>
      <c r="I1616" s="10">
        <f>IF(OR(D1616="", F1616=""), "", F1616 * VLOOKUP(D1616, Products!A:E, 5, FALSE) * (1 - G1616))</f>
        <v>289.47449999999998</v>
      </c>
      <c r="J1616" s="10"/>
    </row>
    <row r="1617" spans="1:10" ht="15.75" customHeight="1" x14ac:dyDescent="0.3">
      <c r="A1617" s="5" t="s">
        <v>2484</v>
      </c>
      <c r="B1617" s="11">
        <v>45807</v>
      </c>
      <c r="C1617" s="5" t="s">
        <v>703</v>
      </c>
      <c r="D1617" s="5" t="s">
        <v>47</v>
      </c>
      <c r="E1617" s="5" t="s">
        <v>25</v>
      </c>
      <c r="F1617" s="5">
        <v>5</v>
      </c>
      <c r="G1617" s="19">
        <v>0.1</v>
      </c>
      <c r="H1617" s="5" t="s">
        <v>697</v>
      </c>
      <c r="I1617" s="10">
        <f>IF(OR(D1617="", F1617=""), "", F1617 * VLOOKUP(D1617, Products!A:E, 5, FALSE) * (1 - G1617))</f>
        <v>3684.42</v>
      </c>
      <c r="J1617" s="10"/>
    </row>
    <row r="1618" spans="1:10" ht="15.75" customHeight="1" x14ac:dyDescent="0.3">
      <c r="A1618" s="5" t="s">
        <v>2485</v>
      </c>
      <c r="B1618" s="11">
        <v>45892</v>
      </c>
      <c r="C1618" s="5" t="s">
        <v>662</v>
      </c>
      <c r="D1618" s="5" t="s">
        <v>50</v>
      </c>
      <c r="E1618" s="5" t="s">
        <v>21</v>
      </c>
      <c r="F1618" s="5">
        <v>5</v>
      </c>
      <c r="G1618" s="19">
        <v>0.1</v>
      </c>
      <c r="H1618" s="5" t="s">
        <v>637</v>
      </c>
      <c r="I1618" s="10">
        <f>IF(OR(D1618="", F1618=""), "", F1618 * VLOOKUP(D1618, Products!A:E, 5, FALSE) * (1 - G1618))</f>
        <v>1519.335</v>
      </c>
      <c r="J1618" s="10"/>
    </row>
    <row r="1619" spans="1:10" ht="15.75" customHeight="1" x14ac:dyDescent="0.3">
      <c r="A1619" s="5" t="s">
        <v>2486</v>
      </c>
      <c r="B1619" s="11">
        <v>45718</v>
      </c>
      <c r="C1619" s="5" t="s">
        <v>16</v>
      </c>
      <c r="D1619" s="5" t="s">
        <v>50</v>
      </c>
      <c r="E1619" s="5" t="s">
        <v>33</v>
      </c>
      <c r="F1619" s="5">
        <v>1</v>
      </c>
      <c r="G1619" s="19">
        <v>0.1</v>
      </c>
      <c r="H1619" s="5" t="s">
        <v>637</v>
      </c>
      <c r="I1619" s="10">
        <f>IF(OR(D1619="", F1619=""), "", F1619 * VLOOKUP(D1619, Products!A:E, 5, FALSE) * (1 - G1619))</f>
        <v>303.86700000000002</v>
      </c>
      <c r="J1619" s="10"/>
    </row>
    <row r="1620" spans="1:10" ht="15.75" customHeight="1" x14ac:dyDescent="0.3">
      <c r="A1620" s="5" t="s">
        <v>2487</v>
      </c>
      <c r="B1620" s="11">
        <v>45312</v>
      </c>
      <c r="C1620" s="5" t="s">
        <v>557</v>
      </c>
      <c r="D1620" s="5" t="s">
        <v>212</v>
      </c>
      <c r="E1620" s="5" t="s">
        <v>29</v>
      </c>
      <c r="F1620" s="5">
        <v>1</v>
      </c>
      <c r="G1620" s="19">
        <v>0.15</v>
      </c>
      <c r="H1620" s="5" t="s">
        <v>637</v>
      </c>
      <c r="I1620" s="10">
        <f>IF(OR(D1620="", F1620=""), "", F1620 * VLOOKUP(D1620, Products!A:E, 5, FALSE) * (1 - G1620))</f>
        <v>1529.1244999999999</v>
      </c>
      <c r="J1620" s="10"/>
    </row>
    <row r="1621" spans="1:10" ht="15.75" customHeight="1" x14ac:dyDescent="0.3">
      <c r="A1621" s="5" t="s">
        <v>2488</v>
      </c>
      <c r="B1621" s="11">
        <v>45746</v>
      </c>
      <c r="C1621" s="5" t="s">
        <v>515</v>
      </c>
      <c r="D1621" s="5" t="s">
        <v>168</v>
      </c>
      <c r="E1621" s="5" t="s">
        <v>37</v>
      </c>
      <c r="F1621" s="5">
        <v>1</v>
      </c>
      <c r="G1621" s="19">
        <v>0.05</v>
      </c>
      <c r="H1621" s="5" t="s">
        <v>776</v>
      </c>
      <c r="I1621" s="10">
        <f>IF(OR(D1621="", F1621=""), "", F1621 * VLOOKUP(D1621, Products!A:E, 5, FALSE) * (1 - G1621))</f>
        <v>964.97199999999998</v>
      </c>
      <c r="J1621" s="10"/>
    </row>
    <row r="1622" spans="1:10" ht="15.75" customHeight="1" x14ac:dyDescent="0.3">
      <c r="A1622" s="5" t="s">
        <v>2489</v>
      </c>
      <c r="B1622" s="11">
        <v>45880</v>
      </c>
      <c r="C1622" s="5" t="s">
        <v>437</v>
      </c>
      <c r="D1622" s="5" t="s">
        <v>162</v>
      </c>
      <c r="E1622" s="5" t="s">
        <v>33</v>
      </c>
      <c r="F1622" s="5">
        <v>5</v>
      </c>
      <c r="G1622" s="19">
        <v>0.15</v>
      </c>
      <c r="H1622" s="5" t="s">
        <v>454</v>
      </c>
      <c r="I1622" s="10">
        <f>IF(OR(D1622="", F1622=""), "", F1622 * VLOOKUP(D1622, Products!A:E, 5, FALSE) * (1 - G1622))</f>
        <v>1823.8875</v>
      </c>
      <c r="J1622" s="10"/>
    </row>
    <row r="1623" spans="1:10" ht="15.75" customHeight="1" x14ac:dyDescent="0.3">
      <c r="A1623" s="5" t="s">
        <v>2490</v>
      </c>
      <c r="B1623" s="11">
        <v>45719</v>
      </c>
      <c r="C1623" s="5" t="s">
        <v>69</v>
      </c>
      <c r="D1623" s="5" t="s">
        <v>221</v>
      </c>
      <c r="E1623" s="5" t="s">
        <v>33</v>
      </c>
      <c r="F1623" s="5">
        <v>2</v>
      </c>
      <c r="G1623" s="19">
        <v>0.1</v>
      </c>
      <c r="H1623" s="5" t="s">
        <v>776</v>
      </c>
      <c r="I1623" s="10">
        <f>IF(OR(D1623="", F1623=""), "", F1623 * VLOOKUP(D1623, Products!A:E, 5, FALSE) * (1 - G1623))</f>
        <v>2812.3740000000003</v>
      </c>
      <c r="J1623" s="10"/>
    </row>
    <row r="1624" spans="1:10" ht="15.75" customHeight="1" x14ac:dyDescent="0.3">
      <c r="A1624" s="5" t="s">
        <v>2491</v>
      </c>
      <c r="B1624" s="11">
        <v>45538</v>
      </c>
      <c r="C1624" s="5" t="s">
        <v>705</v>
      </c>
      <c r="D1624" s="5" t="s">
        <v>206</v>
      </c>
      <c r="E1624" s="5" t="s">
        <v>21</v>
      </c>
      <c r="F1624" s="5">
        <v>2</v>
      </c>
      <c r="G1624" s="19">
        <v>0.15</v>
      </c>
      <c r="H1624" s="5" t="s">
        <v>776</v>
      </c>
      <c r="I1624" s="10">
        <f>IF(OR(D1624="", F1624=""), "", F1624 * VLOOKUP(D1624, Products!A:E, 5, FALSE) * (1 - G1624))</f>
        <v>518.00699999999995</v>
      </c>
      <c r="J1624" s="10"/>
    </row>
    <row r="1625" spans="1:10" ht="15.75" customHeight="1" x14ac:dyDescent="0.3">
      <c r="A1625" s="5" t="s">
        <v>2492</v>
      </c>
      <c r="B1625" s="11">
        <v>45874</v>
      </c>
      <c r="C1625" s="5" t="s">
        <v>405</v>
      </c>
      <c r="D1625" s="5" t="s">
        <v>77</v>
      </c>
      <c r="E1625" s="5" t="s">
        <v>25</v>
      </c>
      <c r="F1625" s="5">
        <v>2</v>
      </c>
      <c r="G1625" s="19">
        <v>0.1</v>
      </c>
      <c r="H1625" s="5" t="s">
        <v>454</v>
      </c>
      <c r="I1625" s="10">
        <f>IF(OR(D1625="", F1625=""), "", F1625 * VLOOKUP(D1625, Products!A:E, 5, FALSE) * (1 - G1625))</f>
        <v>447.42599999999999</v>
      </c>
      <c r="J1625" s="10"/>
    </row>
    <row r="1626" spans="1:10" ht="15.75" customHeight="1" x14ac:dyDescent="0.3">
      <c r="A1626" s="5" t="s">
        <v>2493</v>
      </c>
      <c r="B1626" s="11">
        <v>45298</v>
      </c>
      <c r="C1626" s="5" t="s">
        <v>177</v>
      </c>
      <c r="D1626" s="5" t="s">
        <v>175</v>
      </c>
      <c r="E1626" s="5" t="s">
        <v>21</v>
      </c>
      <c r="F1626" s="5">
        <v>1</v>
      </c>
      <c r="G1626" s="19">
        <v>0.15</v>
      </c>
      <c r="H1626" s="5" t="s">
        <v>637</v>
      </c>
      <c r="I1626" s="10">
        <f>IF(OR(D1626="", F1626=""), "", F1626 * VLOOKUP(D1626, Products!A:E, 5, FALSE) * (1 - G1626))</f>
        <v>1081.3955000000001</v>
      </c>
      <c r="J1626" s="10"/>
    </row>
    <row r="1627" spans="1:10" ht="15.75" customHeight="1" x14ac:dyDescent="0.3">
      <c r="A1627" s="5" t="s">
        <v>2494</v>
      </c>
      <c r="B1627" s="11">
        <v>45465</v>
      </c>
      <c r="C1627" s="5" t="s">
        <v>113</v>
      </c>
      <c r="D1627" s="5" t="s">
        <v>249</v>
      </c>
      <c r="E1627" s="5" t="s">
        <v>37</v>
      </c>
      <c r="F1627" s="5">
        <v>3</v>
      </c>
      <c r="G1627" s="19">
        <v>0.1</v>
      </c>
      <c r="H1627" s="5" t="s">
        <v>697</v>
      </c>
      <c r="I1627" s="10">
        <f>IF(OR(D1627="", F1627=""), "", F1627 * VLOOKUP(D1627, Products!A:E, 5, FALSE) * (1 - G1627))</f>
        <v>4713.1469999999999</v>
      </c>
      <c r="J1627" s="10"/>
    </row>
    <row r="1628" spans="1:10" ht="15.75" customHeight="1" x14ac:dyDescent="0.3">
      <c r="A1628" s="5" t="s">
        <v>2495</v>
      </c>
      <c r="B1628" s="11">
        <v>45392</v>
      </c>
      <c r="C1628" s="5" t="s">
        <v>240</v>
      </c>
      <c r="D1628" s="5" t="s">
        <v>188</v>
      </c>
      <c r="E1628" s="5" t="s">
        <v>33</v>
      </c>
      <c r="F1628" s="5">
        <v>2</v>
      </c>
      <c r="G1628" s="19">
        <v>0.1</v>
      </c>
      <c r="H1628" s="5" t="s">
        <v>776</v>
      </c>
      <c r="I1628" s="10">
        <f>IF(OR(D1628="", F1628=""), "", F1628 * VLOOKUP(D1628, Products!A:E, 5, FALSE) * (1 - G1628))</f>
        <v>2673.09</v>
      </c>
      <c r="J1628" s="10"/>
    </row>
    <row r="1629" spans="1:10" ht="15.75" customHeight="1" x14ac:dyDescent="0.3">
      <c r="A1629" s="5" t="s">
        <v>2496</v>
      </c>
      <c r="B1629" s="11">
        <v>45657</v>
      </c>
      <c r="C1629" s="5" t="s">
        <v>488</v>
      </c>
      <c r="D1629" s="5" t="s">
        <v>175</v>
      </c>
      <c r="E1629" s="5" t="s">
        <v>37</v>
      </c>
      <c r="F1629" s="5">
        <v>2</v>
      </c>
      <c r="G1629" s="19">
        <v>0</v>
      </c>
      <c r="H1629" s="5" t="s">
        <v>637</v>
      </c>
      <c r="I1629" s="10">
        <f>IF(OR(D1629="", F1629=""), "", F1629 * VLOOKUP(D1629, Products!A:E, 5, FALSE) * (1 - G1629))</f>
        <v>2544.46</v>
      </c>
      <c r="J1629" s="10"/>
    </row>
    <row r="1630" spans="1:10" ht="15.75" customHeight="1" x14ac:dyDescent="0.3">
      <c r="A1630" s="5" t="s">
        <v>2497</v>
      </c>
      <c r="B1630" s="11">
        <v>45593</v>
      </c>
      <c r="C1630" s="5" t="s">
        <v>865</v>
      </c>
      <c r="D1630" s="5" t="s">
        <v>267</v>
      </c>
      <c r="E1630" s="5" t="s">
        <v>21</v>
      </c>
      <c r="F1630" s="5">
        <v>4</v>
      </c>
      <c r="G1630" s="19">
        <v>0</v>
      </c>
      <c r="H1630" s="5" t="s">
        <v>776</v>
      </c>
      <c r="I1630" s="10">
        <f>IF(OR(D1630="", F1630=""), "", F1630 * VLOOKUP(D1630, Products!A:E, 5, FALSE) * (1 - G1630))</f>
        <v>5146.2</v>
      </c>
      <c r="J1630" s="10"/>
    </row>
    <row r="1631" spans="1:10" ht="15.75" customHeight="1" x14ac:dyDescent="0.3">
      <c r="A1631" s="5" t="s">
        <v>2498</v>
      </c>
      <c r="B1631" s="11">
        <v>45785</v>
      </c>
      <c r="C1631" s="5" t="s">
        <v>171</v>
      </c>
      <c r="D1631" s="5" t="s">
        <v>262</v>
      </c>
      <c r="E1631" s="5" t="s">
        <v>21</v>
      </c>
      <c r="F1631" s="5">
        <v>4</v>
      </c>
      <c r="G1631" s="19">
        <v>0.1</v>
      </c>
      <c r="H1631" s="5" t="s">
        <v>776</v>
      </c>
      <c r="I1631" s="10">
        <f>IF(OR(D1631="", F1631=""), "", F1631 * VLOOKUP(D1631, Products!A:E, 5, FALSE) * (1 - G1631))</f>
        <v>1633.0320000000002</v>
      </c>
      <c r="J1631" s="10"/>
    </row>
    <row r="1632" spans="1:10" ht="15.75" customHeight="1" x14ac:dyDescent="0.3">
      <c r="A1632" s="5" t="s">
        <v>2499</v>
      </c>
      <c r="B1632" s="11">
        <v>45869</v>
      </c>
      <c r="C1632" s="5" t="s">
        <v>274</v>
      </c>
      <c r="D1632" s="5" t="s">
        <v>65</v>
      </c>
      <c r="E1632" s="5" t="s">
        <v>21</v>
      </c>
      <c r="F1632" s="5">
        <v>4</v>
      </c>
      <c r="G1632" s="19">
        <v>0</v>
      </c>
      <c r="H1632" s="5" t="s">
        <v>454</v>
      </c>
      <c r="I1632" s="10">
        <f>IF(OR(D1632="", F1632=""), "", F1632 * VLOOKUP(D1632, Products!A:E, 5, FALSE) * (1 - G1632))</f>
        <v>5896.48</v>
      </c>
      <c r="J1632" s="10"/>
    </row>
    <row r="1633" spans="1:10" ht="15.75" customHeight="1" x14ac:dyDescent="0.3">
      <c r="A1633" s="5" t="s">
        <v>2500</v>
      </c>
      <c r="B1633" s="11">
        <v>45514</v>
      </c>
      <c r="C1633" s="5" t="s">
        <v>736</v>
      </c>
      <c r="D1633" s="5" t="s">
        <v>67</v>
      </c>
      <c r="E1633" s="5" t="s">
        <v>33</v>
      </c>
      <c r="F1633" s="5">
        <v>1</v>
      </c>
      <c r="G1633" s="19">
        <v>0</v>
      </c>
      <c r="H1633" s="5" t="s">
        <v>776</v>
      </c>
      <c r="I1633" s="10">
        <f>IF(OR(D1633="", F1633=""), "", F1633 * VLOOKUP(D1633, Products!A:E, 5, FALSE) * (1 - G1633))</f>
        <v>109.78</v>
      </c>
      <c r="J1633" s="10"/>
    </row>
    <row r="1634" spans="1:10" ht="15.75" customHeight="1" x14ac:dyDescent="0.3">
      <c r="A1634" s="5" t="s">
        <v>2501</v>
      </c>
      <c r="B1634" s="11">
        <v>45468</v>
      </c>
      <c r="C1634" s="5" t="s">
        <v>695</v>
      </c>
      <c r="D1634" s="5" t="s">
        <v>61</v>
      </c>
      <c r="E1634" s="5" t="s">
        <v>21</v>
      </c>
      <c r="F1634" s="5">
        <v>3</v>
      </c>
      <c r="G1634" s="19">
        <v>0.15</v>
      </c>
      <c r="H1634" s="5" t="s">
        <v>637</v>
      </c>
      <c r="I1634" s="10">
        <f>IF(OR(D1634="", F1634=""), "", F1634 * VLOOKUP(D1634, Products!A:E, 5, FALSE) * (1 - G1634))</f>
        <v>811.02750000000003</v>
      </c>
      <c r="J1634" s="10"/>
    </row>
    <row r="1635" spans="1:10" ht="15.75" customHeight="1" x14ac:dyDescent="0.3">
      <c r="A1635" s="5" t="s">
        <v>2502</v>
      </c>
      <c r="B1635" s="11">
        <v>45579</v>
      </c>
      <c r="C1635" s="5" t="s">
        <v>223</v>
      </c>
      <c r="D1635" s="5" t="s">
        <v>276</v>
      </c>
      <c r="E1635" s="5" t="s">
        <v>37</v>
      </c>
      <c r="F1635" s="5">
        <v>4</v>
      </c>
      <c r="G1635" s="19">
        <v>0.05</v>
      </c>
      <c r="H1635" s="5" t="s">
        <v>776</v>
      </c>
      <c r="I1635" s="10">
        <f>IF(OR(D1635="", F1635=""), "", F1635 * VLOOKUP(D1635, Products!A:E, 5, FALSE) * (1 - G1635))</f>
        <v>4549.2839999999997</v>
      </c>
      <c r="J1635" s="10"/>
    </row>
    <row r="1636" spans="1:10" ht="15.75" customHeight="1" x14ac:dyDescent="0.3">
      <c r="A1636" s="5" t="s">
        <v>2503</v>
      </c>
      <c r="B1636" s="11">
        <v>45500</v>
      </c>
      <c r="C1636" s="5" t="s">
        <v>600</v>
      </c>
      <c r="D1636" s="5" t="s">
        <v>153</v>
      </c>
      <c r="E1636" s="5" t="s">
        <v>33</v>
      </c>
      <c r="F1636" s="5">
        <v>4</v>
      </c>
      <c r="G1636" s="19">
        <v>0.15</v>
      </c>
      <c r="H1636" s="5" t="s">
        <v>776</v>
      </c>
      <c r="I1636" s="10">
        <f>IF(OR(D1636="", F1636=""), "", F1636 * VLOOKUP(D1636, Products!A:E, 5, FALSE) * (1 - G1636))</f>
        <v>5057.1940000000004</v>
      </c>
      <c r="J1636" s="10"/>
    </row>
    <row r="1637" spans="1:10" ht="15.75" customHeight="1" x14ac:dyDescent="0.3">
      <c r="A1637" s="5" t="s">
        <v>2504</v>
      </c>
      <c r="B1637" s="11">
        <v>45544</v>
      </c>
      <c r="C1637" s="5" t="s">
        <v>491</v>
      </c>
      <c r="D1637" s="5" t="s">
        <v>212</v>
      </c>
      <c r="E1637" s="5" t="s">
        <v>21</v>
      </c>
      <c r="F1637" s="5">
        <v>4</v>
      </c>
      <c r="G1637" s="19">
        <v>0.1</v>
      </c>
      <c r="H1637" s="5" t="s">
        <v>697</v>
      </c>
      <c r="I1637" s="10">
        <f>IF(OR(D1637="", F1637=""), "", F1637 * VLOOKUP(D1637, Products!A:E, 5, FALSE) * (1 - G1637))</f>
        <v>6476.2920000000004</v>
      </c>
      <c r="J1637" s="10"/>
    </row>
    <row r="1638" spans="1:10" ht="15.75" customHeight="1" x14ac:dyDescent="0.3">
      <c r="A1638" s="5" t="s">
        <v>2505</v>
      </c>
      <c r="B1638" s="11">
        <v>45438</v>
      </c>
      <c r="C1638" s="5" t="s">
        <v>240</v>
      </c>
      <c r="D1638" s="5" t="s">
        <v>109</v>
      </c>
      <c r="E1638" s="5" t="s">
        <v>21</v>
      </c>
      <c r="F1638" s="5">
        <v>1</v>
      </c>
      <c r="G1638" s="19">
        <v>0</v>
      </c>
      <c r="H1638" s="5" t="s">
        <v>697</v>
      </c>
      <c r="I1638" s="10">
        <f>IF(OR(D1638="", F1638=""), "", F1638 * VLOOKUP(D1638, Products!A:E, 5, FALSE) * (1 - G1638))</f>
        <v>1858.75</v>
      </c>
      <c r="J1638" s="10"/>
    </row>
    <row r="1639" spans="1:10" ht="15.75" customHeight="1" x14ac:dyDescent="0.3">
      <c r="A1639" s="5" t="s">
        <v>2506</v>
      </c>
      <c r="B1639" s="11">
        <v>45874</v>
      </c>
      <c r="C1639" s="5" t="s">
        <v>705</v>
      </c>
      <c r="D1639" s="5" t="s">
        <v>95</v>
      </c>
      <c r="E1639" s="5" t="s">
        <v>25</v>
      </c>
      <c r="F1639" s="5">
        <v>5</v>
      </c>
      <c r="G1639" s="19">
        <v>0.1</v>
      </c>
      <c r="H1639" s="5" t="s">
        <v>454</v>
      </c>
      <c r="I1639" s="10">
        <f>IF(OR(D1639="", F1639=""), "", F1639 * VLOOKUP(D1639, Products!A:E, 5, FALSE) * (1 - G1639))</f>
        <v>6042.375</v>
      </c>
      <c r="J1639" s="10"/>
    </row>
    <row r="1640" spans="1:10" ht="15.75" customHeight="1" x14ac:dyDescent="0.3">
      <c r="A1640" s="5" t="s">
        <v>2507</v>
      </c>
      <c r="B1640" s="11">
        <v>45498</v>
      </c>
      <c r="C1640" s="5" t="s">
        <v>567</v>
      </c>
      <c r="D1640" s="5" t="s">
        <v>57</v>
      </c>
      <c r="E1640" s="5" t="s">
        <v>33</v>
      </c>
      <c r="F1640" s="5">
        <v>5</v>
      </c>
      <c r="G1640" s="19">
        <v>0.15</v>
      </c>
      <c r="H1640" s="5" t="s">
        <v>697</v>
      </c>
      <c r="I1640" s="10">
        <f>IF(OR(D1640="", F1640=""), "", F1640 * VLOOKUP(D1640, Products!A:E, 5, FALSE) * (1 - G1640))</f>
        <v>5933.9350000000004</v>
      </c>
      <c r="J1640" s="10"/>
    </row>
    <row r="1641" spans="1:10" ht="15.75" customHeight="1" x14ac:dyDescent="0.3">
      <c r="A1641" s="5" t="s">
        <v>2508</v>
      </c>
      <c r="B1641" s="11">
        <v>45907</v>
      </c>
      <c r="C1641" s="5" t="s">
        <v>401</v>
      </c>
      <c r="D1641" s="5" t="s">
        <v>77</v>
      </c>
      <c r="E1641" s="5" t="s">
        <v>25</v>
      </c>
      <c r="F1641" s="5">
        <v>1</v>
      </c>
      <c r="G1641" s="19">
        <v>0</v>
      </c>
      <c r="H1641" s="5" t="s">
        <v>697</v>
      </c>
      <c r="I1641" s="10">
        <f>IF(OR(D1641="", F1641=""), "", F1641 * VLOOKUP(D1641, Products!A:E, 5, FALSE) * (1 - G1641))</f>
        <v>248.57</v>
      </c>
      <c r="J1641" s="10"/>
    </row>
    <row r="1642" spans="1:10" ht="15.75" customHeight="1" x14ac:dyDescent="0.3">
      <c r="A1642" s="5" t="s">
        <v>2509</v>
      </c>
      <c r="B1642" s="11">
        <v>45187</v>
      </c>
      <c r="C1642" s="5" t="s">
        <v>466</v>
      </c>
      <c r="D1642" s="5" t="s">
        <v>272</v>
      </c>
      <c r="E1642" s="5" t="s">
        <v>37</v>
      </c>
      <c r="F1642" s="5">
        <v>4</v>
      </c>
      <c r="G1642" s="19">
        <v>0.1</v>
      </c>
      <c r="H1642" s="5" t="s">
        <v>454</v>
      </c>
      <c r="I1642" s="10">
        <f>IF(OR(D1642="", F1642=""), "", F1642 * VLOOKUP(D1642, Products!A:E, 5, FALSE) * (1 - G1642))</f>
        <v>4195.3319999999994</v>
      </c>
      <c r="J1642" s="10"/>
    </row>
    <row r="1643" spans="1:10" ht="15.75" customHeight="1" x14ac:dyDescent="0.3">
      <c r="A1643" s="5" t="s">
        <v>2510</v>
      </c>
      <c r="B1643" s="11">
        <v>45891</v>
      </c>
      <c r="C1643" s="5" t="s">
        <v>715</v>
      </c>
      <c r="D1643" s="5" t="s">
        <v>276</v>
      </c>
      <c r="E1643" s="5" t="s">
        <v>37</v>
      </c>
      <c r="F1643" s="5">
        <v>2</v>
      </c>
      <c r="G1643" s="19">
        <v>0.05</v>
      </c>
      <c r="H1643" s="5" t="s">
        <v>637</v>
      </c>
      <c r="I1643" s="10">
        <f>IF(OR(D1643="", F1643=""), "", F1643 * VLOOKUP(D1643, Products!A:E, 5, FALSE) * (1 - G1643))</f>
        <v>2274.6419999999998</v>
      </c>
      <c r="J1643" s="10"/>
    </row>
    <row r="1644" spans="1:10" ht="15.75" customHeight="1" x14ac:dyDescent="0.3">
      <c r="A1644" s="5" t="s">
        <v>2511</v>
      </c>
      <c r="B1644" s="11">
        <v>45312</v>
      </c>
      <c r="C1644" s="5" t="s">
        <v>466</v>
      </c>
      <c r="D1644" s="5" t="s">
        <v>43</v>
      </c>
      <c r="E1644" s="5" t="s">
        <v>37</v>
      </c>
      <c r="F1644" s="5">
        <v>3</v>
      </c>
      <c r="G1644" s="19">
        <v>0.1</v>
      </c>
      <c r="H1644" s="5" t="s">
        <v>454</v>
      </c>
      <c r="I1644" s="10">
        <f>IF(OR(D1644="", F1644=""), "", F1644 * VLOOKUP(D1644, Products!A:E, 5, FALSE) * (1 - G1644))</f>
        <v>4518.9629999999997</v>
      </c>
      <c r="J1644" s="10"/>
    </row>
    <row r="1645" spans="1:10" ht="15.75" customHeight="1" x14ac:dyDescent="0.3">
      <c r="A1645" s="5" t="s">
        <v>2512</v>
      </c>
      <c r="B1645" s="11">
        <v>45352</v>
      </c>
      <c r="C1645" s="5" t="s">
        <v>81</v>
      </c>
      <c r="D1645" s="5" t="s">
        <v>119</v>
      </c>
      <c r="E1645" s="5" t="s">
        <v>37</v>
      </c>
      <c r="F1645" s="5">
        <v>5</v>
      </c>
      <c r="G1645" s="19">
        <v>0.05</v>
      </c>
      <c r="H1645" s="5" t="s">
        <v>776</v>
      </c>
      <c r="I1645" s="10">
        <f>IF(OR(D1645="", F1645=""), "", F1645 * VLOOKUP(D1645, Products!A:E, 5, FALSE) * (1 - G1645))</f>
        <v>5129.4775000000009</v>
      </c>
      <c r="J1645" s="10"/>
    </row>
    <row r="1646" spans="1:10" ht="15.75" customHeight="1" x14ac:dyDescent="0.3">
      <c r="A1646" s="5" t="s">
        <v>2513</v>
      </c>
      <c r="B1646" s="11">
        <v>45221</v>
      </c>
      <c r="C1646" s="5" t="s">
        <v>393</v>
      </c>
      <c r="D1646" s="5" t="s">
        <v>232</v>
      </c>
      <c r="E1646" s="5" t="s">
        <v>37</v>
      </c>
      <c r="F1646" s="5">
        <v>5</v>
      </c>
      <c r="G1646" s="19">
        <v>0</v>
      </c>
      <c r="H1646" s="5" t="s">
        <v>637</v>
      </c>
      <c r="I1646" s="10">
        <f>IF(OR(D1646="", F1646=""), "", F1646 * VLOOKUP(D1646, Products!A:E, 5, FALSE) * (1 - G1646))</f>
        <v>9763.25</v>
      </c>
      <c r="J1646" s="10"/>
    </row>
    <row r="1647" spans="1:10" ht="15.75" customHeight="1" x14ac:dyDescent="0.3">
      <c r="A1647" s="5" t="s">
        <v>2514</v>
      </c>
      <c r="B1647" s="11">
        <v>45287</v>
      </c>
      <c r="C1647" s="5" t="s">
        <v>499</v>
      </c>
      <c r="D1647" s="5" t="s">
        <v>237</v>
      </c>
      <c r="E1647" s="5" t="s">
        <v>25</v>
      </c>
      <c r="F1647" s="5">
        <v>2</v>
      </c>
      <c r="G1647" s="19">
        <v>0.05</v>
      </c>
      <c r="H1647" s="5" t="s">
        <v>776</v>
      </c>
      <c r="I1647" s="10">
        <f>IF(OR(D1647="", F1647=""), "", F1647 * VLOOKUP(D1647, Products!A:E, 5, FALSE) * (1 - G1647))</f>
        <v>697.16700000000003</v>
      </c>
      <c r="J1647" s="10"/>
    </row>
    <row r="1648" spans="1:10" ht="15.75" customHeight="1" x14ac:dyDescent="0.3">
      <c r="A1648" s="5" t="s">
        <v>2515</v>
      </c>
      <c r="B1648" s="11">
        <v>45250</v>
      </c>
      <c r="C1648" s="5" t="s">
        <v>495</v>
      </c>
      <c r="D1648" s="5" t="s">
        <v>168</v>
      </c>
      <c r="E1648" s="5" t="s">
        <v>25</v>
      </c>
      <c r="F1648" s="5">
        <v>4</v>
      </c>
      <c r="G1648" s="19">
        <v>0.15</v>
      </c>
      <c r="H1648" s="5" t="s">
        <v>454</v>
      </c>
      <c r="I1648" s="10">
        <f>IF(OR(D1648="", F1648=""), "", F1648 * VLOOKUP(D1648, Products!A:E, 5, FALSE) * (1 - G1648))</f>
        <v>3453.5839999999998</v>
      </c>
      <c r="J1648" s="10"/>
    </row>
    <row r="1649" spans="1:10" ht="15.75" customHeight="1" x14ac:dyDescent="0.3">
      <c r="A1649" s="5" t="s">
        <v>2516</v>
      </c>
      <c r="B1649" s="11">
        <v>45799</v>
      </c>
      <c r="C1649" s="5" t="s">
        <v>711</v>
      </c>
      <c r="D1649" s="5" t="s">
        <v>122</v>
      </c>
      <c r="E1649" s="5" t="s">
        <v>37</v>
      </c>
      <c r="F1649" s="5">
        <v>3</v>
      </c>
      <c r="G1649" s="19">
        <v>0.1</v>
      </c>
      <c r="H1649" s="5" t="s">
        <v>637</v>
      </c>
      <c r="I1649" s="10">
        <f>IF(OR(D1649="", F1649=""), "", F1649 * VLOOKUP(D1649, Products!A:E, 5, FALSE) * (1 - G1649))</f>
        <v>4759.884</v>
      </c>
      <c r="J1649" s="10"/>
    </row>
    <row r="1650" spans="1:10" ht="15.75" customHeight="1" x14ac:dyDescent="0.3">
      <c r="A1650" s="5" t="s">
        <v>2517</v>
      </c>
      <c r="B1650" s="11">
        <v>45700</v>
      </c>
      <c r="C1650" s="5" t="s">
        <v>484</v>
      </c>
      <c r="D1650" s="5" t="s">
        <v>249</v>
      </c>
      <c r="E1650" s="5" t="s">
        <v>25</v>
      </c>
      <c r="F1650" s="5">
        <v>1</v>
      </c>
      <c r="G1650" s="19">
        <v>0.15</v>
      </c>
      <c r="H1650" s="5" t="s">
        <v>776</v>
      </c>
      <c r="I1650" s="10">
        <f>IF(OR(D1650="", F1650=""), "", F1650 * VLOOKUP(D1650, Products!A:E, 5, FALSE) * (1 - G1650))</f>
        <v>1483.7684999999999</v>
      </c>
      <c r="J1650" s="10"/>
    </row>
    <row r="1651" spans="1:10" ht="15.75" customHeight="1" x14ac:dyDescent="0.3">
      <c r="A1651" s="5" t="s">
        <v>2518</v>
      </c>
      <c r="B1651" s="11">
        <v>45636</v>
      </c>
      <c r="C1651" s="5" t="s">
        <v>634</v>
      </c>
      <c r="D1651" s="5" t="s">
        <v>212</v>
      </c>
      <c r="E1651" s="5" t="s">
        <v>25</v>
      </c>
      <c r="F1651" s="5">
        <v>1</v>
      </c>
      <c r="G1651" s="19">
        <v>0.05</v>
      </c>
      <c r="H1651" s="5" t="s">
        <v>697</v>
      </c>
      <c r="I1651" s="10">
        <f>IF(OR(D1651="", F1651=""), "", F1651 * VLOOKUP(D1651, Products!A:E, 5, FALSE) * (1 - G1651))</f>
        <v>1709.0214999999998</v>
      </c>
      <c r="J1651" s="10"/>
    </row>
    <row r="1652" spans="1:10" ht="15.75" customHeight="1" x14ac:dyDescent="0.3">
      <c r="A1652" s="5" t="s">
        <v>2519</v>
      </c>
      <c r="B1652" s="11">
        <v>45522</v>
      </c>
      <c r="C1652" s="5" t="s">
        <v>611</v>
      </c>
      <c r="D1652" s="5" t="s">
        <v>134</v>
      </c>
      <c r="E1652" s="5" t="s">
        <v>37</v>
      </c>
      <c r="F1652" s="5">
        <v>2</v>
      </c>
      <c r="G1652" s="19">
        <v>0.05</v>
      </c>
      <c r="H1652" s="5" t="s">
        <v>637</v>
      </c>
      <c r="I1652" s="10">
        <f>IF(OR(D1652="", F1652=""), "", F1652 * VLOOKUP(D1652, Products!A:E, 5, FALSE) * (1 - G1652))</f>
        <v>2331.7559999999999</v>
      </c>
      <c r="J1652" s="10"/>
    </row>
    <row r="1653" spans="1:10" ht="15.75" customHeight="1" x14ac:dyDescent="0.3">
      <c r="A1653" s="5" t="s">
        <v>2520</v>
      </c>
      <c r="B1653" s="11">
        <v>45381</v>
      </c>
      <c r="C1653" s="5" t="s">
        <v>842</v>
      </c>
      <c r="D1653" s="5" t="s">
        <v>54</v>
      </c>
      <c r="E1653" s="5" t="s">
        <v>29</v>
      </c>
      <c r="F1653" s="5">
        <v>4</v>
      </c>
      <c r="G1653" s="19">
        <v>0.05</v>
      </c>
      <c r="H1653" s="5" t="s">
        <v>637</v>
      </c>
      <c r="I1653" s="10">
        <f>IF(OR(D1653="", F1653=""), "", F1653 * VLOOKUP(D1653, Products!A:E, 5, FALSE) * (1 - G1653))</f>
        <v>7044.326</v>
      </c>
      <c r="J1653" s="10"/>
    </row>
    <row r="1654" spans="1:10" ht="15.75" customHeight="1" x14ac:dyDescent="0.3">
      <c r="A1654" s="5" t="s">
        <v>2521</v>
      </c>
      <c r="B1654" s="11">
        <v>45877</v>
      </c>
      <c r="C1654" s="5" t="s">
        <v>342</v>
      </c>
      <c r="D1654" s="5" t="s">
        <v>226</v>
      </c>
      <c r="E1654" s="5" t="s">
        <v>21</v>
      </c>
      <c r="F1654" s="5">
        <v>3</v>
      </c>
      <c r="G1654" s="19">
        <v>0</v>
      </c>
      <c r="H1654" s="5" t="s">
        <v>776</v>
      </c>
      <c r="I1654" s="10">
        <f>IF(OR(D1654="", F1654=""), "", F1654 * VLOOKUP(D1654, Products!A:E, 5, FALSE) * (1 - G1654))</f>
        <v>4504.38</v>
      </c>
      <c r="J1654" s="10"/>
    </row>
    <row r="1655" spans="1:10" ht="15.75" customHeight="1" x14ac:dyDescent="0.3">
      <c r="A1655" s="5" t="s">
        <v>2522</v>
      </c>
      <c r="B1655" s="11">
        <v>45448</v>
      </c>
      <c r="C1655" s="5" t="s">
        <v>511</v>
      </c>
      <c r="D1655" s="5" t="s">
        <v>61</v>
      </c>
      <c r="E1655" s="5" t="s">
        <v>21</v>
      </c>
      <c r="F1655" s="5">
        <v>5</v>
      </c>
      <c r="G1655" s="19">
        <v>0</v>
      </c>
      <c r="H1655" s="5" t="s">
        <v>697</v>
      </c>
      <c r="I1655" s="10">
        <f>IF(OR(D1655="", F1655=""), "", F1655 * VLOOKUP(D1655, Products!A:E, 5, FALSE) * (1 - G1655))</f>
        <v>1590.25</v>
      </c>
      <c r="J1655" s="10"/>
    </row>
    <row r="1656" spans="1:10" ht="15.75" customHeight="1" x14ac:dyDescent="0.3">
      <c r="A1656" s="5" t="s">
        <v>2523</v>
      </c>
      <c r="B1656" s="11">
        <v>45665</v>
      </c>
      <c r="C1656" s="5" t="s">
        <v>447</v>
      </c>
      <c r="D1656" s="5" t="s">
        <v>50</v>
      </c>
      <c r="E1656" s="5" t="s">
        <v>33</v>
      </c>
      <c r="F1656" s="5">
        <v>2</v>
      </c>
      <c r="G1656" s="19">
        <v>0.1</v>
      </c>
      <c r="H1656" s="5" t="s">
        <v>776</v>
      </c>
      <c r="I1656" s="10">
        <f>IF(OR(D1656="", F1656=""), "", F1656 * VLOOKUP(D1656, Products!A:E, 5, FALSE) * (1 - G1656))</f>
        <v>607.73400000000004</v>
      </c>
      <c r="J1656" s="10"/>
    </row>
    <row r="1657" spans="1:10" ht="15.75" customHeight="1" x14ac:dyDescent="0.3">
      <c r="A1657" s="5" t="s">
        <v>2524</v>
      </c>
      <c r="B1657" s="11">
        <v>45778</v>
      </c>
      <c r="C1657" s="5" t="s">
        <v>121</v>
      </c>
      <c r="D1657" s="5" t="s">
        <v>70</v>
      </c>
      <c r="E1657" s="5" t="s">
        <v>25</v>
      </c>
      <c r="F1657" s="5">
        <v>2</v>
      </c>
      <c r="G1657" s="19">
        <v>0.1</v>
      </c>
      <c r="H1657" s="5" t="s">
        <v>697</v>
      </c>
      <c r="I1657" s="10">
        <f>IF(OR(D1657="", F1657=""), "", F1657 * VLOOKUP(D1657, Products!A:E, 5, FALSE) * (1 - G1657))</f>
        <v>221.74199999999999</v>
      </c>
      <c r="J1657" s="10"/>
    </row>
    <row r="1658" spans="1:10" ht="15.75" customHeight="1" x14ac:dyDescent="0.3">
      <c r="A1658" s="5" t="s">
        <v>2525</v>
      </c>
      <c r="B1658" s="11">
        <v>45261</v>
      </c>
      <c r="C1658" s="5" t="s">
        <v>376</v>
      </c>
      <c r="D1658" s="5" t="s">
        <v>280</v>
      </c>
      <c r="E1658" s="5" t="s">
        <v>29</v>
      </c>
      <c r="F1658" s="5">
        <v>2</v>
      </c>
      <c r="G1658" s="19">
        <v>0.1</v>
      </c>
      <c r="H1658" s="5" t="s">
        <v>697</v>
      </c>
      <c r="I1658" s="10">
        <f>IF(OR(D1658="", F1658=""), "", F1658 * VLOOKUP(D1658, Products!A:E, 5, FALSE) * (1 - G1658))</f>
        <v>2189.4479999999999</v>
      </c>
      <c r="J1658" s="10"/>
    </row>
    <row r="1659" spans="1:10" ht="15.75" customHeight="1" x14ac:dyDescent="0.3">
      <c r="A1659" s="5" t="s">
        <v>2526</v>
      </c>
      <c r="B1659" s="11">
        <v>45660</v>
      </c>
      <c r="C1659" s="5" t="s">
        <v>334</v>
      </c>
      <c r="D1659" s="5" t="s">
        <v>119</v>
      </c>
      <c r="E1659" s="5" t="s">
        <v>25</v>
      </c>
      <c r="F1659" s="5">
        <v>1</v>
      </c>
      <c r="G1659" s="19">
        <v>0.05</v>
      </c>
      <c r="H1659" s="5" t="s">
        <v>454</v>
      </c>
      <c r="I1659" s="10">
        <f>IF(OR(D1659="", F1659=""), "", F1659 * VLOOKUP(D1659, Products!A:E, 5, FALSE) * (1 - G1659))</f>
        <v>1025.8955000000001</v>
      </c>
      <c r="J1659" s="10"/>
    </row>
    <row r="1660" spans="1:10" ht="15.75" customHeight="1" x14ac:dyDescent="0.3">
      <c r="A1660" s="5" t="s">
        <v>2527</v>
      </c>
      <c r="B1660" s="11">
        <v>45331</v>
      </c>
      <c r="C1660" s="5" t="s">
        <v>229</v>
      </c>
      <c r="D1660" s="5" t="s">
        <v>43</v>
      </c>
      <c r="E1660" s="5" t="s">
        <v>21</v>
      </c>
      <c r="F1660" s="5">
        <v>2</v>
      </c>
      <c r="G1660" s="19">
        <v>0.15</v>
      </c>
      <c r="H1660" s="5" t="s">
        <v>776</v>
      </c>
      <c r="I1660" s="10">
        <f>IF(OR(D1660="", F1660=""), "", F1660 * VLOOKUP(D1660, Products!A:E, 5, FALSE) * (1 - G1660))</f>
        <v>2845.2730000000001</v>
      </c>
      <c r="J1660" s="10"/>
    </row>
    <row r="1661" spans="1:10" ht="15.75" customHeight="1" x14ac:dyDescent="0.3">
      <c r="A1661" s="5" t="s">
        <v>2528</v>
      </c>
      <c r="B1661" s="11">
        <v>45332</v>
      </c>
      <c r="C1661" s="5" t="s">
        <v>491</v>
      </c>
      <c r="D1661" s="5" t="s">
        <v>50</v>
      </c>
      <c r="E1661" s="5" t="s">
        <v>25</v>
      </c>
      <c r="F1661" s="5">
        <v>3</v>
      </c>
      <c r="G1661" s="19">
        <v>0.15</v>
      </c>
      <c r="H1661" s="5" t="s">
        <v>697</v>
      </c>
      <c r="I1661" s="10">
        <f>IF(OR(D1661="", F1661=""), "", F1661 * VLOOKUP(D1661, Products!A:E, 5, FALSE) * (1 - G1661))</f>
        <v>860.95650000000001</v>
      </c>
      <c r="J1661" s="10"/>
    </row>
    <row r="1662" spans="1:10" ht="15.75" customHeight="1" x14ac:dyDescent="0.3">
      <c r="A1662" s="5" t="s">
        <v>2529</v>
      </c>
      <c r="B1662" s="11">
        <v>45225</v>
      </c>
      <c r="C1662" s="5" t="s">
        <v>522</v>
      </c>
      <c r="D1662" s="5" t="s">
        <v>103</v>
      </c>
      <c r="E1662" s="5" t="s">
        <v>29</v>
      </c>
      <c r="F1662" s="5">
        <v>2</v>
      </c>
      <c r="G1662" s="19">
        <v>0.15</v>
      </c>
      <c r="H1662" s="5" t="s">
        <v>776</v>
      </c>
      <c r="I1662" s="10">
        <f>IF(OR(D1662="", F1662=""), "", F1662 * VLOOKUP(D1662, Products!A:E, 5, FALSE) * (1 - G1662))</f>
        <v>459.76499999999999</v>
      </c>
      <c r="J1662" s="10"/>
    </row>
    <row r="1663" spans="1:10" ht="15.75" customHeight="1" x14ac:dyDescent="0.3">
      <c r="A1663" s="5" t="s">
        <v>2530</v>
      </c>
      <c r="B1663" s="11">
        <v>45603</v>
      </c>
      <c r="C1663" s="5" t="s">
        <v>255</v>
      </c>
      <c r="D1663" s="5" t="s">
        <v>200</v>
      </c>
      <c r="E1663" s="5" t="s">
        <v>25</v>
      </c>
      <c r="F1663" s="5">
        <v>2</v>
      </c>
      <c r="G1663" s="19">
        <v>0.05</v>
      </c>
      <c r="H1663" s="5" t="s">
        <v>697</v>
      </c>
      <c r="I1663" s="10">
        <f>IF(OR(D1663="", F1663=""), "", F1663 * VLOOKUP(D1663, Products!A:E, 5, FALSE) * (1 - G1663))</f>
        <v>2081.8679999999999</v>
      </c>
      <c r="J1663" s="10"/>
    </row>
    <row r="1664" spans="1:10" ht="15.75" customHeight="1" x14ac:dyDescent="0.3">
      <c r="A1664" s="5" t="s">
        <v>2531</v>
      </c>
      <c r="B1664" s="11">
        <v>45857</v>
      </c>
      <c r="C1664" s="5" t="s">
        <v>671</v>
      </c>
      <c r="D1664" s="5" t="s">
        <v>276</v>
      </c>
      <c r="E1664" s="5" t="s">
        <v>33</v>
      </c>
      <c r="F1664" s="5">
        <v>3</v>
      </c>
      <c r="G1664" s="19">
        <v>0.1</v>
      </c>
      <c r="H1664" s="5" t="s">
        <v>637</v>
      </c>
      <c r="I1664" s="10">
        <f>IF(OR(D1664="", F1664=""), "", F1664 * VLOOKUP(D1664, Products!A:E, 5, FALSE) * (1 - G1664))</f>
        <v>3232.386</v>
      </c>
      <c r="J1664" s="10"/>
    </row>
    <row r="1665" spans="1:10" ht="15.75" customHeight="1" x14ac:dyDescent="0.3">
      <c r="A1665" s="5" t="s">
        <v>2532</v>
      </c>
      <c r="B1665" s="11">
        <v>45682</v>
      </c>
      <c r="C1665" s="5" t="s">
        <v>755</v>
      </c>
      <c r="D1665" s="5" t="s">
        <v>128</v>
      </c>
      <c r="E1665" s="5" t="s">
        <v>25</v>
      </c>
      <c r="F1665" s="5">
        <v>1</v>
      </c>
      <c r="G1665" s="19">
        <v>0.05</v>
      </c>
      <c r="H1665" s="5" t="s">
        <v>454</v>
      </c>
      <c r="I1665" s="10">
        <f>IF(OR(D1665="", F1665=""), "", F1665 * VLOOKUP(D1665, Products!A:E, 5, FALSE) * (1 - G1665))</f>
        <v>307.72399999999999</v>
      </c>
      <c r="J1665" s="10"/>
    </row>
    <row r="1666" spans="1:10" ht="15.75" customHeight="1" x14ac:dyDescent="0.3">
      <c r="A1666" s="5" t="s">
        <v>2533</v>
      </c>
      <c r="B1666" s="11">
        <v>45308</v>
      </c>
      <c r="C1666" s="5" t="s">
        <v>304</v>
      </c>
      <c r="D1666" s="5" t="s">
        <v>226</v>
      </c>
      <c r="E1666" s="5" t="s">
        <v>29</v>
      </c>
      <c r="F1666" s="5">
        <v>2</v>
      </c>
      <c r="G1666" s="19">
        <v>0</v>
      </c>
      <c r="H1666" s="5" t="s">
        <v>454</v>
      </c>
      <c r="I1666" s="10">
        <f>IF(OR(D1666="", F1666=""), "", F1666 * VLOOKUP(D1666, Products!A:E, 5, FALSE) * (1 - G1666))</f>
        <v>3002.92</v>
      </c>
      <c r="J1666" s="10"/>
    </row>
    <row r="1667" spans="1:10" ht="15.75" customHeight="1" x14ac:dyDescent="0.3">
      <c r="A1667" s="5" t="s">
        <v>2534</v>
      </c>
      <c r="B1667" s="11">
        <v>45294</v>
      </c>
      <c r="C1667" s="5" t="s">
        <v>274</v>
      </c>
      <c r="D1667" s="5" t="s">
        <v>280</v>
      </c>
      <c r="E1667" s="5" t="s">
        <v>37</v>
      </c>
      <c r="F1667" s="5">
        <v>5</v>
      </c>
      <c r="G1667" s="19">
        <v>0.15</v>
      </c>
      <c r="H1667" s="5" t="s">
        <v>697</v>
      </c>
      <c r="I1667" s="10">
        <f>IF(OR(D1667="", F1667=""), "", F1667 * VLOOKUP(D1667, Products!A:E, 5, FALSE) * (1 - G1667))</f>
        <v>5169.5299999999988</v>
      </c>
      <c r="J1667" s="10"/>
    </row>
    <row r="1668" spans="1:10" ht="15.75" customHeight="1" x14ac:dyDescent="0.3">
      <c r="A1668" s="5" t="s">
        <v>2535</v>
      </c>
      <c r="B1668" s="11">
        <v>45706</v>
      </c>
      <c r="C1668" s="5" t="s">
        <v>837</v>
      </c>
      <c r="D1668" s="5" t="s">
        <v>140</v>
      </c>
      <c r="E1668" s="5" t="s">
        <v>21</v>
      </c>
      <c r="F1668" s="5">
        <v>4</v>
      </c>
      <c r="G1668" s="19">
        <v>0</v>
      </c>
      <c r="H1668" s="5" t="s">
        <v>697</v>
      </c>
      <c r="I1668" s="10">
        <f>IF(OR(D1668="", F1668=""), "", F1668 * VLOOKUP(D1668, Products!A:E, 5, FALSE) * (1 - G1668))</f>
        <v>102.28</v>
      </c>
      <c r="J1668" s="10"/>
    </row>
    <row r="1669" spans="1:10" ht="15.75" customHeight="1" x14ac:dyDescent="0.3">
      <c r="A1669" s="5" t="s">
        <v>2536</v>
      </c>
      <c r="B1669" s="11">
        <v>45899</v>
      </c>
      <c r="C1669" s="5" t="s">
        <v>649</v>
      </c>
      <c r="D1669" s="5" t="s">
        <v>262</v>
      </c>
      <c r="E1669" s="5" t="s">
        <v>33</v>
      </c>
      <c r="F1669" s="5">
        <v>5</v>
      </c>
      <c r="G1669" s="19">
        <v>0.1</v>
      </c>
      <c r="H1669" s="5" t="s">
        <v>637</v>
      </c>
      <c r="I1669" s="10">
        <f>IF(OR(D1669="", F1669=""), "", F1669 * VLOOKUP(D1669, Products!A:E, 5, FALSE) * (1 - G1669))</f>
        <v>2041.29</v>
      </c>
      <c r="J1669" s="10"/>
    </row>
    <row r="1670" spans="1:10" ht="15.75" customHeight="1" x14ac:dyDescent="0.3">
      <c r="A1670" s="5" t="s">
        <v>2537</v>
      </c>
      <c r="B1670" s="11">
        <v>45683</v>
      </c>
      <c r="C1670" s="5" t="s">
        <v>657</v>
      </c>
      <c r="D1670" s="5" t="s">
        <v>47</v>
      </c>
      <c r="E1670" s="5" t="s">
        <v>33</v>
      </c>
      <c r="F1670" s="5">
        <v>2</v>
      </c>
      <c r="G1670" s="19">
        <v>0.1</v>
      </c>
      <c r="H1670" s="5" t="s">
        <v>454</v>
      </c>
      <c r="I1670" s="10">
        <f>IF(OR(D1670="", F1670=""), "", F1670 * VLOOKUP(D1670, Products!A:E, 5, FALSE) * (1 - G1670))</f>
        <v>1473.768</v>
      </c>
      <c r="J1670" s="10"/>
    </row>
    <row r="1671" spans="1:10" ht="15.75" customHeight="1" x14ac:dyDescent="0.3">
      <c r="A1671" s="5" t="s">
        <v>2538</v>
      </c>
      <c r="B1671" s="11">
        <v>45464</v>
      </c>
      <c r="C1671" s="5" t="s">
        <v>665</v>
      </c>
      <c r="D1671" s="5" t="s">
        <v>168</v>
      </c>
      <c r="E1671" s="5" t="s">
        <v>33</v>
      </c>
      <c r="F1671" s="5">
        <v>4</v>
      </c>
      <c r="G1671" s="19">
        <v>0.15</v>
      </c>
      <c r="H1671" s="5" t="s">
        <v>454</v>
      </c>
      <c r="I1671" s="10">
        <f>IF(OR(D1671="", F1671=""), "", F1671 * VLOOKUP(D1671, Products!A:E, 5, FALSE) * (1 - G1671))</f>
        <v>3453.5839999999998</v>
      </c>
      <c r="J1671" s="10"/>
    </row>
    <row r="1672" spans="1:10" ht="15.75" customHeight="1" x14ac:dyDescent="0.3">
      <c r="A1672" s="5" t="s">
        <v>2539</v>
      </c>
      <c r="B1672" s="11">
        <v>45273</v>
      </c>
      <c r="C1672" s="5" t="s">
        <v>711</v>
      </c>
      <c r="D1672" s="5" t="s">
        <v>265</v>
      </c>
      <c r="E1672" s="5" t="s">
        <v>33</v>
      </c>
      <c r="F1672" s="5">
        <v>5</v>
      </c>
      <c r="G1672" s="19">
        <v>0</v>
      </c>
      <c r="H1672" s="5" t="s">
        <v>697</v>
      </c>
      <c r="I1672" s="10">
        <f>IF(OR(D1672="", F1672=""), "", F1672 * VLOOKUP(D1672, Products!A:E, 5, FALSE) * (1 - G1672))</f>
        <v>2822.1</v>
      </c>
      <c r="J1672" s="10"/>
    </row>
    <row r="1673" spans="1:10" ht="15.75" customHeight="1" x14ac:dyDescent="0.3">
      <c r="A1673" s="5" t="s">
        <v>2540</v>
      </c>
      <c r="B1673" s="11">
        <v>45491</v>
      </c>
      <c r="C1673" s="5" t="s">
        <v>376</v>
      </c>
      <c r="D1673" s="5" t="s">
        <v>50</v>
      </c>
      <c r="E1673" s="5" t="s">
        <v>25</v>
      </c>
      <c r="F1673" s="5">
        <v>4</v>
      </c>
      <c r="G1673" s="19">
        <v>0.05</v>
      </c>
      <c r="H1673" s="5" t="s">
        <v>637</v>
      </c>
      <c r="I1673" s="10">
        <f>IF(OR(D1673="", F1673=""), "", F1673 * VLOOKUP(D1673, Products!A:E, 5, FALSE) * (1 - G1673))</f>
        <v>1282.9939999999999</v>
      </c>
      <c r="J1673" s="10"/>
    </row>
    <row r="1674" spans="1:10" ht="15.75" customHeight="1" x14ac:dyDescent="0.3">
      <c r="A1674" s="5" t="s">
        <v>2541</v>
      </c>
      <c r="B1674" s="11">
        <v>45416</v>
      </c>
      <c r="C1674" s="5" t="s">
        <v>372</v>
      </c>
      <c r="D1674" s="5" t="s">
        <v>70</v>
      </c>
      <c r="E1674" s="5" t="s">
        <v>29</v>
      </c>
      <c r="F1674" s="5">
        <v>4</v>
      </c>
      <c r="G1674" s="19">
        <v>0.15</v>
      </c>
      <c r="H1674" s="5" t="s">
        <v>697</v>
      </c>
      <c r="I1674" s="10">
        <f>IF(OR(D1674="", F1674=""), "", F1674 * VLOOKUP(D1674, Products!A:E, 5, FALSE) * (1 - G1674))</f>
        <v>418.846</v>
      </c>
      <c r="J1674" s="10"/>
    </row>
    <row r="1675" spans="1:10" ht="15.75" customHeight="1" x14ac:dyDescent="0.3">
      <c r="A1675" s="5" t="s">
        <v>2542</v>
      </c>
      <c r="B1675" s="11">
        <v>45631</v>
      </c>
      <c r="C1675" s="5" t="s">
        <v>526</v>
      </c>
      <c r="D1675" s="5" t="s">
        <v>134</v>
      </c>
      <c r="E1675" s="5" t="s">
        <v>29</v>
      </c>
      <c r="F1675" s="5">
        <v>5</v>
      </c>
      <c r="G1675" s="19">
        <v>0</v>
      </c>
      <c r="H1675" s="5" t="s">
        <v>697</v>
      </c>
      <c r="I1675" s="10">
        <f>IF(OR(D1675="", F1675=""), "", F1675 * VLOOKUP(D1675, Products!A:E, 5, FALSE) * (1 - G1675))</f>
        <v>6136.2</v>
      </c>
      <c r="J1675" s="10"/>
    </row>
    <row r="1676" spans="1:10" ht="15.75" customHeight="1" x14ac:dyDescent="0.3">
      <c r="A1676" s="5" t="s">
        <v>2543</v>
      </c>
      <c r="B1676" s="11">
        <v>45431</v>
      </c>
      <c r="C1676" s="5" t="s">
        <v>799</v>
      </c>
      <c r="D1676" s="5" t="s">
        <v>134</v>
      </c>
      <c r="E1676" s="5" t="s">
        <v>21</v>
      </c>
      <c r="F1676" s="5">
        <v>3</v>
      </c>
      <c r="G1676" s="19">
        <v>0.15</v>
      </c>
      <c r="H1676" s="5" t="s">
        <v>454</v>
      </c>
      <c r="I1676" s="10">
        <f>IF(OR(D1676="", F1676=""), "", F1676 * VLOOKUP(D1676, Products!A:E, 5, FALSE) * (1 - G1676))</f>
        <v>3129.462</v>
      </c>
      <c r="J1676" s="10"/>
    </row>
    <row r="1677" spans="1:10" ht="15.75" customHeight="1" x14ac:dyDescent="0.3">
      <c r="A1677" s="5" t="s">
        <v>2544</v>
      </c>
      <c r="B1677" s="11">
        <v>45685</v>
      </c>
      <c r="C1677" s="5" t="s">
        <v>387</v>
      </c>
      <c r="D1677" s="5" t="s">
        <v>237</v>
      </c>
      <c r="E1677" s="5" t="s">
        <v>37</v>
      </c>
      <c r="F1677" s="5">
        <v>1</v>
      </c>
      <c r="G1677" s="19">
        <v>0.15</v>
      </c>
      <c r="H1677" s="5" t="s">
        <v>454</v>
      </c>
      <c r="I1677" s="10">
        <f>IF(OR(D1677="", F1677=""), "", F1677 * VLOOKUP(D1677, Products!A:E, 5, FALSE) * (1 - G1677))</f>
        <v>311.89049999999997</v>
      </c>
      <c r="J1677" s="10"/>
    </row>
    <row r="1678" spans="1:10" ht="15.75" customHeight="1" x14ac:dyDescent="0.3">
      <c r="A1678" s="5" t="s">
        <v>2545</v>
      </c>
      <c r="B1678" s="11">
        <v>45245</v>
      </c>
      <c r="C1678" s="5" t="s">
        <v>575</v>
      </c>
      <c r="D1678" s="5" t="s">
        <v>232</v>
      </c>
      <c r="E1678" s="5" t="s">
        <v>33</v>
      </c>
      <c r="F1678" s="5">
        <v>4</v>
      </c>
      <c r="G1678" s="19">
        <v>0.15</v>
      </c>
      <c r="H1678" s="5" t="s">
        <v>637</v>
      </c>
      <c r="I1678" s="10">
        <f>IF(OR(D1678="", F1678=""), "", F1678 * VLOOKUP(D1678, Products!A:E, 5, FALSE) * (1 - G1678))</f>
        <v>6639.01</v>
      </c>
      <c r="J1678" s="10"/>
    </row>
    <row r="1679" spans="1:10" ht="15.75" customHeight="1" x14ac:dyDescent="0.3">
      <c r="A1679" s="5" t="s">
        <v>2546</v>
      </c>
      <c r="B1679" s="11">
        <v>45328</v>
      </c>
      <c r="C1679" s="5" t="s">
        <v>522</v>
      </c>
      <c r="D1679" s="5" t="s">
        <v>291</v>
      </c>
      <c r="E1679" s="5" t="s">
        <v>33</v>
      </c>
      <c r="F1679" s="5">
        <v>3</v>
      </c>
      <c r="G1679" s="19">
        <v>0.1</v>
      </c>
      <c r="H1679" s="5" t="s">
        <v>637</v>
      </c>
      <c r="I1679" s="10">
        <f>IF(OR(D1679="", F1679=""), "", F1679 * VLOOKUP(D1679, Products!A:E, 5, FALSE) * (1 - G1679))</f>
        <v>2820.5280000000002</v>
      </c>
      <c r="J1679" s="10"/>
    </row>
    <row r="1680" spans="1:10" ht="15.75" customHeight="1" x14ac:dyDescent="0.3">
      <c r="A1680" s="5" t="s">
        <v>2547</v>
      </c>
      <c r="B1680" s="11">
        <v>45513</v>
      </c>
      <c r="C1680" s="5" t="s">
        <v>113</v>
      </c>
      <c r="D1680" s="5" t="s">
        <v>291</v>
      </c>
      <c r="E1680" s="5" t="s">
        <v>25</v>
      </c>
      <c r="F1680" s="5">
        <v>4</v>
      </c>
      <c r="G1680" s="19">
        <v>0.05</v>
      </c>
      <c r="H1680" s="5" t="s">
        <v>454</v>
      </c>
      <c r="I1680" s="10">
        <f>IF(OR(D1680="", F1680=""), "", F1680 * VLOOKUP(D1680, Products!A:E, 5, FALSE) * (1 - G1680))</f>
        <v>3969.6320000000001</v>
      </c>
      <c r="J1680" s="10"/>
    </row>
    <row r="1681" spans="1:10" ht="15.75" customHeight="1" x14ac:dyDescent="0.3">
      <c r="A1681" s="5" t="s">
        <v>2548</v>
      </c>
      <c r="B1681" s="11">
        <v>45184</v>
      </c>
      <c r="C1681" s="5" t="s">
        <v>766</v>
      </c>
      <c r="D1681" s="5" t="s">
        <v>267</v>
      </c>
      <c r="E1681" s="5" t="s">
        <v>21</v>
      </c>
      <c r="F1681" s="5">
        <v>3</v>
      </c>
      <c r="G1681" s="19">
        <v>0</v>
      </c>
      <c r="H1681" s="5" t="s">
        <v>454</v>
      </c>
      <c r="I1681" s="10">
        <f>IF(OR(D1681="", F1681=""), "", F1681 * VLOOKUP(D1681, Products!A:E, 5, FALSE) * (1 - G1681))</f>
        <v>3859.6499999999996</v>
      </c>
      <c r="J1681" s="10"/>
    </row>
    <row r="1682" spans="1:10" ht="15.75" customHeight="1" x14ac:dyDescent="0.3">
      <c r="A1682" s="5" t="s">
        <v>2549</v>
      </c>
      <c r="B1682" s="11">
        <v>45465</v>
      </c>
      <c r="C1682" s="5" t="s">
        <v>641</v>
      </c>
      <c r="D1682" s="5" t="s">
        <v>188</v>
      </c>
      <c r="E1682" s="5" t="s">
        <v>37</v>
      </c>
      <c r="F1682" s="5">
        <v>5</v>
      </c>
      <c r="G1682" s="19">
        <v>0</v>
      </c>
      <c r="H1682" s="5" t="s">
        <v>454</v>
      </c>
      <c r="I1682" s="10">
        <f>IF(OR(D1682="", F1682=""), "", F1682 * VLOOKUP(D1682, Products!A:E, 5, FALSE) * (1 - G1682))</f>
        <v>7425.25</v>
      </c>
      <c r="J1682" s="10"/>
    </row>
    <row r="1683" spans="1:10" ht="15.75" customHeight="1" x14ac:dyDescent="0.3">
      <c r="A1683" s="5" t="s">
        <v>2550</v>
      </c>
      <c r="B1683" s="11">
        <v>45562</v>
      </c>
      <c r="C1683" s="5" t="s">
        <v>387</v>
      </c>
      <c r="D1683" s="5" t="s">
        <v>57</v>
      </c>
      <c r="E1683" s="5" t="s">
        <v>21</v>
      </c>
      <c r="F1683" s="5">
        <v>1</v>
      </c>
      <c r="G1683" s="19">
        <v>0</v>
      </c>
      <c r="H1683" s="5" t="s">
        <v>454</v>
      </c>
      <c r="I1683" s="10">
        <f>IF(OR(D1683="", F1683=""), "", F1683 * VLOOKUP(D1683, Products!A:E, 5, FALSE) * (1 - G1683))</f>
        <v>1396.22</v>
      </c>
      <c r="J1683" s="10"/>
    </row>
    <row r="1684" spans="1:10" ht="15.75" customHeight="1" x14ac:dyDescent="0.3">
      <c r="A1684" s="5" t="s">
        <v>2551</v>
      </c>
      <c r="B1684" s="11">
        <v>45252</v>
      </c>
      <c r="C1684" s="5" t="s">
        <v>137</v>
      </c>
      <c r="D1684" s="5" t="s">
        <v>243</v>
      </c>
      <c r="E1684" s="5" t="s">
        <v>37</v>
      </c>
      <c r="F1684" s="5">
        <v>2</v>
      </c>
      <c r="G1684" s="19">
        <v>0.1</v>
      </c>
      <c r="H1684" s="5" t="s">
        <v>697</v>
      </c>
      <c r="I1684" s="10">
        <f>IF(OR(D1684="", F1684=""), "", F1684 * VLOOKUP(D1684, Products!A:E, 5, FALSE) * (1 - G1684))</f>
        <v>973.69200000000012</v>
      </c>
      <c r="J1684" s="10"/>
    </row>
    <row r="1685" spans="1:10" ht="15.75" customHeight="1" x14ac:dyDescent="0.3">
      <c r="A1685" s="5" t="s">
        <v>2552</v>
      </c>
      <c r="B1685" s="11">
        <v>45603</v>
      </c>
      <c r="C1685" s="5" t="s">
        <v>789</v>
      </c>
      <c r="D1685" s="5" t="s">
        <v>82</v>
      </c>
      <c r="E1685" s="5" t="s">
        <v>29</v>
      </c>
      <c r="F1685" s="5">
        <v>3</v>
      </c>
      <c r="G1685" s="19">
        <v>0.1</v>
      </c>
      <c r="H1685" s="5" t="s">
        <v>454</v>
      </c>
      <c r="I1685" s="10">
        <f>IF(OR(D1685="", F1685=""), "", F1685 * VLOOKUP(D1685, Products!A:E, 5, FALSE) * (1 - G1685))</f>
        <v>3221.3429999999998</v>
      </c>
      <c r="J1685" s="10"/>
    </row>
    <row r="1686" spans="1:10" ht="15.75" customHeight="1" x14ac:dyDescent="0.3">
      <c r="A1686" s="5" t="s">
        <v>2553</v>
      </c>
      <c r="B1686" s="11">
        <v>45515</v>
      </c>
      <c r="C1686" s="5" t="s">
        <v>346</v>
      </c>
      <c r="D1686" s="5" t="s">
        <v>221</v>
      </c>
      <c r="E1686" s="5" t="s">
        <v>37</v>
      </c>
      <c r="F1686" s="5">
        <v>2</v>
      </c>
      <c r="G1686" s="19">
        <v>0.1</v>
      </c>
      <c r="H1686" s="5" t="s">
        <v>776</v>
      </c>
      <c r="I1686" s="10">
        <f>IF(OR(D1686="", F1686=""), "", F1686 * VLOOKUP(D1686, Products!A:E, 5, FALSE) * (1 - G1686))</f>
        <v>2812.3740000000003</v>
      </c>
      <c r="J1686" s="10"/>
    </row>
    <row r="1687" spans="1:10" ht="15.75" customHeight="1" x14ac:dyDescent="0.3">
      <c r="A1687" s="5" t="s">
        <v>2554</v>
      </c>
      <c r="B1687" s="11">
        <v>45200</v>
      </c>
      <c r="C1687" s="5" t="s">
        <v>872</v>
      </c>
      <c r="D1687" s="5" t="s">
        <v>226</v>
      </c>
      <c r="E1687" s="5" t="s">
        <v>29</v>
      </c>
      <c r="F1687" s="5">
        <v>3</v>
      </c>
      <c r="G1687" s="19">
        <v>0.1</v>
      </c>
      <c r="H1687" s="5" t="s">
        <v>637</v>
      </c>
      <c r="I1687" s="10">
        <f>IF(OR(D1687="", F1687=""), "", F1687 * VLOOKUP(D1687, Products!A:E, 5, FALSE) * (1 - G1687))</f>
        <v>4053.942</v>
      </c>
      <c r="J1687" s="10"/>
    </row>
    <row r="1688" spans="1:10" ht="15.75" customHeight="1" x14ac:dyDescent="0.3">
      <c r="A1688" s="5" t="s">
        <v>2555</v>
      </c>
      <c r="B1688" s="11">
        <v>45463</v>
      </c>
      <c r="C1688" s="5" t="s">
        <v>554</v>
      </c>
      <c r="D1688" s="5" t="s">
        <v>226</v>
      </c>
      <c r="E1688" s="5" t="s">
        <v>37</v>
      </c>
      <c r="F1688" s="5">
        <v>1</v>
      </c>
      <c r="G1688" s="19">
        <v>0.15</v>
      </c>
      <c r="H1688" s="5" t="s">
        <v>697</v>
      </c>
      <c r="I1688" s="10">
        <f>IF(OR(D1688="", F1688=""), "", F1688 * VLOOKUP(D1688, Products!A:E, 5, FALSE) * (1 - G1688))</f>
        <v>1276.241</v>
      </c>
      <c r="J1688" s="10"/>
    </row>
    <row r="1689" spans="1:10" ht="15.75" customHeight="1" x14ac:dyDescent="0.3">
      <c r="A1689" s="5" t="s">
        <v>2556</v>
      </c>
      <c r="B1689" s="11">
        <v>45204</v>
      </c>
      <c r="C1689" s="5" t="s">
        <v>546</v>
      </c>
      <c r="D1689" s="5" t="s">
        <v>175</v>
      </c>
      <c r="E1689" s="5" t="s">
        <v>25</v>
      </c>
      <c r="F1689" s="5">
        <v>2</v>
      </c>
      <c r="G1689" s="19">
        <v>0.05</v>
      </c>
      <c r="H1689" s="5" t="s">
        <v>637</v>
      </c>
      <c r="I1689" s="10">
        <f>IF(OR(D1689="", F1689=""), "", F1689 * VLOOKUP(D1689, Products!A:E, 5, FALSE) * (1 - G1689))</f>
        <v>2417.2370000000001</v>
      </c>
      <c r="J1689" s="10"/>
    </row>
    <row r="1690" spans="1:10" ht="15.75" customHeight="1" x14ac:dyDescent="0.3">
      <c r="A1690" s="5" t="s">
        <v>2557</v>
      </c>
      <c r="B1690" s="11">
        <v>45781</v>
      </c>
      <c r="C1690" s="5" t="s">
        <v>389</v>
      </c>
      <c r="D1690" s="5" t="s">
        <v>70</v>
      </c>
      <c r="E1690" s="5" t="s">
        <v>37</v>
      </c>
      <c r="F1690" s="5">
        <v>5</v>
      </c>
      <c r="G1690" s="19">
        <v>0.15</v>
      </c>
      <c r="H1690" s="5" t="s">
        <v>637</v>
      </c>
      <c r="I1690" s="10">
        <f>IF(OR(D1690="", F1690=""), "", F1690 * VLOOKUP(D1690, Products!A:E, 5, FALSE) * (1 - G1690))</f>
        <v>523.5575</v>
      </c>
      <c r="J1690" s="10"/>
    </row>
    <row r="1691" spans="1:10" ht="15.75" customHeight="1" x14ac:dyDescent="0.3">
      <c r="A1691" s="5" t="s">
        <v>2558</v>
      </c>
      <c r="B1691" s="11">
        <v>45721</v>
      </c>
      <c r="C1691" s="5" t="s">
        <v>495</v>
      </c>
      <c r="D1691" s="5" t="s">
        <v>67</v>
      </c>
      <c r="E1691" s="5" t="s">
        <v>21</v>
      </c>
      <c r="F1691" s="5">
        <v>3</v>
      </c>
      <c r="G1691" s="19">
        <v>0.05</v>
      </c>
      <c r="H1691" s="5" t="s">
        <v>637</v>
      </c>
      <c r="I1691" s="10">
        <f>IF(OR(D1691="", F1691=""), "", F1691 * VLOOKUP(D1691, Products!A:E, 5, FALSE) * (1 - G1691))</f>
        <v>312.87299999999999</v>
      </c>
      <c r="J1691" s="10"/>
    </row>
    <row r="1692" spans="1:10" ht="15.75" customHeight="1" x14ac:dyDescent="0.3">
      <c r="A1692" s="5" t="s">
        <v>2559</v>
      </c>
      <c r="B1692" s="11">
        <v>45408</v>
      </c>
      <c r="C1692" s="5" t="s">
        <v>872</v>
      </c>
      <c r="D1692" s="5" t="s">
        <v>140</v>
      </c>
      <c r="E1692" s="5" t="s">
        <v>33</v>
      </c>
      <c r="F1692" s="5">
        <v>2</v>
      </c>
      <c r="G1692" s="19">
        <v>0.15</v>
      </c>
      <c r="H1692" s="5" t="s">
        <v>637</v>
      </c>
      <c r="I1692" s="10">
        <f>IF(OR(D1692="", F1692=""), "", F1692 * VLOOKUP(D1692, Products!A:E, 5, FALSE) * (1 - G1692))</f>
        <v>43.469000000000001</v>
      </c>
      <c r="J1692" s="10"/>
    </row>
    <row r="1693" spans="1:10" ht="15.75" customHeight="1" x14ac:dyDescent="0.3">
      <c r="A1693" s="5" t="s">
        <v>2560</v>
      </c>
      <c r="B1693" s="11">
        <v>45265</v>
      </c>
      <c r="C1693" s="5" t="s">
        <v>691</v>
      </c>
      <c r="D1693" s="5" t="s">
        <v>272</v>
      </c>
      <c r="E1693" s="5" t="s">
        <v>21</v>
      </c>
      <c r="F1693" s="5">
        <v>3</v>
      </c>
      <c r="G1693" s="19">
        <v>0.05</v>
      </c>
      <c r="H1693" s="5" t="s">
        <v>697</v>
      </c>
      <c r="I1693" s="10">
        <f>IF(OR(D1693="", F1693=""), "", F1693 * VLOOKUP(D1693, Products!A:E, 5, FALSE) * (1 - G1693))</f>
        <v>3321.3044999999997</v>
      </c>
      <c r="J1693" s="10"/>
    </row>
    <row r="1694" spans="1:10" ht="15.75" customHeight="1" x14ac:dyDescent="0.3">
      <c r="A1694" s="5" t="s">
        <v>2561</v>
      </c>
      <c r="B1694" s="11">
        <v>45568</v>
      </c>
      <c r="C1694" s="5" t="s">
        <v>462</v>
      </c>
      <c r="D1694" s="5" t="s">
        <v>249</v>
      </c>
      <c r="E1694" s="5" t="s">
        <v>21</v>
      </c>
      <c r="F1694" s="5">
        <v>4</v>
      </c>
      <c r="G1694" s="19">
        <v>0.1</v>
      </c>
      <c r="H1694" s="5" t="s">
        <v>454</v>
      </c>
      <c r="I1694" s="10">
        <f>IF(OR(D1694="", F1694=""), "", F1694 * VLOOKUP(D1694, Products!A:E, 5, FALSE) * (1 - G1694))</f>
        <v>6284.1959999999999</v>
      </c>
      <c r="J1694" s="10"/>
    </row>
    <row r="1695" spans="1:10" ht="15.75" customHeight="1" x14ac:dyDescent="0.3">
      <c r="A1695" s="5" t="s">
        <v>2562</v>
      </c>
      <c r="B1695" s="11">
        <v>45476</v>
      </c>
      <c r="C1695" s="5" t="s">
        <v>380</v>
      </c>
      <c r="D1695" s="5" t="s">
        <v>212</v>
      </c>
      <c r="E1695" s="5" t="s">
        <v>33</v>
      </c>
      <c r="F1695" s="5">
        <v>4</v>
      </c>
      <c r="G1695" s="19">
        <v>0.15</v>
      </c>
      <c r="H1695" s="5" t="s">
        <v>454</v>
      </c>
      <c r="I1695" s="10">
        <f>IF(OR(D1695="", F1695=""), "", F1695 * VLOOKUP(D1695, Products!A:E, 5, FALSE) * (1 - G1695))</f>
        <v>6116.4979999999996</v>
      </c>
      <c r="J1695" s="10"/>
    </row>
    <row r="1696" spans="1:10" ht="15.75" customHeight="1" x14ac:dyDescent="0.3">
      <c r="A1696" s="5" t="s">
        <v>2563</v>
      </c>
      <c r="B1696" s="11">
        <v>45479</v>
      </c>
      <c r="C1696" s="5" t="s">
        <v>481</v>
      </c>
      <c r="D1696" s="5" t="s">
        <v>74</v>
      </c>
      <c r="E1696" s="5" t="s">
        <v>37</v>
      </c>
      <c r="F1696" s="5">
        <v>1</v>
      </c>
      <c r="G1696" s="19">
        <v>0</v>
      </c>
      <c r="H1696" s="5" t="s">
        <v>697</v>
      </c>
      <c r="I1696" s="10">
        <f>IF(OR(D1696="", F1696=""), "", F1696 * VLOOKUP(D1696, Products!A:E, 5, FALSE) * (1 - G1696))</f>
        <v>1194.1199999999999</v>
      </c>
      <c r="J1696" s="10"/>
    </row>
    <row r="1697" spans="1:10" ht="15.75" customHeight="1" x14ac:dyDescent="0.3">
      <c r="A1697" s="5" t="s">
        <v>2564</v>
      </c>
      <c r="B1697" s="11">
        <v>45574</v>
      </c>
      <c r="C1697" s="5" t="s">
        <v>308</v>
      </c>
      <c r="D1697" s="5" t="s">
        <v>153</v>
      </c>
      <c r="E1697" s="5" t="s">
        <v>29</v>
      </c>
      <c r="F1697" s="5">
        <v>5</v>
      </c>
      <c r="G1697" s="19">
        <v>0.15</v>
      </c>
      <c r="H1697" s="5" t="s">
        <v>637</v>
      </c>
      <c r="I1697" s="10">
        <f>IF(OR(D1697="", F1697=""), "", F1697 * VLOOKUP(D1697, Products!A:E, 5, FALSE) * (1 - G1697))</f>
        <v>6321.4925000000003</v>
      </c>
      <c r="J1697" s="10"/>
    </row>
    <row r="1698" spans="1:10" ht="15.75" customHeight="1" x14ac:dyDescent="0.3">
      <c r="A1698" s="5" t="s">
        <v>2565</v>
      </c>
      <c r="B1698" s="11">
        <v>45360</v>
      </c>
      <c r="C1698" s="5" t="s">
        <v>361</v>
      </c>
      <c r="D1698" s="5" t="s">
        <v>50</v>
      </c>
      <c r="E1698" s="5" t="s">
        <v>33</v>
      </c>
      <c r="F1698" s="5">
        <v>1</v>
      </c>
      <c r="G1698" s="19">
        <v>0.15</v>
      </c>
      <c r="H1698" s="5" t="s">
        <v>697</v>
      </c>
      <c r="I1698" s="10">
        <f>IF(OR(D1698="", F1698=""), "", F1698 * VLOOKUP(D1698, Products!A:E, 5, FALSE) * (1 - G1698))</f>
        <v>286.9855</v>
      </c>
      <c r="J1698" s="10"/>
    </row>
    <row r="1699" spans="1:10" ht="15.75" customHeight="1" x14ac:dyDescent="0.3">
      <c r="A1699" s="5" t="s">
        <v>2566</v>
      </c>
      <c r="B1699" s="11">
        <v>45521</v>
      </c>
      <c r="C1699" s="5" t="s">
        <v>618</v>
      </c>
      <c r="D1699" s="5" t="s">
        <v>226</v>
      </c>
      <c r="E1699" s="5" t="s">
        <v>21</v>
      </c>
      <c r="F1699" s="5">
        <v>3</v>
      </c>
      <c r="G1699" s="19">
        <v>0.15</v>
      </c>
      <c r="H1699" s="5" t="s">
        <v>454</v>
      </c>
      <c r="I1699" s="10">
        <f>IF(OR(D1699="", F1699=""), "", F1699 * VLOOKUP(D1699, Products!A:E, 5, FALSE) * (1 - G1699))</f>
        <v>3828.723</v>
      </c>
      <c r="J1699" s="10"/>
    </row>
    <row r="1700" spans="1:10" ht="15.75" customHeight="1" x14ac:dyDescent="0.3">
      <c r="A1700" s="5" t="s">
        <v>2567</v>
      </c>
      <c r="B1700" s="11">
        <v>45676</v>
      </c>
      <c r="C1700" s="5" t="s">
        <v>215</v>
      </c>
      <c r="D1700" s="5" t="s">
        <v>217</v>
      </c>
      <c r="E1700" s="5" t="s">
        <v>25</v>
      </c>
      <c r="F1700" s="5">
        <v>1</v>
      </c>
      <c r="G1700" s="19">
        <v>0.05</v>
      </c>
      <c r="H1700" s="5" t="s">
        <v>776</v>
      </c>
      <c r="I1700" s="10">
        <f>IF(OR(D1700="", F1700=""), "", F1700 * VLOOKUP(D1700, Products!A:E, 5, FALSE) * (1 - G1700))</f>
        <v>406.64749999999998</v>
      </c>
      <c r="J1700" s="10"/>
    </row>
    <row r="1701" spans="1:10" ht="15.75" customHeight="1" x14ac:dyDescent="0.3">
      <c r="A1701" s="5" t="s">
        <v>2568</v>
      </c>
      <c r="B1701" s="11">
        <v>45421</v>
      </c>
      <c r="C1701" s="5" t="s">
        <v>802</v>
      </c>
      <c r="D1701" s="5" t="s">
        <v>276</v>
      </c>
      <c r="E1701" s="5" t="s">
        <v>37</v>
      </c>
      <c r="F1701" s="5">
        <v>4</v>
      </c>
      <c r="G1701" s="19">
        <v>0</v>
      </c>
      <c r="H1701" s="5" t="s">
        <v>697</v>
      </c>
      <c r="I1701" s="10">
        <f>IF(OR(D1701="", F1701=""), "", F1701 * VLOOKUP(D1701, Products!A:E, 5, FALSE) * (1 - G1701))</f>
        <v>4788.72</v>
      </c>
      <c r="J1701" s="10"/>
    </row>
    <row r="1702" spans="1:10" ht="15.75" customHeight="1" x14ac:dyDescent="0.3">
      <c r="A1702" s="5" t="s">
        <v>2569</v>
      </c>
      <c r="B1702" s="11">
        <v>45741</v>
      </c>
      <c r="C1702" s="5" t="s">
        <v>353</v>
      </c>
      <c r="D1702" s="5" t="s">
        <v>206</v>
      </c>
      <c r="E1702" s="5" t="s">
        <v>21</v>
      </c>
      <c r="F1702" s="5">
        <v>4</v>
      </c>
      <c r="G1702" s="19">
        <v>0.1</v>
      </c>
      <c r="H1702" s="5" t="s">
        <v>697</v>
      </c>
      <c r="I1702" s="10">
        <f>IF(OR(D1702="", F1702=""), "", F1702 * VLOOKUP(D1702, Products!A:E, 5, FALSE) * (1 - G1702))</f>
        <v>1096.9559999999999</v>
      </c>
      <c r="J1702" s="10"/>
    </row>
    <row r="1703" spans="1:10" ht="15.75" customHeight="1" x14ac:dyDescent="0.3">
      <c r="A1703" s="5" t="s">
        <v>2570</v>
      </c>
      <c r="B1703" s="11">
        <v>45435</v>
      </c>
      <c r="C1703" s="5" t="s">
        <v>389</v>
      </c>
      <c r="D1703" s="5" t="s">
        <v>256</v>
      </c>
      <c r="E1703" s="5" t="s">
        <v>29</v>
      </c>
      <c r="F1703" s="5">
        <v>5</v>
      </c>
      <c r="G1703" s="19">
        <v>0</v>
      </c>
      <c r="H1703" s="5" t="s">
        <v>637</v>
      </c>
      <c r="I1703" s="10">
        <f>IF(OR(D1703="", F1703=""), "", F1703 * VLOOKUP(D1703, Products!A:E, 5, FALSE) * (1 - G1703))</f>
        <v>8175.05</v>
      </c>
      <c r="J1703" s="10"/>
    </row>
    <row r="1704" spans="1:10" ht="15.75" customHeight="1" x14ac:dyDescent="0.3">
      <c r="A1704" s="5" t="s">
        <v>2571</v>
      </c>
      <c r="B1704" s="11">
        <v>45679</v>
      </c>
      <c r="C1704" s="5" t="s">
        <v>165</v>
      </c>
      <c r="D1704" s="5" t="s">
        <v>226</v>
      </c>
      <c r="E1704" s="5" t="s">
        <v>29</v>
      </c>
      <c r="F1704" s="5">
        <v>5</v>
      </c>
      <c r="G1704" s="19">
        <v>0</v>
      </c>
      <c r="H1704" s="5" t="s">
        <v>697</v>
      </c>
      <c r="I1704" s="10">
        <f>IF(OR(D1704="", F1704=""), "", F1704 * VLOOKUP(D1704, Products!A:E, 5, FALSE) * (1 - G1704))</f>
        <v>7507.3</v>
      </c>
      <c r="J1704" s="10"/>
    </row>
    <row r="1705" spans="1:10" ht="15.75" customHeight="1" x14ac:dyDescent="0.3">
      <c r="A1705" s="5" t="s">
        <v>2572</v>
      </c>
      <c r="B1705" s="11">
        <v>45235</v>
      </c>
      <c r="C1705" s="5" t="s">
        <v>481</v>
      </c>
      <c r="D1705" s="5" t="s">
        <v>272</v>
      </c>
      <c r="E1705" s="5" t="s">
        <v>33</v>
      </c>
      <c r="F1705" s="5">
        <v>4</v>
      </c>
      <c r="G1705" s="19">
        <v>0.05</v>
      </c>
      <c r="H1705" s="5" t="s">
        <v>776</v>
      </c>
      <c r="I1705" s="10">
        <f>IF(OR(D1705="", F1705=""), "", F1705 * VLOOKUP(D1705, Products!A:E, 5, FALSE) * (1 - G1705))</f>
        <v>4428.405999999999</v>
      </c>
      <c r="J1705" s="10"/>
    </row>
    <row r="1706" spans="1:10" ht="15.75" customHeight="1" x14ac:dyDescent="0.3">
      <c r="A1706" s="5" t="s">
        <v>2573</v>
      </c>
      <c r="B1706" s="11">
        <v>45269</v>
      </c>
      <c r="C1706" s="5" t="s">
        <v>281</v>
      </c>
      <c r="D1706" s="5" t="s">
        <v>206</v>
      </c>
      <c r="E1706" s="5" t="s">
        <v>37</v>
      </c>
      <c r="F1706" s="5">
        <v>4</v>
      </c>
      <c r="G1706" s="19">
        <v>0.15</v>
      </c>
      <c r="H1706" s="5" t="s">
        <v>776</v>
      </c>
      <c r="I1706" s="10">
        <f>IF(OR(D1706="", F1706=""), "", F1706 * VLOOKUP(D1706, Products!A:E, 5, FALSE) * (1 - G1706))</f>
        <v>1036.0139999999999</v>
      </c>
      <c r="J1706" s="10"/>
    </row>
    <row r="1707" spans="1:10" ht="15.75" customHeight="1" x14ac:dyDescent="0.3">
      <c r="A1707" s="5" t="s">
        <v>2574</v>
      </c>
      <c r="B1707" s="11">
        <v>45805</v>
      </c>
      <c r="C1707" s="5" t="s">
        <v>539</v>
      </c>
      <c r="D1707" s="5" t="s">
        <v>43</v>
      </c>
      <c r="E1707" s="5" t="s">
        <v>25</v>
      </c>
      <c r="F1707" s="5">
        <v>2</v>
      </c>
      <c r="G1707" s="19">
        <v>0.05</v>
      </c>
      <c r="H1707" s="5" t="s">
        <v>454</v>
      </c>
      <c r="I1707" s="10">
        <f>IF(OR(D1707="", F1707=""), "", F1707 * VLOOKUP(D1707, Products!A:E, 5, FALSE) * (1 - G1707))</f>
        <v>3180.011</v>
      </c>
      <c r="J1707" s="10"/>
    </row>
    <row r="1708" spans="1:10" ht="15.75" customHeight="1" x14ac:dyDescent="0.3">
      <c r="A1708" s="5" t="s">
        <v>2575</v>
      </c>
      <c r="B1708" s="11">
        <v>45721</v>
      </c>
      <c r="C1708" s="5" t="s">
        <v>579</v>
      </c>
      <c r="D1708" s="5" t="s">
        <v>280</v>
      </c>
      <c r="E1708" s="5" t="s">
        <v>33</v>
      </c>
      <c r="F1708" s="5">
        <v>2</v>
      </c>
      <c r="G1708" s="19">
        <v>0.1</v>
      </c>
      <c r="H1708" s="5" t="s">
        <v>697</v>
      </c>
      <c r="I1708" s="10">
        <f>IF(OR(D1708="", F1708=""), "", F1708 * VLOOKUP(D1708, Products!A:E, 5, FALSE) * (1 - G1708))</f>
        <v>2189.4479999999999</v>
      </c>
      <c r="J1708" s="10"/>
    </row>
    <row r="1709" spans="1:10" ht="15.75" customHeight="1" x14ac:dyDescent="0.3">
      <c r="A1709" s="5" t="s">
        <v>2576</v>
      </c>
      <c r="B1709" s="11">
        <v>45846</v>
      </c>
      <c r="C1709" s="5" t="s">
        <v>641</v>
      </c>
      <c r="D1709" s="5" t="s">
        <v>256</v>
      </c>
      <c r="E1709" s="5" t="s">
        <v>33</v>
      </c>
      <c r="F1709" s="5">
        <v>3</v>
      </c>
      <c r="G1709" s="19">
        <v>0.05</v>
      </c>
      <c r="H1709" s="5" t="s">
        <v>776</v>
      </c>
      <c r="I1709" s="10">
        <f>IF(OR(D1709="", F1709=""), "", F1709 * VLOOKUP(D1709, Products!A:E, 5, FALSE) * (1 - G1709))</f>
        <v>4659.7784999999994</v>
      </c>
      <c r="J1709" s="10"/>
    </row>
    <row r="1710" spans="1:10" ht="15.75" customHeight="1" x14ac:dyDescent="0.3">
      <c r="A1710" s="5" t="s">
        <v>2577</v>
      </c>
      <c r="B1710" s="11">
        <v>45575</v>
      </c>
      <c r="C1710" s="5" t="s">
        <v>296</v>
      </c>
      <c r="D1710" s="5" t="s">
        <v>109</v>
      </c>
      <c r="E1710" s="5" t="s">
        <v>33</v>
      </c>
      <c r="F1710" s="5">
        <v>1</v>
      </c>
      <c r="G1710" s="19">
        <v>0.15</v>
      </c>
      <c r="H1710" s="5" t="s">
        <v>697</v>
      </c>
      <c r="I1710" s="10">
        <f>IF(OR(D1710="", F1710=""), "", F1710 * VLOOKUP(D1710, Products!A:E, 5, FALSE) * (1 - G1710))</f>
        <v>1579.9375</v>
      </c>
      <c r="J1710" s="10"/>
    </row>
    <row r="1711" spans="1:10" ht="15.75" customHeight="1" x14ac:dyDescent="0.3">
      <c r="A1711" s="5" t="s">
        <v>2578</v>
      </c>
      <c r="B1711" s="11">
        <v>45700</v>
      </c>
      <c r="C1711" s="5" t="s">
        <v>665</v>
      </c>
      <c r="D1711" s="5" t="s">
        <v>162</v>
      </c>
      <c r="E1711" s="5" t="s">
        <v>29</v>
      </c>
      <c r="F1711" s="5">
        <v>5</v>
      </c>
      <c r="G1711" s="19">
        <v>0.15</v>
      </c>
      <c r="H1711" s="5" t="s">
        <v>637</v>
      </c>
      <c r="I1711" s="10">
        <f>IF(OR(D1711="", F1711=""), "", F1711 * VLOOKUP(D1711, Products!A:E, 5, FALSE) * (1 - G1711))</f>
        <v>1823.8875</v>
      </c>
      <c r="J1711" s="10"/>
    </row>
    <row r="1712" spans="1:10" ht="15.75" customHeight="1" x14ac:dyDescent="0.3">
      <c r="A1712" s="5" t="s">
        <v>2579</v>
      </c>
      <c r="B1712" s="11">
        <v>45186</v>
      </c>
      <c r="C1712" s="5" t="s">
        <v>608</v>
      </c>
      <c r="D1712" s="5" t="s">
        <v>180</v>
      </c>
      <c r="E1712" s="5" t="s">
        <v>37</v>
      </c>
      <c r="F1712" s="5">
        <v>1</v>
      </c>
      <c r="G1712" s="19">
        <v>0</v>
      </c>
      <c r="H1712" s="5" t="s">
        <v>454</v>
      </c>
      <c r="I1712" s="10">
        <f>IF(OR(D1712="", F1712=""), "", F1712 * VLOOKUP(D1712, Products!A:E, 5, FALSE) * (1 - G1712))</f>
        <v>673.78</v>
      </c>
      <c r="J1712" s="10"/>
    </row>
    <row r="1713" spans="1:10" ht="15.75" customHeight="1" x14ac:dyDescent="0.3">
      <c r="A1713" s="5" t="s">
        <v>2580</v>
      </c>
      <c r="B1713" s="11">
        <v>45611</v>
      </c>
      <c r="C1713" s="5" t="s">
        <v>766</v>
      </c>
      <c r="D1713" s="5" t="s">
        <v>61</v>
      </c>
      <c r="E1713" s="5" t="s">
        <v>33</v>
      </c>
      <c r="F1713" s="5">
        <v>3</v>
      </c>
      <c r="G1713" s="19">
        <v>0.1</v>
      </c>
      <c r="H1713" s="5" t="s">
        <v>637</v>
      </c>
      <c r="I1713" s="10">
        <f>IF(OR(D1713="", F1713=""), "", F1713 * VLOOKUP(D1713, Products!A:E, 5, FALSE) * (1 - G1713))</f>
        <v>858.73500000000013</v>
      </c>
      <c r="J1713" s="10"/>
    </row>
    <row r="1714" spans="1:10" ht="15.75" customHeight="1" x14ac:dyDescent="0.3">
      <c r="A1714" s="5" t="s">
        <v>2581</v>
      </c>
      <c r="B1714" s="11">
        <v>45569</v>
      </c>
      <c r="C1714" s="5" t="s">
        <v>736</v>
      </c>
      <c r="D1714" s="5" t="s">
        <v>175</v>
      </c>
      <c r="E1714" s="5" t="s">
        <v>25</v>
      </c>
      <c r="F1714" s="5">
        <v>4</v>
      </c>
      <c r="G1714" s="19">
        <v>0.05</v>
      </c>
      <c r="H1714" s="5" t="s">
        <v>697</v>
      </c>
      <c r="I1714" s="10">
        <f>IF(OR(D1714="", F1714=""), "", F1714 * VLOOKUP(D1714, Products!A:E, 5, FALSE) * (1 - G1714))</f>
        <v>4834.4740000000002</v>
      </c>
      <c r="J1714" s="10"/>
    </row>
    <row r="1715" spans="1:10" ht="15.75" customHeight="1" x14ac:dyDescent="0.3">
      <c r="A1715" s="5" t="s">
        <v>2582</v>
      </c>
      <c r="B1715" s="11">
        <v>45210</v>
      </c>
      <c r="C1715" s="5" t="s">
        <v>744</v>
      </c>
      <c r="D1715" s="5" t="s">
        <v>67</v>
      </c>
      <c r="E1715" s="5" t="s">
        <v>33</v>
      </c>
      <c r="F1715" s="5">
        <v>4</v>
      </c>
      <c r="G1715" s="19">
        <v>0.15</v>
      </c>
      <c r="H1715" s="5" t="s">
        <v>697</v>
      </c>
      <c r="I1715" s="10">
        <f>IF(OR(D1715="", F1715=""), "", F1715 * VLOOKUP(D1715, Products!A:E, 5, FALSE) * (1 - G1715))</f>
        <v>373.25200000000001</v>
      </c>
      <c r="J1715" s="10"/>
    </row>
    <row r="1716" spans="1:10" ht="15.75" customHeight="1" x14ac:dyDescent="0.3">
      <c r="A1716" s="5" t="s">
        <v>2583</v>
      </c>
      <c r="B1716" s="11">
        <v>45878</v>
      </c>
      <c r="C1716" s="5" t="s">
        <v>808</v>
      </c>
      <c r="D1716" s="5" t="s">
        <v>147</v>
      </c>
      <c r="E1716" s="5" t="s">
        <v>37</v>
      </c>
      <c r="F1716" s="5">
        <v>1</v>
      </c>
      <c r="G1716" s="19">
        <v>0.15</v>
      </c>
      <c r="H1716" s="5" t="s">
        <v>776</v>
      </c>
      <c r="I1716" s="10">
        <f>IF(OR(D1716="", F1716=""), "", F1716 * VLOOKUP(D1716, Products!A:E, 5, FALSE) * (1 - G1716))</f>
        <v>1596.6994999999999</v>
      </c>
      <c r="J1716" s="10"/>
    </row>
    <row r="1717" spans="1:10" ht="15.75" customHeight="1" x14ac:dyDescent="0.3">
      <c r="A1717" s="5" t="s">
        <v>2584</v>
      </c>
      <c r="B1717" s="11">
        <v>45477</v>
      </c>
      <c r="C1717" s="5" t="s">
        <v>397</v>
      </c>
      <c r="D1717" s="5" t="s">
        <v>70</v>
      </c>
      <c r="E1717" s="5" t="s">
        <v>25</v>
      </c>
      <c r="F1717" s="5">
        <v>3</v>
      </c>
      <c r="G1717" s="19">
        <v>0.1</v>
      </c>
      <c r="H1717" s="5" t="s">
        <v>776</v>
      </c>
      <c r="I1717" s="10">
        <f>IF(OR(D1717="", F1717=""), "", F1717 * VLOOKUP(D1717, Products!A:E, 5, FALSE) * (1 - G1717))</f>
        <v>332.613</v>
      </c>
      <c r="J1717" s="10"/>
    </row>
    <row r="1718" spans="1:10" ht="15.75" customHeight="1" x14ac:dyDescent="0.3">
      <c r="A1718" s="5" t="s">
        <v>2585</v>
      </c>
      <c r="B1718" s="11">
        <v>45310</v>
      </c>
      <c r="C1718" s="5" t="s">
        <v>808</v>
      </c>
      <c r="D1718" s="5" t="s">
        <v>50</v>
      </c>
      <c r="E1718" s="5" t="s">
        <v>25</v>
      </c>
      <c r="F1718" s="5">
        <v>4</v>
      </c>
      <c r="G1718" s="19">
        <v>0.15</v>
      </c>
      <c r="H1718" s="5" t="s">
        <v>776</v>
      </c>
      <c r="I1718" s="10">
        <f>IF(OR(D1718="", F1718=""), "", F1718 * VLOOKUP(D1718, Products!A:E, 5, FALSE) * (1 - G1718))</f>
        <v>1147.942</v>
      </c>
      <c r="J1718" s="10"/>
    </row>
    <row r="1719" spans="1:10" ht="15.75" customHeight="1" x14ac:dyDescent="0.3">
      <c r="A1719" s="5" t="s">
        <v>2586</v>
      </c>
      <c r="B1719" s="11">
        <v>45189</v>
      </c>
      <c r="C1719" s="5" t="s">
        <v>522</v>
      </c>
      <c r="D1719" s="5" t="s">
        <v>291</v>
      </c>
      <c r="E1719" s="5" t="s">
        <v>21</v>
      </c>
      <c r="F1719" s="5">
        <v>1</v>
      </c>
      <c r="G1719" s="19">
        <v>0.1</v>
      </c>
      <c r="H1719" s="5" t="s">
        <v>637</v>
      </c>
      <c r="I1719" s="10">
        <f>IF(OR(D1719="", F1719=""), "", F1719 * VLOOKUP(D1719, Products!A:E, 5, FALSE) * (1 - G1719))</f>
        <v>940.17600000000016</v>
      </c>
      <c r="J1719" s="10"/>
    </row>
    <row r="1720" spans="1:10" ht="15.75" customHeight="1" x14ac:dyDescent="0.3">
      <c r="A1720" s="5" t="s">
        <v>2587</v>
      </c>
      <c r="B1720" s="11">
        <v>45555</v>
      </c>
      <c r="C1720" s="5" t="s">
        <v>597</v>
      </c>
      <c r="D1720" s="5" t="s">
        <v>140</v>
      </c>
      <c r="E1720" s="5" t="s">
        <v>25</v>
      </c>
      <c r="F1720" s="5">
        <v>3</v>
      </c>
      <c r="G1720" s="19">
        <v>0.05</v>
      </c>
      <c r="H1720" s="5" t="s">
        <v>776</v>
      </c>
      <c r="I1720" s="10">
        <f>IF(OR(D1720="", F1720=""), "", F1720 * VLOOKUP(D1720, Products!A:E, 5, FALSE) * (1 - G1720))</f>
        <v>72.874499999999998</v>
      </c>
      <c r="J1720" s="10"/>
    </row>
    <row r="1721" spans="1:10" ht="15.75" customHeight="1" x14ac:dyDescent="0.3">
      <c r="A1721" s="5" t="s">
        <v>2588</v>
      </c>
      <c r="B1721" s="11">
        <v>45893</v>
      </c>
      <c r="C1721" s="5" t="s">
        <v>608</v>
      </c>
      <c r="D1721" s="5" t="s">
        <v>232</v>
      </c>
      <c r="E1721" s="5" t="s">
        <v>21</v>
      </c>
      <c r="F1721" s="5">
        <v>1</v>
      </c>
      <c r="G1721" s="19">
        <v>0.15</v>
      </c>
      <c r="H1721" s="5" t="s">
        <v>637</v>
      </c>
      <c r="I1721" s="10">
        <f>IF(OR(D1721="", F1721=""), "", F1721 * VLOOKUP(D1721, Products!A:E, 5, FALSE) * (1 - G1721))</f>
        <v>1659.7525000000001</v>
      </c>
      <c r="J1721" s="10"/>
    </row>
    <row r="1722" spans="1:10" ht="15.75" customHeight="1" x14ac:dyDescent="0.3">
      <c r="A1722" s="5" t="s">
        <v>2589</v>
      </c>
      <c r="B1722" s="11">
        <v>45337</v>
      </c>
      <c r="C1722" s="5" t="s">
        <v>495</v>
      </c>
      <c r="D1722" s="5" t="s">
        <v>262</v>
      </c>
      <c r="E1722" s="5" t="s">
        <v>33</v>
      </c>
      <c r="F1722" s="5">
        <v>2</v>
      </c>
      <c r="G1722" s="19">
        <v>0.15</v>
      </c>
      <c r="H1722" s="5" t="s">
        <v>776</v>
      </c>
      <c r="I1722" s="10">
        <f>IF(OR(D1722="", F1722=""), "", F1722 * VLOOKUP(D1722, Products!A:E, 5, FALSE) * (1 - G1722))</f>
        <v>771.154</v>
      </c>
      <c r="J1722" s="10"/>
    </row>
    <row r="1723" spans="1:10" ht="15.75" customHeight="1" x14ac:dyDescent="0.3">
      <c r="A1723" s="5" t="s">
        <v>2590</v>
      </c>
      <c r="B1723" s="11">
        <v>45562</v>
      </c>
      <c r="C1723" s="5" t="s">
        <v>81</v>
      </c>
      <c r="D1723" s="5" t="s">
        <v>269</v>
      </c>
      <c r="E1723" s="5" t="s">
        <v>29</v>
      </c>
      <c r="F1723" s="5">
        <v>1</v>
      </c>
      <c r="G1723" s="19">
        <v>0.05</v>
      </c>
      <c r="H1723" s="5" t="s">
        <v>454</v>
      </c>
      <c r="I1723" s="10">
        <f>IF(OR(D1723="", F1723=""), "", F1723 * VLOOKUP(D1723, Products!A:E, 5, FALSE) * (1 - G1723))</f>
        <v>1785.1259999999997</v>
      </c>
      <c r="J1723" s="10"/>
    </row>
    <row r="1724" spans="1:10" ht="15.75" customHeight="1" x14ac:dyDescent="0.3">
      <c r="A1724" s="5" t="s">
        <v>2591</v>
      </c>
      <c r="B1724" s="11">
        <v>45438</v>
      </c>
      <c r="C1724" s="5" t="s">
        <v>786</v>
      </c>
      <c r="D1724" s="5" t="s">
        <v>162</v>
      </c>
      <c r="E1724" s="5" t="s">
        <v>33</v>
      </c>
      <c r="F1724" s="5">
        <v>4</v>
      </c>
      <c r="G1724" s="19">
        <v>0.15</v>
      </c>
      <c r="H1724" s="5" t="s">
        <v>776</v>
      </c>
      <c r="I1724" s="10">
        <f>IF(OR(D1724="", F1724=""), "", F1724 * VLOOKUP(D1724, Products!A:E, 5, FALSE) * (1 - G1724))</f>
        <v>1459.11</v>
      </c>
      <c r="J1724" s="10"/>
    </row>
    <row r="1725" spans="1:10" ht="15.75" customHeight="1" x14ac:dyDescent="0.3">
      <c r="A1725" s="5" t="s">
        <v>2592</v>
      </c>
      <c r="B1725" s="11">
        <v>45879</v>
      </c>
      <c r="C1725" s="5" t="s">
        <v>203</v>
      </c>
      <c r="D1725" s="5" t="s">
        <v>89</v>
      </c>
      <c r="E1725" s="5" t="s">
        <v>37</v>
      </c>
      <c r="F1725" s="5">
        <v>2</v>
      </c>
      <c r="G1725" s="19">
        <v>0.15</v>
      </c>
      <c r="H1725" s="5" t="s">
        <v>697</v>
      </c>
      <c r="I1725" s="10">
        <f>IF(OR(D1725="", F1725=""), "", F1725 * VLOOKUP(D1725, Products!A:E, 5, FALSE) * (1 - G1725))</f>
        <v>1929.1599999999999</v>
      </c>
      <c r="J1725" s="10"/>
    </row>
    <row r="1726" spans="1:10" ht="15.75" customHeight="1" x14ac:dyDescent="0.3">
      <c r="A1726" s="5" t="s">
        <v>2593</v>
      </c>
      <c r="B1726" s="11">
        <v>45469</v>
      </c>
      <c r="C1726" s="5" t="s">
        <v>615</v>
      </c>
      <c r="D1726" s="5" t="s">
        <v>103</v>
      </c>
      <c r="E1726" s="5" t="s">
        <v>29</v>
      </c>
      <c r="F1726" s="5">
        <v>2</v>
      </c>
      <c r="G1726" s="19">
        <v>0.05</v>
      </c>
      <c r="H1726" s="5" t="s">
        <v>776</v>
      </c>
      <c r="I1726" s="10">
        <f>IF(OR(D1726="", F1726=""), "", F1726 * VLOOKUP(D1726, Products!A:E, 5, FALSE) * (1 - G1726))</f>
        <v>513.8549999999999</v>
      </c>
      <c r="J1726" s="10"/>
    </row>
    <row r="1727" spans="1:10" ht="15.75" customHeight="1" x14ac:dyDescent="0.3">
      <c r="A1727" s="5" t="s">
        <v>2594</v>
      </c>
      <c r="B1727" s="11">
        <v>45182</v>
      </c>
      <c r="C1727" s="5" t="s">
        <v>733</v>
      </c>
      <c r="D1727" s="5" t="s">
        <v>249</v>
      </c>
      <c r="E1727" s="5" t="s">
        <v>21</v>
      </c>
      <c r="F1727" s="5">
        <v>2</v>
      </c>
      <c r="G1727" s="19">
        <v>0.1</v>
      </c>
      <c r="H1727" s="5" t="s">
        <v>776</v>
      </c>
      <c r="I1727" s="10">
        <f>IF(OR(D1727="", F1727=""), "", F1727 * VLOOKUP(D1727, Products!A:E, 5, FALSE) * (1 - G1727))</f>
        <v>3142.098</v>
      </c>
      <c r="J1727" s="10"/>
    </row>
    <row r="1728" spans="1:10" ht="15.75" customHeight="1" x14ac:dyDescent="0.3">
      <c r="A1728" s="5" t="s">
        <v>2595</v>
      </c>
      <c r="B1728" s="11">
        <v>45795</v>
      </c>
      <c r="C1728" s="5" t="s">
        <v>671</v>
      </c>
      <c r="D1728" s="5" t="s">
        <v>226</v>
      </c>
      <c r="E1728" s="5" t="s">
        <v>33</v>
      </c>
      <c r="F1728" s="5">
        <v>2</v>
      </c>
      <c r="G1728" s="19">
        <v>0</v>
      </c>
      <c r="H1728" s="5" t="s">
        <v>776</v>
      </c>
      <c r="I1728" s="10">
        <f>IF(OR(D1728="", F1728=""), "", F1728 * VLOOKUP(D1728, Products!A:E, 5, FALSE) * (1 - G1728))</f>
        <v>3002.92</v>
      </c>
      <c r="J1728" s="10"/>
    </row>
    <row r="1729" spans="1:10" ht="15.75" customHeight="1" x14ac:dyDescent="0.3">
      <c r="A1729" s="5" t="s">
        <v>2596</v>
      </c>
      <c r="B1729" s="11">
        <v>45431</v>
      </c>
      <c r="C1729" s="5" t="s">
        <v>662</v>
      </c>
      <c r="D1729" s="5" t="s">
        <v>119</v>
      </c>
      <c r="E1729" s="5" t="s">
        <v>29</v>
      </c>
      <c r="F1729" s="5">
        <v>2</v>
      </c>
      <c r="G1729" s="19">
        <v>0.15</v>
      </c>
      <c r="H1729" s="5" t="s">
        <v>454</v>
      </c>
      <c r="I1729" s="10">
        <f>IF(OR(D1729="", F1729=""), "", F1729 * VLOOKUP(D1729, Products!A:E, 5, FALSE) * (1 - G1729))</f>
        <v>1835.8130000000001</v>
      </c>
      <c r="J1729" s="10"/>
    </row>
    <row r="1730" spans="1:10" ht="15.75" customHeight="1" x14ac:dyDescent="0.3">
      <c r="A1730" s="5" t="s">
        <v>2597</v>
      </c>
      <c r="B1730" s="11">
        <v>45893</v>
      </c>
      <c r="C1730" s="5" t="s">
        <v>334</v>
      </c>
      <c r="D1730" s="5" t="s">
        <v>212</v>
      </c>
      <c r="E1730" s="5" t="s">
        <v>25</v>
      </c>
      <c r="F1730" s="5">
        <v>1</v>
      </c>
      <c r="G1730" s="19">
        <v>0.05</v>
      </c>
      <c r="H1730" s="5" t="s">
        <v>637</v>
      </c>
      <c r="I1730" s="10">
        <f>IF(OR(D1730="", F1730=""), "", F1730 * VLOOKUP(D1730, Products!A:E, 5, FALSE) * (1 - G1730))</f>
        <v>1709.0214999999998</v>
      </c>
      <c r="J1730" s="10"/>
    </row>
    <row r="1731" spans="1:10" ht="15.75" customHeight="1" x14ac:dyDescent="0.3">
      <c r="A1731" s="5" t="s">
        <v>2598</v>
      </c>
      <c r="B1731" s="11">
        <v>45891</v>
      </c>
      <c r="C1731" s="5" t="s">
        <v>808</v>
      </c>
      <c r="D1731" s="5" t="s">
        <v>47</v>
      </c>
      <c r="E1731" s="5" t="s">
        <v>21</v>
      </c>
      <c r="F1731" s="5">
        <v>5</v>
      </c>
      <c r="G1731" s="19">
        <v>0</v>
      </c>
      <c r="H1731" s="5" t="s">
        <v>637</v>
      </c>
      <c r="I1731" s="10">
        <f>IF(OR(D1731="", F1731=""), "", F1731 * VLOOKUP(D1731, Products!A:E, 5, FALSE) * (1 - G1731))</f>
        <v>4093.8</v>
      </c>
      <c r="J1731" s="10"/>
    </row>
    <row r="1732" spans="1:10" ht="15.75" customHeight="1" x14ac:dyDescent="0.3">
      <c r="A1732" s="5" t="s">
        <v>2599</v>
      </c>
      <c r="B1732" s="11">
        <v>45816</v>
      </c>
      <c r="C1732" s="5" t="s">
        <v>802</v>
      </c>
      <c r="D1732" s="5" t="s">
        <v>77</v>
      </c>
      <c r="E1732" s="5" t="s">
        <v>29</v>
      </c>
      <c r="F1732" s="5">
        <v>4</v>
      </c>
      <c r="G1732" s="19">
        <v>0</v>
      </c>
      <c r="H1732" s="5" t="s">
        <v>776</v>
      </c>
      <c r="I1732" s="10">
        <f>IF(OR(D1732="", F1732=""), "", F1732 * VLOOKUP(D1732, Products!A:E, 5, FALSE) * (1 - G1732))</f>
        <v>994.28</v>
      </c>
      <c r="J1732" s="10"/>
    </row>
    <row r="1733" spans="1:10" ht="15.75" customHeight="1" x14ac:dyDescent="0.3">
      <c r="A1733" s="5" t="s">
        <v>2600</v>
      </c>
      <c r="B1733" s="11">
        <v>45654</v>
      </c>
      <c r="C1733" s="5" t="s">
        <v>155</v>
      </c>
      <c r="D1733" s="5" t="s">
        <v>217</v>
      </c>
      <c r="E1733" s="5" t="s">
        <v>33</v>
      </c>
      <c r="F1733" s="5">
        <v>2</v>
      </c>
      <c r="G1733" s="19">
        <v>0.05</v>
      </c>
      <c r="H1733" s="5" t="s">
        <v>454</v>
      </c>
      <c r="I1733" s="10">
        <f>IF(OR(D1733="", F1733=""), "", F1733 * VLOOKUP(D1733, Products!A:E, 5, FALSE) * (1 - G1733))</f>
        <v>813.29499999999996</v>
      </c>
      <c r="J1733" s="10"/>
    </row>
    <row r="1734" spans="1:10" ht="15.75" customHeight="1" x14ac:dyDescent="0.3">
      <c r="A1734" s="5" t="s">
        <v>2601</v>
      </c>
      <c r="B1734" s="11">
        <v>45550</v>
      </c>
      <c r="C1734" s="5" t="s">
        <v>397</v>
      </c>
      <c r="D1734" s="5" t="s">
        <v>272</v>
      </c>
      <c r="E1734" s="5" t="s">
        <v>25</v>
      </c>
      <c r="F1734" s="5">
        <v>1</v>
      </c>
      <c r="G1734" s="19">
        <v>0</v>
      </c>
      <c r="H1734" s="5" t="s">
        <v>637</v>
      </c>
      <c r="I1734" s="10">
        <f>IF(OR(D1734="", F1734=""), "", F1734 * VLOOKUP(D1734, Products!A:E, 5, FALSE) * (1 - G1734))</f>
        <v>1165.3699999999999</v>
      </c>
      <c r="J1734" s="10"/>
    </row>
    <row r="1735" spans="1:10" ht="15.75" customHeight="1" x14ac:dyDescent="0.3">
      <c r="A1735" s="5" t="s">
        <v>2602</v>
      </c>
      <c r="B1735" s="11">
        <v>45384</v>
      </c>
      <c r="C1735" s="5" t="s">
        <v>121</v>
      </c>
      <c r="D1735" s="5" t="s">
        <v>206</v>
      </c>
      <c r="E1735" s="5" t="s">
        <v>21</v>
      </c>
      <c r="F1735" s="5">
        <v>3</v>
      </c>
      <c r="G1735" s="19">
        <v>0.05</v>
      </c>
      <c r="H1735" s="5" t="s">
        <v>776</v>
      </c>
      <c r="I1735" s="10">
        <f>IF(OR(D1735="", F1735=""), "", F1735 * VLOOKUP(D1735, Products!A:E, 5, FALSE) * (1 - G1735))</f>
        <v>868.42349999999988</v>
      </c>
      <c r="J1735" s="10"/>
    </row>
    <row r="1736" spans="1:10" ht="15.75" customHeight="1" x14ac:dyDescent="0.3">
      <c r="A1736" s="5" t="s">
        <v>2603</v>
      </c>
      <c r="B1736" s="11">
        <v>45880</v>
      </c>
      <c r="C1736" s="5" t="s">
        <v>376</v>
      </c>
      <c r="D1736" s="5" t="s">
        <v>119</v>
      </c>
      <c r="E1736" s="5" t="s">
        <v>21</v>
      </c>
      <c r="F1736" s="5">
        <v>2</v>
      </c>
      <c r="G1736" s="19">
        <v>0.05</v>
      </c>
      <c r="H1736" s="5" t="s">
        <v>776</v>
      </c>
      <c r="I1736" s="10">
        <f>IF(OR(D1736="", F1736=""), "", F1736 * VLOOKUP(D1736, Products!A:E, 5, FALSE) * (1 - G1736))</f>
        <v>2051.7910000000002</v>
      </c>
      <c r="J1736" s="10"/>
    </row>
    <row r="1737" spans="1:10" ht="15.75" customHeight="1" x14ac:dyDescent="0.3">
      <c r="A1737" s="5" t="s">
        <v>2604</v>
      </c>
      <c r="B1737" s="11">
        <v>45509</v>
      </c>
      <c r="C1737" s="5" t="s">
        <v>563</v>
      </c>
      <c r="D1737" s="5" t="s">
        <v>291</v>
      </c>
      <c r="E1737" s="5" t="s">
        <v>37</v>
      </c>
      <c r="F1737" s="5">
        <v>1</v>
      </c>
      <c r="G1737" s="19">
        <v>0.1</v>
      </c>
      <c r="H1737" s="5" t="s">
        <v>454</v>
      </c>
      <c r="I1737" s="10">
        <f>IF(OR(D1737="", F1737=""), "", F1737 * VLOOKUP(D1737, Products!A:E, 5, FALSE) * (1 - G1737))</f>
        <v>940.17600000000016</v>
      </c>
      <c r="J1737" s="10"/>
    </row>
    <row r="1738" spans="1:10" ht="15.75" customHeight="1" x14ac:dyDescent="0.3">
      <c r="A1738" s="5" t="s">
        <v>2605</v>
      </c>
      <c r="B1738" s="11">
        <v>45502</v>
      </c>
      <c r="C1738" s="5" t="s">
        <v>695</v>
      </c>
      <c r="D1738" s="5" t="s">
        <v>61</v>
      </c>
      <c r="E1738" s="5" t="s">
        <v>25</v>
      </c>
      <c r="F1738" s="5">
        <v>5</v>
      </c>
      <c r="G1738" s="19">
        <v>0.05</v>
      </c>
      <c r="H1738" s="5" t="s">
        <v>637</v>
      </c>
      <c r="I1738" s="10">
        <f>IF(OR(D1738="", F1738=""), "", F1738 * VLOOKUP(D1738, Products!A:E, 5, FALSE) * (1 - G1738))</f>
        <v>1510.7375</v>
      </c>
      <c r="J1738" s="10"/>
    </row>
    <row r="1739" spans="1:10" ht="15.75" customHeight="1" x14ac:dyDescent="0.3">
      <c r="A1739" s="5" t="s">
        <v>2606</v>
      </c>
      <c r="B1739" s="11">
        <v>45866</v>
      </c>
      <c r="C1739" s="5" t="s">
        <v>575</v>
      </c>
      <c r="D1739" s="5" t="s">
        <v>74</v>
      </c>
      <c r="E1739" s="5" t="s">
        <v>21</v>
      </c>
      <c r="F1739" s="5">
        <v>2</v>
      </c>
      <c r="G1739" s="19">
        <v>0.05</v>
      </c>
      <c r="H1739" s="5" t="s">
        <v>776</v>
      </c>
      <c r="I1739" s="10">
        <f>IF(OR(D1739="", F1739=""), "", F1739 * VLOOKUP(D1739, Products!A:E, 5, FALSE) * (1 - G1739))</f>
        <v>2268.8279999999995</v>
      </c>
      <c r="J1739" s="10"/>
    </row>
    <row r="1740" spans="1:10" ht="15.75" customHeight="1" x14ac:dyDescent="0.3">
      <c r="A1740" s="5" t="s">
        <v>2607</v>
      </c>
      <c r="B1740" s="11">
        <v>45190</v>
      </c>
      <c r="C1740" s="5" t="s">
        <v>511</v>
      </c>
      <c r="D1740" s="5" t="s">
        <v>212</v>
      </c>
      <c r="E1740" s="5" t="s">
        <v>29</v>
      </c>
      <c r="F1740" s="5">
        <v>2</v>
      </c>
      <c r="G1740" s="19">
        <v>0</v>
      </c>
      <c r="H1740" s="5" t="s">
        <v>637</v>
      </c>
      <c r="I1740" s="10">
        <f>IF(OR(D1740="", F1740=""), "", F1740 * VLOOKUP(D1740, Products!A:E, 5, FALSE) * (1 - G1740))</f>
        <v>3597.94</v>
      </c>
      <c r="J1740" s="10"/>
    </row>
    <row r="1741" spans="1:10" ht="15.75" customHeight="1" x14ac:dyDescent="0.3">
      <c r="A1741" s="5" t="s">
        <v>2608</v>
      </c>
      <c r="B1741" s="11">
        <v>45908</v>
      </c>
      <c r="C1741" s="5" t="s">
        <v>774</v>
      </c>
      <c r="D1741" s="5" t="s">
        <v>291</v>
      </c>
      <c r="E1741" s="5" t="s">
        <v>29</v>
      </c>
      <c r="F1741" s="5">
        <v>1</v>
      </c>
      <c r="G1741" s="19">
        <v>0.15</v>
      </c>
      <c r="H1741" s="5" t="s">
        <v>697</v>
      </c>
      <c r="I1741" s="10">
        <f>IF(OR(D1741="", F1741=""), "", F1741 * VLOOKUP(D1741, Products!A:E, 5, FALSE) * (1 - G1741))</f>
        <v>887.94400000000007</v>
      </c>
      <c r="J1741" s="10"/>
    </row>
    <row r="1742" spans="1:10" ht="15.75" customHeight="1" x14ac:dyDescent="0.3">
      <c r="A1742" s="5" t="s">
        <v>2609</v>
      </c>
      <c r="B1742" s="11">
        <v>45472</v>
      </c>
      <c r="C1742" s="5" t="s">
        <v>604</v>
      </c>
      <c r="D1742" s="5" t="s">
        <v>89</v>
      </c>
      <c r="E1742" s="5" t="s">
        <v>25</v>
      </c>
      <c r="F1742" s="5">
        <v>1</v>
      </c>
      <c r="G1742" s="19">
        <v>0.1</v>
      </c>
      <c r="H1742" s="5" t="s">
        <v>454</v>
      </c>
      <c r="I1742" s="10">
        <f>IF(OR(D1742="", F1742=""), "", F1742 * VLOOKUP(D1742, Products!A:E, 5, FALSE) * (1 - G1742))</f>
        <v>1021.3199999999999</v>
      </c>
      <c r="J1742" s="10"/>
    </row>
    <row r="1743" spans="1:10" ht="15.75" customHeight="1" x14ac:dyDescent="0.3">
      <c r="A1743" s="5" t="s">
        <v>2610</v>
      </c>
      <c r="B1743" s="11">
        <v>45406</v>
      </c>
      <c r="C1743" s="5" t="s">
        <v>149</v>
      </c>
      <c r="D1743" s="5" t="s">
        <v>54</v>
      </c>
      <c r="E1743" s="5" t="s">
        <v>21</v>
      </c>
      <c r="F1743" s="5">
        <v>2</v>
      </c>
      <c r="G1743" s="19">
        <v>0.15</v>
      </c>
      <c r="H1743" s="5" t="s">
        <v>454</v>
      </c>
      <c r="I1743" s="10">
        <f>IF(OR(D1743="", F1743=""), "", F1743 * VLOOKUP(D1743, Products!A:E, 5, FALSE) * (1 - G1743))</f>
        <v>3151.4090000000001</v>
      </c>
      <c r="J1743" s="10"/>
    </row>
    <row r="1744" spans="1:10" ht="15.75" customHeight="1" x14ac:dyDescent="0.3">
      <c r="A1744" s="5" t="s">
        <v>2611</v>
      </c>
      <c r="B1744" s="11">
        <v>45481</v>
      </c>
      <c r="C1744" s="5" t="s">
        <v>869</v>
      </c>
      <c r="D1744" s="5" t="s">
        <v>153</v>
      </c>
      <c r="E1744" s="5" t="s">
        <v>37</v>
      </c>
      <c r="F1744" s="5">
        <v>4</v>
      </c>
      <c r="G1744" s="19">
        <v>0</v>
      </c>
      <c r="H1744" s="5" t="s">
        <v>697</v>
      </c>
      <c r="I1744" s="10">
        <f>IF(OR(D1744="", F1744=""), "", F1744 * VLOOKUP(D1744, Products!A:E, 5, FALSE) * (1 - G1744))</f>
        <v>5949.64</v>
      </c>
      <c r="J1744" s="10"/>
    </row>
    <row r="1745" spans="1:10" ht="15.75" customHeight="1" x14ac:dyDescent="0.3">
      <c r="A1745" s="5" t="s">
        <v>2612</v>
      </c>
      <c r="B1745" s="11">
        <v>45523</v>
      </c>
      <c r="C1745" s="5" t="s">
        <v>409</v>
      </c>
      <c r="D1745" s="5" t="s">
        <v>122</v>
      </c>
      <c r="E1745" s="5" t="s">
        <v>21</v>
      </c>
      <c r="F1745" s="5">
        <v>5</v>
      </c>
      <c r="G1745" s="19">
        <v>0.1</v>
      </c>
      <c r="H1745" s="5" t="s">
        <v>637</v>
      </c>
      <c r="I1745" s="10">
        <f>IF(OR(D1745="", F1745=""), "", F1745 * VLOOKUP(D1745, Products!A:E, 5, FALSE) * (1 - G1745))</f>
        <v>7933.14</v>
      </c>
      <c r="J1745" s="10"/>
    </row>
    <row r="1746" spans="1:10" ht="15.75" customHeight="1" x14ac:dyDescent="0.3">
      <c r="A1746" s="5" t="s">
        <v>2613</v>
      </c>
      <c r="B1746" s="11">
        <v>45342</v>
      </c>
      <c r="C1746" s="5" t="s">
        <v>662</v>
      </c>
      <c r="D1746" s="5" t="s">
        <v>249</v>
      </c>
      <c r="E1746" s="5" t="s">
        <v>25</v>
      </c>
      <c r="F1746" s="5">
        <v>3</v>
      </c>
      <c r="G1746" s="19">
        <v>0.05</v>
      </c>
      <c r="H1746" s="5" t="s">
        <v>454</v>
      </c>
      <c r="I1746" s="10">
        <f>IF(OR(D1746="", F1746=""), "", F1746 * VLOOKUP(D1746, Products!A:E, 5, FALSE) * (1 - G1746))</f>
        <v>4974.9884999999995</v>
      </c>
      <c r="J1746" s="10"/>
    </row>
    <row r="1747" spans="1:10" ht="15.75" customHeight="1" x14ac:dyDescent="0.3">
      <c r="A1747" s="5" t="s">
        <v>2614</v>
      </c>
      <c r="B1747" s="11">
        <v>45738</v>
      </c>
      <c r="C1747" s="5" t="s">
        <v>602</v>
      </c>
      <c r="D1747" s="5" t="s">
        <v>43</v>
      </c>
      <c r="E1747" s="5" t="s">
        <v>33</v>
      </c>
      <c r="F1747" s="5">
        <v>1</v>
      </c>
      <c r="G1747" s="19">
        <v>0.1</v>
      </c>
      <c r="H1747" s="5" t="s">
        <v>776</v>
      </c>
      <c r="I1747" s="10">
        <f>IF(OR(D1747="", F1747=""), "", F1747 * VLOOKUP(D1747, Products!A:E, 5, FALSE) * (1 - G1747))</f>
        <v>1506.3210000000001</v>
      </c>
      <c r="J1747" s="10"/>
    </row>
    <row r="1748" spans="1:10" ht="15.75" customHeight="1" x14ac:dyDescent="0.3">
      <c r="A1748" s="5" t="s">
        <v>2615</v>
      </c>
      <c r="B1748" s="11">
        <v>45413</v>
      </c>
      <c r="C1748" s="5" t="s">
        <v>733</v>
      </c>
      <c r="D1748" s="5" t="s">
        <v>65</v>
      </c>
      <c r="E1748" s="5" t="s">
        <v>37</v>
      </c>
      <c r="F1748" s="5">
        <v>4</v>
      </c>
      <c r="G1748" s="19">
        <v>0.15</v>
      </c>
      <c r="H1748" s="5" t="s">
        <v>697</v>
      </c>
      <c r="I1748" s="10">
        <f>IF(OR(D1748="", F1748=""), "", F1748 * VLOOKUP(D1748, Products!A:E, 5, FALSE) * (1 - G1748))</f>
        <v>5012.0079999999998</v>
      </c>
      <c r="J1748" s="10"/>
    </row>
    <row r="1749" spans="1:10" ht="15.75" customHeight="1" x14ac:dyDescent="0.3">
      <c r="A1749" s="5" t="s">
        <v>2616</v>
      </c>
      <c r="B1749" s="11">
        <v>45467</v>
      </c>
      <c r="C1749" s="5" t="s">
        <v>641</v>
      </c>
      <c r="D1749" s="5" t="s">
        <v>276</v>
      </c>
      <c r="E1749" s="5" t="s">
        <v>37</v>
      </c>
      <c r="F1749" s="5">
        <v>1</v>
      </c>
      <c r="G1749" s="19">
        <v>0.05</v>
      </c>
      <c r="H1749" s="5" t="s">
        <v>776</v>
      </c>
      <c r="I1749" s="10">
        <f>IF(OR(D1749="", F1749=""), "", F1749 * VLOOKUP(D1749, Products!A:E, 5, FALSE) * (1 - G1749))</f>
        <v>1137.3209999999999</v>
      </c>
      <c r="J1749" s="10"/>
    </row>
    <row r="1750" spans="1:10" ht="15.75" customHeight="1" x14ac:dyDescent="0.3">
      <c r="A1750" s="5" t="s">
        <v>2617</v>
      </c>
      <c r="B1750" s="11">
        <v>45748</v>
      </c>
      <c r="C1750" s="5" t="s">
        <v>740</v>
      </c>
      <c r="D1750" s="5" t="s">
        <v>95</v>
      </c>
      <c r="E1750" s="5" t="s">
        <v>21</v>
      </c>
      <c r="F1750" s="5">
        <v>3</v>
      </c>
      <c r="G1750" s="19">
        <v>0.05</v>
      </c>
      <c r="H1750" s="5" t="s">
        <v>637</v>
      </c>
      <c r="I1750" s="10">
        <f>IF(OR(D1750="", F1750=""), "", F1750 * VLOOKUP(D1750, Products!A:E, 5, FALSE) * (1 - G1750))</f>
        <v>3826.8374999999996</v>
      </c>
      <c r="J1750" s="10"/>
    </row>
    <row r="1751" spans="1:10" ht="15.75" customHeight="1" x14ac:dyDescent="0.3">
      <c r="A1751" s="5" t="s">
        <v>2618</v>
      </c>
      <c r="B1751" s="11">
        <v>45468</v>
      </c>
      <c r="C1751" s="5" t="s">
        <v>859</v>
      </c>
      <c r="D1751" s="5" t="s">
        <v>291</v>
      </c>
      <c r="E1751" s="5" t="s">
        <v>25</v>
      </c>
      <c r="F1751" s="5">
        <v>5</v>
      </c>
      <c r="G1751" s="19">
        <v>0</v>
      </c>
      <c r="H1751" s="5" t="s">
        <v>776</v>
      </c>
      <c r="I1751" s="10">
        <f>IF(OR(D1751="", F1751=""), "", F1751 * VLOOKUP(D1751, Products!A:E, 5, FALSE) * (1 - G1751))</f>
        <v>5223.2000000000007</v>
      </c>
      <c r="J1751" s="10"/>
    </row>
    <row r="1752" spans="1:10" ht="15.75" customHeight="1" x14ac:dyDescent="0.3">
      <c r="A1752" s="5" t="s">
        <v>2619</v>
      </c>
      <c r="B1752" s="11">
        <v>45803</v>
      </c>
      <c r="C1752" s="5" t="s">
        <v>292</v>
      </c>
      <c r="D1752" s="5" t="s">
        <v>89</v>
      </c>
      <c r="E1752" s="5" t="s">
        <v>29</v>
      </c>
      <c r="F1752" s="5">
        <v>4</v>
      </c>
      <c r="G1752" s="19">
        <v>0.1</v>
      </c>
      <c r="H1752" s="5" t="s">
        <v>697</v>
      </c>
      <c r="I1752" s="10">
        <f>IF(OR(D1752="", F1752=""), "", F1752 * VLOOKUP(D1752, Products!A:E, 5, FALSE) * (1 - G1752))</f>
        <v>4085.2799999999997</v>
      </c>
      <c r="J1752" s="10"/>
    </row>
    <row r="1753" spans="1:10" ht="15.75" customHeight="1" x14ac:dyDescent="0.3">
      <c r="A1753" s="5" t="s">
        <v>2620</v>
      </c>
      <c r="B1753" s="11">
        <v>45567</v>
      </c>
      <c r="C1753" s="5" t="s">
        <v>304</v>
      </c>
      <c r="D1753" s="5" t="s">
        <v>74</v>
      </c>
      <c r="E1753" s="5" t="s">
        <v>33</v>
      </c>
      <c r="F1753" s="5">
        <v>2</v>
      </c>
      <c r="G1753" s="19">
        <v>0</v>
      </c>
      <c r="H1753" s="5" t="s">
        <v>697</v>
      </c>
      <c r="I1753" s="10">
        <f>IF(OR(D1753="", F1753=""), "", F1753 * VLOOKUP(D1753, Products!A:E, 5, FALSE) * (1 - G1753))</f>
        <v>2388.2399999999998</v>
      </c>
      <c r="J1753" s="10"/>
    </row>
    <row r="1754" spans="1:10" ht="15.75" customHeight="1" x14ac:dyDescent="0.3">
      <c r="A1754" s="5" t="s">
        <v>2621</v>
      </c>
      <c r="B1754" s="11">
        <v>45637</v>
      </c>
      <c r="C1754" s="5" t="s">
        <v>833</v>
      </c>
      <c r="D1754" s="5" t="s">
        <v>175</v>
      </c>
      <c r="E1754" s="5" t="s">
        <v>37</v>
      </c>
      <c r="F1754" s="5">
        <v>4</v>
      </c>
      <c r="G1754" s="19">
        <v>0.1</v>
      </c>
      <c r="H1754" s="5" t="s">
        <v>697</v>
      </c>
      <c r="I1754" s="10">
        <f>IF(OR(D1754="", F1754=""), "", F1754 * VLOOKUP(D1754, Products!A:E, 5, FALSE) * (1 - G1754))</f>
        <v>4580.0280000000002</v>
      </c>
      <c r="J1754" s="10"/>
    </row>
    <row r="1755" spans="1:10" ht="15.75" customHeight="1" x14ac:dyDescent="0.3">
      <c r="A1755" s="5" t="s">
        <v>2622</v>
      </c>
      <c r="B1755" s="11">
        <v>45556</v>
      </c>
      <c r="C1755" s="5" t="s">
        <v>437</v>
      </c>
      <c r="D1755" s="5" t="s">
        <v>285</v>
      </c>
      <c r="E1755" s="5" t="s">
        <v>29</v>
      </c>
      <c r="F1755" s="5">
        <v>1</v>
      </c>
      <c r="G1755" s="19">
        <v>0.15</v>
      </c>
      <c r="H1755" s="5" t="s">
        <v>454</v>
      </c>
      <c r="I1755" s="10">
        <f>IF(OR(D1755="", F1755=""), "", F1755 * VLOOKUP(D1755, Products!A:E, 5, FALSE) * (1 - G1755))</f>
        <v>330.02099999999996</v>
      </c>
      <c r="J1755" s="10"/>
    </row>
    <row r="1756" spans="1:10" ht="15.75" customHeight="1" x14ac:dyDescent="0.3">
      <c r="A1756" s="5" t="s">
        <v>2623</v>
      </c>
      <c r="B1756" s="11">
        <v>45209</v>
      </c>
      <c r="C1756" s="5" t="s">
        <v>799</v>
      </c>
      <c r="D1756" s="5" t="s">
        <v>115</v>
      </c>
      <c r="E1756" s="5" t="s">
        <v>21</v>
      </c>
      <c r="F1756" s="5">
        <v>2</v>
      </c>
      <c r="G1756" s="19">
        <v>0.1</v>
      </c>
      <c r="H1756" s="5" t="s">
        <v>454</v>
      </c>
      <c r="I1756" s="10">
        <f>IF(OR(D1756="", F1756=""), "", F1756 * VLOOKUP(D1756, Products!A:E, 5, FALSE) * (1 - G1756))</f>
        <v>2242.998</v>
      </c>
      <c r="J1756" s="10"/>
    </row>
    <row r="1757" spans="1:10" ht="15.75" customHeight="1" x14ac:dyDescent="0.3">
      <c r="A1757" s="5" t="s">
        <v>2624</v>
      </c>
      <c r="B1757" s="11">
        <v>45569</v>
      </c>
      <c r="C1757" s="5" t="s">
        <v>401</v>
      </c>
      <c r="D1757" s="5" t="s">
        <v>280</v>
      </c>
      <c r="E1757" s="5" t="s">
        <v>25</v>
      </c>
      <c r="F1757" s="5">
        <v>5</v>
      </c>
      <c r="G1757" s="19">
        <v>0</v>
      </c>
      <c r="H1757" s="5" t="s">
        <v>697</v>
      </c>
      <c r="I1757" s="10">
        <f>IF(OR(D1757="", F1757=""), "", F1757 * VLOOKUP(D1757, Products!A:E, 5, FALSE) * (1 - G1757))</f>
        <v>6081.7999999999993</v>
      </c>
      <c r="J1757" s="10"/>
    </row>
    <row r="1758" spans="1:10" ht="15.75" customHeight="1" x14ac:dyDescent="0.3">
      <c r="A1758" s="5" t="s">
        <v>2625</v>
      </c>
      <c r="B1758" s="11">
        <v>45650</v>
      </c>
      <c r="C1758" s="5" t="s">
        <v>800</v>
      </c>
      <c r="D1758" s="5" t="s">
        <v>50</v>
      </c>
      <c r="E1758" s="5" t="s">
        <v>25</v>
      </c>
      <c r="F1758" s="5">
        <v>5</v>
      </c>
      <c r="G1758" s="19">
        <v>0.15</v>
      </c>
      <c r="H1758" s="5" t="s">
        <v>454</v>
      </c>
      <c r="I1758" s="10">
        <f>IF(OR(D1758="", F1758=""), "", F1758 * VLOOKUP(D1758, Products!A:E, 5, FALSE) * (1 - G1758))</f>
        <v>1434.9275</v>
      </c>
      <c r="J1758" s="10"/>
    </row>
    <row r="1759" spans="1:10" ht="15.75" customHeight="1" x14ac:dyDescent="0.3">
      <c r="A1759" s="5" t="s">
        <v>2626</v>
      </c>
      <c r="B1759" s="11">
        <v>45739</v>
      </c>
      <c r="C1759" s="5" t="s">
        <v>338</v>
      </c>
      <c r="D1759" s="5" t="s">
        <v>276</v>
      </c>
      <c r="E1759" s="5" t="s">
        <v>33</v>
      </c>
      <c r="F1759" s="5">
        <v>1</v>
      </c>
      <c r="G1759" s="19">
        <v>0</v>
      </c>
      <c r="H1759" s="5" t="s">
        <v>637</v>
      </c>
      <c r="I1759" s="10">
        <f>IF(OR(D1759="", F1759=""), "", F1759 * VLOOKUP(D1759, Products!A:E, 5, FALSE) * (1 - G1759))</f>
        <v>1197.18</v>
      </c>
      <c r="J1759" s="10"/>
    </row>
    <row r="1760" spans="1:10" ht="15.75" customHeight="1" x14ac:dyDescent="0.3">
      <c r="A1760" s="5" t="s">
        <v>2627</v>
      </c>
      <c r="B1760" s="11">
        <v>45230</v>
      </c>
      <c r="C1760" s="5" t="s">
        <v>181</v>
      </c>
      <c r="D1760" s="5" t="s">
        <v>168</v>
      </c>
      <c r="E1760" s="5" t="s">
        <v>25</v>
      </c>
      <c r="F1760" s="5">
        <v>1</v>
      </c>
      <c r="G1760" s="19">
        <v>0.05</v>
      </c>
      <c r="H1760" s="5" t="s">
        <v>697</v>
      </c>
      <c r="I1760" s="10">
        <f>IF(OR(D1760="", F1760=""), "", F1760 * VLOOKUP(D1760, Products!A:E, 5, FALSE) * (1 - G1760))</f>
        <v>964.97199999999998</v>
      </c>
      <c r="J1760" s="10"/>
    </row>
    <row r="1761" spans="1:10" ht="15.75" customHeight="1" x14ac:dyDescent="0.3">
      <c r="A1761" s="5" t="s">
        <v>2628</v>
      </c>
      <c r="B1761" s="11">
        <v>45476</v>
      </c>
      <c r="C1761" s="5" t="s">
        <v>274</v>
      </c>
      <c r="D1761" s="5" t="s">
        <v>43</v>
      </c>
      <c r="E1761" s="5" t="s">
        <v>21</v>
      </c>
      <c r="F1761" s="5">
        <v>2</v>
      </c>
      <c r="G1761" s="19">
        <v>0.05</v>
      </c>
      <c r="H1761" s="5" t="s">
        <v>697</v>
      </c>
      <c r="I1761" s="10">
        <f>IF(OR(D1761="", F1761=""), "", F1761 * VLOOKUP(D1761, Products!A:E, 5, FALSE) * (1 - G1761))</f>
        <v>3180.011</v>
      </c>
      <c r="J1761" s="10"/>
    </row>
    <row r="1762" spans="1:10" ht="15.75" customHeight="1" x14ac:dyDescent="0.3">
      <c r="A1762" s="5" t="s">
        <v>2629</v>
      </c>
      <c r="B1762" s="11">
        <v>45777</v>
      </c>
      <c r="C1762" s="5" t="s">
        <v>645</v>
      </c>
      <c r="D1762" s="5" t="s">
        <v>77</v>
      </c>
      <c r="E1762" s="5" t="s">
        <v>21</v>
      </c>
      <c r="F1762" s="5">
        <v>4</v>
      </c>
      <c r="G1762" s="19">
        <v>0.15</v>
      </c>
      <c r="H1762" s="5" t="s">
        <v>454</v>
      </c>
      <c r="I1762" s="10">
        <f>IF(OR(D1762="", F1762=""), "", F1762 * VLOOKUP(D1762, Products!A:E, 5, FALSE) * (1 - G1762))</f>
        <v>845.13799999999992</v>
      </c>
      <c r="J1762" s="10"/>
    </row>
    <row r="1763" spans="1:10" ht="15.75" customHeight="1" x14ac:dyDescent="0.3">
      <c r="A1763" s="5" t="s">
        <v>2630</v>
      </c>
      <c r="B1763" s="11">
        <v>45556</v>
      </c>
      <c r="C1763" s="5" t="s">
        <v>322</v>
      </c>
      <c r="D1763" s="5" t="s">
        <v>89</v>
      </c>
      <c r="E1763" s="5" t="s">
        <v>25</v>
      </c>
      <c r="F1763" s="5">
        <v>2</v>
      </c>
      <c r="G1763" s="19">
        <v>0.15</v>
      </c>
      <c r="H1763" s="5" t="s">
        <v>697</v>
      </c>
      <c r="I1763" s="10">
        <f>IF(OR(D1763="", F1763=""), "", F1763 * VLOOKUP(D1763, Products!A:E, 5, FALSE) * (1 - G1763))</f>
        <v>1929.1599999999999</v>
      </c>
      <c r="J1763" s="10"/>
    </row>
    <row r="1764" spans="1:10" ht="15.75" customHeight="1" x14ac:dyDescent="0.3">
      <c r="A1764" s="5" t="s">
        <v>2631</v>
      </c>
      <c r="B1764" s="11">
        <v>45592</v>
      </c>
      <c r="C1764" s="5" t="s">
        <v>733</v>
      </c>
      <c r="D1764" s="5" t="s">
        <v>175</v>
      </c>
      <c r="E1764" s="5" t="s">
        <v>25</v>
      </c>
      <c r="F1764" s="5">
        <v>3</v>
      </c>
      <c r="G1764" s="19">
        <v>0.1</v>
      </c>
      <c r="H1764" s="5" t="s">
        <v>637</v>
      </c>
      <c r="I1764" s="10">
        <f>IF(OR(D1764="", F1764=""), "", F1764 * VLOOKUP(D1764, Products!A:E, 5, FALSE) * (1 - G1764))</f>
        <v>3435.0210000000002</v>
      </c>
      <c r="J1764" s="10"/>
    </row>
    <row r="1765" spans="1:10" ht="15.75" customHeight="1" x14ac:dyDescent="0.3">
      <c r="A1765" s="5" t="s">
        <v>2632</v>
      </c>
      <c r="B1765" s="11">
        <v>45804</v>
      </c>
      <c r="C1765" s="5" t="s">
        <v>755</v>
      </c>
      <c r="D1765" s="5" t="s">
        <v>67</v>
      </c>
      <c r="E1765" s="5" t="s">
        <v>25</v>
      </c>
      <c r="F1765" s="5">
        <v>3</v>
      </c>
      <c r="G1765" s="19">
        <v>0.15</v>
      </c>
      <c r="H1765" s="5" t="s">
        <v>776</v>
      </c>
      <c r="I1765" s="10">
        <f>IF(OR(D1765="", F1765=""), "", F1765 * VLOOKUP(D1765, Products!A:E, 5, FALSE) * (1 - G1765))</f>
        <v>279.93900000000002</v>
      </c>
      <c r="J1765" s="10"/>
    </row>
    <row r="1766" spans="1:10" ht="15.75" customHeight="1" x14ac:dyDescent="0.3">
      <c r="A1766" s="5" t="s">
        <v>2633</v>
      </c>
      <c r="B1766" s="11">
        <v>45790</v>
      </c>
      <c r="C1766" s="5" t="s">
        <v>515</v>
      </c>
      <c r="D1766" s="5" t="s">
        <v>212</v>
      </c>
      <c r="E1766" s="5" t="s">
        <v>33</v>
      </c>
      <c r="F1766" s="5">
        <v>4</v>
      </c>
      <c r="G1766" s="19">
        <v>0.05</v>
      </c>
      <c r="H1766" s="5" t="s">
        <v>637</v>
      </c>
      <c r="I1766" s="10">
        <f>IF(OR(D1766="", F1766=""), "", F1766 * VLOOKUP(D1766, Products!A:E, 5, FALSE) * (1 - G1766))</f>
        <v>6836.0859999999993</v>
      </c>
      <c r="J1766" s="10"/>
    </row>
    <row r="1767" spans="1:10" ht="15.75" customHeight="1" x14ac:dyDescent="0.3">
      <c r="A1767" s="5" t="s">
        <v>2634</v>
      </c>
      <c r="B1767" s="11">
        <v>45369</v>
      </c>
      <c r="C1767" s="5" t="s">
        <v>586</v>
      </c>
      <c r="D1767" s="5" t="s">
        <v>95</v>
      </c>
      <c r="E1767" s="5" t="s">
        <v>33</v>
      </c>
      <c r="F1767" s="5">
        <v>5</v>
      </c>
      <c r="G1767" s="19">
        <v>0.15</v>
      </c>
      <c r="H1767" s="5" t="s">
        <v>697</v>
      </c>
      <c r="I1767" s="10">
        <f>IF(OR(D1767="", F1767=""), "", F1767 * VLOOKUP(D1767, Products!A:E, 5, FALSE) * (1 - G1767))</f>
        <v>5706.6875</v>
      </c>
      <c r="J1767" s="10"/>
    </row>
    <row r="1768" spans="1:10" ht="15.75" customHeight="1" x14ac:dyDescent="0.3">
      <c r="A1768" s="5" t="s">
        <v>2635</v>
      </c>
      <c r="B1768" s="11">
        <v>45419</v>
      </c>
      <c r="C1768" s="5" t="s">
        <v>624</v>
      </c>
      <c r="D1768" s="5" t="s">
        <v>217</v>
      </c>
      <c r="E1768" s="5" t="s">
        <v>21</v>
      </c>
      <c r="F1768" s="5">
        <v>4</v>
      </c>
      <c r="G1768" s="19">
        <v>0.15</v>
      </c>
      <c r="H1768" s="5" t="s">
        <v>776</v>
      </c>
      <c r="I1768" s="10">
        <f>IF(OR(D1768="", F1768=""), "", F1768 * VLOOKUP(D1768, Products!A:E, 5, FALSE) * (1 - G1768))</f>
        <v>1455.37</v>
      </c>
      <c r="J1768" s="10"/>
    </row>
    <row r="1769" spans="1:10" ht="15.75" customHeight="1" x14ac:dyDescent="0.3">
      <c r="A1769" s="5" t="s">
        <v>2636</v>
      </c>
      <c r="B1769" s="11">
        <v>45212</v>
      </c>
      <c r="C1769" s="5" t="s">
        <v>862</v>
      </c>
      <c r="D1769" s="5" t="s">
        <v>122</v>
      </c>
      <c r="E1769" s="5" t="s">
        <v>29</v>
      </c>
      <c r="F1769" s="5">
        <v>5</v>
      </c>
      <c r="G1769" s="19">
        <v>0.05</v>
      </c>
      <c r="H1769" s="5" t="s">
        <v>697</v>
      </c>
      <c r="I1769" s="10">
        <f>IF(OR(D1769="", F1769=""), "", F1769 * VLOOKUP(D1769, Products!A:E, 5, FALSE) * (1 - G1769))</f>
        <v>8373.8700000000008</v>
      </c>
      <c r="J1769" s="10"/>
    </row>
    <row r="1770" spans="1:10" ht="15.75" customHeight="1" x14ac:dyDescent="0.3">
      <c r="A1770" s="5" t="s">
        <v>2637</v>
      </c>
      <c r="B1770" s="11">
        <v>45909</v>
      </c>
      <c r="C1770" s="5" t="s">
        <v>412</v>
      </c>
      <c r="D1770" s="5" t="s">
        <v>140</v>
      </c>
      <c r="E1770" s="5" t="s">
        <v>33</v>
      </c>
      <c r="F1770" s="5">
        <v>4</v>
      </c>
      <c r="G1770" s="19">
        <v>0.1</v>
      </c>
      <c r="H1770" s="5" t="s">
        <v>637</v>
      </c>
      <c r="I1770" s="10">
        <f>IF(OR(D1770="", F1770=""), "", F1770 * VLOOKUP(D1770, Products!A:E, 5, FALSE) * (1 - G1770))</f>
        <v>92.052000000000007</v>
      </c>
      <c r="J1770" s="10"/>
    </row>
    <row r="1771" spans="1:10" ht="15.75" customHeight="1" x14ac:dyDescent="0.3">
      <c r="A1771" s="5" t="s">
        <v>2638</v>
      </c>
      <c r="B1771" s="11">
        <v>45826</v>
      </c>
      <c r="C1771" s="5" t="s">
        <v>440</v>
      </c>
      <c r="D1771" s="5" t="s">
        <v>180</v>
      </c>
      <c r="E1771" s="5" t="s">
        <v>33</v>
      </c>
      <c r="F1771" s="5">
        <v>5</v>
      </c>
      <c r="G1771" s="19">
        <v>0.15</v>
      </c>
      <c r="H1771" s="5" t="s">
        <v>776</v>
      </c>
      <c r="I1771" s="10">
        <f>IF(OR(D1771="", F1771=""), "", F1771 * VLOOKUP(D1771, Products!A:E, 5, FALSE) * (1 - G1771))</f>
        <v>2863.5649999999996</v>
      </c>
      <c r="J1771" s="10"/>
    </row>
    <row r="1772" spans="1:10" ht="15.75" customHeight="1" x14ac:dyDescent="0.3">
      <c r="A1772" s="5" t="s">
        <v>2639</v>
      </c>
      <c r="B1772" s="11">
        <v>45304</v>
      </c>
      <c r="C1772" s="5" t="s">
        <v>488</v>
      </c>
      <c r="D1772" s="5" t="s">
        <v>109</v>
      </c>
      <c r="E1772" s="5" t="s">
        <v>25</v>
      </c>
      <c r="F1772" s="5">
        <v>4</v>
      </c>
      <c r="G1772" s="19">
        <v>0.05</v>
      </c>
      <c r="H1772" s="5" t="s">
        <v>697</v>
      </c>
      <c r="I1772" s="10">
        <f>IF(OR(D1772="", F1772=""), "", F1772 * VLOOKUP(D1772, Products!A:E, 5, FALSE) * (1 - G1772))</f>
        <v>7063.25</v>
      </c>
      <c r="J1772" s="10"/>
    </row>
    <row r="1773" spans="1:10" ht="15.75" customHeight="1" x14ac:dyDescent="0.3">
      <c r="A1773" s="5" t="s">
        <v>2640</v>
      </c>
      <c r="B1773" s="11">
        <v>45209</v>
      </c>
      <c r="C1773" s="5" t="s">
        <v>346</v>
      </c>
      <c r="D1773" s="5" t="s">
        <v>221</v>
      </c>
      <c r="E1773" s="5" t="s">
        <v>21</v>
      </c>
      <c r="F1773" s="5">
        <v>1</v>
      </c>
      <c r="G1773" s="19">
        <v>0.1</v>
      </c>
      <c r="H1773" s="5" t="s">
        <v>637</v>
      </c>
      <c r="I1773" s="10">
        <f>IF(OR(D1773="", F1773=""), "", F1773 * VLOOKUP(D1773, Products!A:E, 5, FALSE) * (1 - G1773))</f>
        <v>1406.1870000000001</v>
      </c>
      <c r="J1773" s="10"/>
    </row>
    <row r="1774" spans="1:10" ht="15.75" customHeight="1" x14ac:dyDescent="0.3">
      <c r="A1774" s="5" t="s">
        <v>2641</v>
      </c>
      <c r="B1774" s="11">
        <v>45886</v>
      </c>
      <c r="C1774" s="5" t="s">
        <v>554</v>
      </c>
      <c r="D1774" s="5" t="s">
        <v>265</v>
      </c>
      <c r="E1774" s="5" t="s">
        <v>33</v>
      </c>
      <c r="F1774" s="5">
        <v>4</v>
      </c>
      <c r="G1774" s="19">
        <v>0.1</v>
      </c>
      <c r="H1774" s="5" t="s">
        <v>637</v>
      </c>
      <c r="I1774" s="10">
        <f>IF(OR(D1774="", F1774=""), "", F1774 * VLOOKUP(D1774, Products!A:E, 5, FALSE) * (1 - G1774))</f>
        <v>2031.9119999999998</v>
      </c>
      <c r="J1774" s="10"/>
    </row>
    <row r="1775" spans="1:10" ht="15.75" customHeight="1" x14ac:dyDescent="0.3">
      <c r="A1775" s="5" t="s">
        <v>2642</v>
      </c>
      <c r="B1775" s="11">
        <v>45534</v>
      </c>
      <c r="C1775" s="5" t="s">
        <v>631</v>
      </c>
      <c r="D1775" s="5" t="s">
        <v>188</v>
      </c>
      <c r="E1775" s="5" t="s">
        <v>29</v>
      </c>
      <c r="F1775" s="5">
        <v>5</v>
      </c>
      <c r="G1775" s="19">
        <v>0</v>
      </c>
      <c r="H1775" s="5" t="s">
        <v>637</v>
      </c>
      <c r="I1775" s="10">
        <f>IF(OR(D1775="", F1775=""), "", F1775 * VLOOKUP(D1775, Products!A:E, 5, FALSE) * (1 - G1775))</f>
        <v>7425.25</v>
      </c>
      <c r="J1775" s="10"/>
    </row>
    <row r="1776" spans="1:10" ht="15.75" customHeight="1" x14ac:dyDescent="0.3">
      <c r="A1776" s="5" t="s">
        <v>2643</v>
      </c>
      <c r="B1776" s="11">
        <v>45725</v>
      </c>
      <c r="C1776" s="5" t="s">
        <v>137</v>
      </c>
      <c r="D1776" s="5" t="s">
        <v>193</v>
      </c>
      <c r="E1776" s="5" t="s">
        <v>21</v>
      </c>
      <c r="F1776" s="5">
        <v>4</v>
      </c>
      <c r="G1776" s="19">
        <v>0.05</v>
      </c>
      <c r="H1776" s="5" t="s">
        <v>697</v>
      </c>
      <c r="I1776" s="10">
        <f>IF(OR(D1776="", F1776=""), "", F1776 * VLOOKUP(D1776, Products!A:E, 5, FALSE) * (1 - G1776))</f>
        <v>111.11199999999999</v>
      </c>
      <c r="J1776" s="10"/>
    </row>
    <row r="1777" spans="1:10" ht="15.75" customHeight="1" x14ac:dyDescent="0.3">
      <c r="A1777" s="5" t="s">
        <v>2644</v>
      </c>
      <c r="B1777" s="11">
        <v>45769</v>
      </c>
      <c r="C1777" s="5" t="s">
        <v>865</v>
      </c>
      <c r="D1777" s="5" t="s">
        <v>168</v>
      </c>
      <c r="E1777" s="5" t="s">
        <v>33</v>
      </c>
      <c r="F1777" s="5">
        <v>3</v>
      </c>
      <c r="G1777" s="19">
        <v>0.1</v>
      </c>
      <c r="H1777" s="5" t="s">
        <v>637</v>
      </c>
      <c r="I1777" s="10">
        <f>IF(OR(D1777="", F1777=""), "", F1777 * VLOOKUP(D1777, Products!A:E, 5, FALSE) * (1 - G1777))</f>
        <v>2742.5519999999997</v>
      </c>
      <c r="J1777" s="10"/>
    </row>
    <row r="1778" spans="1:10" ht="15.75" customHeight="1" x14ac:dyDescent="0.3">
      <c r="A1778" s="5" t="s">
        <v>2645</v>
      </c>
      <c r="B1778" s="11">
        <v>45782</v>
      </c>
      <c r="C1778" s="5" t="s">
        <v>755</v>
      </c>
      <c r="D1778" s="5" t="s">
        <v>74</v>
      </c>
      <c r="E1778" s="5" t="s">
        <v>29</v>
      </c>
      <c r="F1778" s="5">
        <v>1</v>
      </c>
      <c r="G1778" s="19">
        <v>0.15</v>
      </c>
      <c r="H1778" s="5" t="s">
        <v>637</v>
      </c>
      <c r="I1778" s="10">
        <f>IF(OR(D1778="", F1778=""), "", F1778 * VLOOKUP(D1778, Products!A:E, 5, FALSE) * (1 - G1778))</f>
        <v>1015.0019999999998</v>
      </c>
      <c r="J1778" s="10"/>
    </row>
    <row r="1779" spans="1:10" ht="15.75" customHeight="1" x14ac:dyDescent="0.3">
      <c r="A1779" s="5" t="s">
        <v>2646</v>
      </c>
      <c r="B1779" s="11">
        <v>45873</v>
      </c>
      <c r="C1779" s="5" t="s">
        <v>842</v>
      </c>
      <c r="D1779" s="5" t="s">
        <v>212</v>
      </c>
      <c r="E1779" s="5" t="s">
        <v>25</v>
      </c>
      <c r="F1779" s="5">
        <v>2</v>
      </c>
      <c r="G1779" s="19">
        <v>0.15</v>
      </c>
      <c r="H1779" s="5" t="s">
        <v>776</v>
      </c>
      <c r="I1779" s="10">
        <f>IF(OR(D1779="", F1779=""), "", F1779 * VLOOKUP(D1779, Products!A:E, 5, FALSE) * (1 - G1779))</f>
        <v>3058.2489999999998</v>
      </c>
      <c r="J1779" s="10"/>
    </row>
    <row r="1780" spans="1:10" ht="15.75" customHeight="1" x14ac:dyDescent="0.3">
      <c r="A1780" s="5" t="s">
        <v>2647</v>
      </c>
      <c r="B1780" s="11">
        <v>45402</v>
      </c>
      <c r="C1780" s="5" t="s">
        <v>515</v>
      </c>
      <c r="D1780" s="5" t="s">
        <v>140</v>
      </c>
      <c r="E1780" s="5" t="s">
        <v>21</v>
      </c>
      <c r="F1780" s="5">
        <v>2</v>
      </c>
      <c r="G1780" s="19">
        <v>0.1</v>
      </c>
      <c r="H1780" s="5" t="s">
        <v>637</v>
      </c>
      <c r="I1780" s="10">
        <f>IF(OR(D1780="", F1780=""), "", F1780 * VLOOKUP(D1780, Products!A:E, 5, FALSE) * (1 - G1780))</f>
        <v>46.026000000000003</v>
      </c>
      <c r="J1780" s="10"/>
    </row>
    <row r="1781" spans="1:10" ht="15.75" customHeight="1" x14ac:dyDescent="0.3">
      <c r="A1781" s="5" t="s">
        <v>2648</v>
      </c>
      <c r="B1781" s="11">
        <v>45690</v>
      </c>
      <c r="C1781" s="5" t="s">
        <v>795</v>
      </c>
      <c r="D1781" s="5" t="s">
        <v>237</v>
      </c>
      <c r="E1781" s="5" t="s">
        <v>25</v>
      </c>
      <c r="F1781" s="5">
        <v>3</v>
      </c>
      <c r="G1781" s="19">
        <v>0.05</v>
      </c>
      <c r="H1781" s="5" t="s">
        <v>697</v>
      </c>
      <c r="I1781" s="10">
        <f>IF(OR(D1781="", F1781=""), "", F1781 * VLOOKUP(D1781, Products!A:E, 5, FALSE) * (1 - G1781))</f>
        <v>1045.7504999999999</v>
      </c>
      <c r="J1781" s="10"/>
    </row>
    <row r="1782" spans="1:10" ht="15.75" customHeight="1" x14ac:dyDescent="0.3">
      <c r="A1782" s="5" t="s">
        <v>2649</v>
      </c>
      <c r="B1782" s="11">
        <v>45860</v>
      </c>
      <c r="C1782" s="5" t="s">
        <v>91</v>
      </c>
      <c r="D1782" s="5" t="s">
        <v>221</v>
      </c>
      <c r="E1782" s="5" t="s">
        <v>21</v>
      </c>
      <c r="F1782" s="5">
        <v>1</v>
      </c>
      <c r="G1782" s="19">
        <v>0.15</v>
      </c>
      <c r="H1782" s="5" t="s">
        <v>637</v>
      </c>
      <c r="I1782" s="10">
        <f>IF(OR(D1782="", F1782=""), "", F1782 * VLOOKUP(D1782, Products!A:E, 5, FALSE) * (1 - G1782))</f>
        <v>1328.0654999999999</v>
      </c>
      <c r="J1782" s="10"/>
    </row>
    <row r="1783" spans="1:10" ht="15.75" customHeight="1" x14ac:dyDescent="0.3">
      <c r="A1783" s="5" t="s">
        <v>2650</v>
      </c>
      <c r="B1783" s="11">
        <v>45191</v>
      </c>
      <c r="C1783" s="5" t="s">
        <v>815</v>
      </c>
      <c r="D1783" s="5" t="s">
        <v>180</v>
      </c>
      <c r="E1783" s="5" t="s">
        <v>37</v>
      </c>
      <c r="F1783" s="5">
        <v>1</v>
      </c>
      <c r="G1783" s="19">
        <v>0.05</v>
      </c>
      <c r="H1783" s="5" t="s">
        <v>637</v>
      </c>
      <c r="I1783" s="10">
        <f>IF(OR(D1783="", F1783=""), "", F1783 * VLOOKUP(D1783, Products!A:E, 5, FALSE) * (1 - G1783))</f>
        <v>640.09099999999989</v>
      </c>
      <c r="J1783" s="10"/>
    </row>
    <row r="1784" spans="1:10" ht="15.75" customHeight="1" x14ac:dyDescent="0.3">
      <c r="A1784" s="5" t="s">
        <v>2651</v>
      </c>
      <c r="B1784" s="11">
        <v>45370</v>
      </c>
      <c r="C1784" s="5" t="s">
        <v>322</v>
      </c>
      <c r="D1784" s="5" t="s">
        <v>168</v>
      </c>
      <c r="E1784" s="5" t="s">
        <v>33</v>
      </c>
      <c r="F1784" s="5">
        <v>3</v>
      </c>
      <c r="G1784" s="19">
        <v>0.1</v>
      </c>
      <c r="H1784" s="5" t="s">
        <v>637</v>
      </c>
      <c r="I1784" s="10">
        <f>IF(OR(D1784="", F1784=""), "", F1784 * VLOOKUP(D1784, Products!A:E, 5, FALSE) * (1 - G1784))</f>
        <v>2742.5519999999997</v>
      </c>
      <c r="J1784" s="10"/>
    </row>
    <row r="1785" spans="1:10" ht="15.75" customHeight="1" x14ac:dyDescent="0.3">
      <c r="A1785" s="5" t="s">
        <v>2652</v>
      </c>
      <c r="B1785" s="11">
        <v>45577</v>
      </c>
      <c r="C1785" s="5" t="s">
        <v>718</v>
      </c>
      <c r="D1785" s="5" t="s">
        <v>168</v>
      </c>
      <c r="E1785" s="5" t="s">
        <v>29</v>
      </c>
      <c r="F1785" s="5">
        <v>4</v>
      </c>
      <c r="G1785" s="19">
        <v>0</v>
      </c>
      <c r="H1785" s="5" t="s">
        <v>776</v>
      </c>
      <c r="I1785" s="10">
        <f>IF(OR(D1785="", F1785=""), "", F1785 * VLOOKUP(D1785, Products!A:E, 5, FALSE) * (1 - G1785))</f>
        <v>4063.04</v>
      </c>
      <c r="J1785" s="10"/>
    </row>
    <row r="1786" spans="1:10" ht="15.75" customHeight="1" x14ac:dyDescent="0.3">
      <c r="A1786" s="5" t="s">
        <v>2653</v>
      </c>
      <c r="B1786" s="11">
        <v>45234</v>
      </c>
      <c r="C1786" s="5" t="s">
        <v>755</v>
      </c>
      <c r="D1786" s="5" t="s">
        <v>140</v>
      </c>
      <c r="E1786" s="5" t="s">
        <v>37</v>
      </c>
      <c r="F1786" s="5">
        <v>3</v>
      </c>
      <c r="G1786" s="19">
        <v>0.05</v>
      </c>
      <c r="H1786" s="5" t="s">
        <v>454</v>
      </c>
      <c r="I1786" s="10">
        <f>IF(OR(D1786="", F1786=""), "", F1786 * VLOOKUP(D1786, Products!A:E, 5, FALSE) * (1 - G1786))</f>
        <v>72.874499999999998</v>
      </c>
      <c r="J1786" s="10"/>
    </row>
    <row r="1787" spans="1:10" ht="15.75" customHeight="1" x14ac:dyDescent="0.3">
      <c r="A1787" s="5" t="s">
        <v>2654</v>
      </c>
      <c r="B1787" s="11">
        <v>45865</v>
      </c>
      <c r="C1787" s="5" t="s">
        <v>854</v>
      </c>
      <c r="D1787" s="5" t="s">
        <v>67</v>
      </c>
      <c r="E1787" s="5" t="s">
        <v>25</v>
      </c>
      <c r="F1787" s="5">
        <v>4</v>
      </c>
      <c r="G1787" s="19">
        <v>0.1</v>
      </c>
      <c r="H1787" s="5" t="s">
        <v>776</v>
      </c>
      <c r="I1787" s="10">
        <f>IF(OR(D1787="", F1787=""), "", F1787 * VLOOKUP(D1787, Products!A:E, 5, FALSE) * (1 - G1787))</f>
        <v>395.20800000000003</v>
      </c>
      <c r="J1787" s="10"/>
    </row>
    <row r="1788" spans="1:10" ht="15.75" customHeight="1" x14ac:dyDescent="0.3">
      <c r="A1788" s="5" t="s">
        <v>2655</v>
      </c>
      <c r="B1788" s="11">
        <v>45201</v>
      </c>
      <c r="C1788" s="5" t="s">
        <v>326</v>
      </c>
      <c r="D1788" s="5" t="s">
        <v>134</v>
      </c>
      <c r="E1788" s="5" t="s">
        <v>33</v>
      </c>
      <c r="F1788" s="5">
        <v>1</v>
      </c>
      <c r="G1788" s="19">
        <v>0</v>
      </c>
      <c r="H1788" s="5" t="s">
        <v>776</v>
      </c>
      <c r="I1788" s="10">
        <f>IF(OR(D1788="", F1788=""), "", F1788 * VLOOKUP(D1788, Products!A:E, 5, FALSE) * (1 - G1788))</f>
        <v>1227.24</v>
      </c>
      <c r="J1788" s="10"/>
    </row>
    <row r="1789" spans="1:10" ht="15.75" customHeight="1" x14ac:dyDescent="0.3">
      <c r="A1789" s="5" t="s">
        <v>2656</v>
      </c>
      <c r="B1789" s="11">
        <v>45390</v>
      </c>
      <c r="C1789" s="5" t="s">
        <v>876</v>
      </c>
      <c r="D1789" s="5" t="s">
        <v>237</v>
      </c>
      <c r="E1789" s="5" t="s">
        <v>33</v>
      </c>
      <c r="F1789" s="5">
        <v>5</v>
      </c>
      <c r="G1789" s="19">
        <v>0.15</v>
      </c>
      <c r="H1789" s="5" t="s">
        <v>454</v>
      </c>
      <c r="I1789" s="10">
        <f>IF(OR(D1789="", F1789=""), "", F1789 * VLOOKUP(D1789, Products!A:E, 5, FALSE) * (1 - G1789))</f>
        <v>1559.4525000000001</v>
      </c>
      <c r="J1789" s="10"/>
    </row>
    <row r="1790" spans="1:10" ht="15.75" customHeight="1" x14ac:dyDescent="0.3">
      <c r="A1790" s="5" t="s">
        <v>2657</v>
      </c>
      <c r="B1790" s="11">
        <v>45446</v>
      </c>
      <c r="C1790" s="5" t="s">
        <v>840</v>
      </c>
      <c r="D1790" s="5" t="s">
        <v>285</v>
      </c>
      <c r="E1790" s="5" t="s">
        <v>33</v>
      </c>
      <c r="F1790" s="5">
        <v>2</v>
      </c>
      <c r="G1790" s="19">
        <v>0.05</v>
      </c>
      <c r="H1790" s="5" t="s">
        <v>454</v>
      </c>
      <c r="I1790" s="10">
        <f>IF(OR(D1790="", F1790=""), "", F1790 * VLOOKUP(D1790, Products!A:E, 5, FALSE) * (1 - G1790))</f>
        <v>737.69399999999996</v>
      </c>
      <c r="J1790" s="10"/>
    </row>
    <row r="1791" spans="1:10" ht="15.75" customHeight="1" x14ac:dyDescent="0.3">
      <c r="A1791" s="5" t="s">
        <v>2658</v>
      </c>
      <c r="B1791" s="11">
        <v>45196</v>
      </c>
      <c r="C1791" s="5" t="s">
        <v>342</v>
      </c>
      <c r="D1791" s="5" t="s">
        <v>280</v>
      </c>
      <c r="E1791" s="5" t="s">
        <v>25</v>
      </c>
      <c r="F1791" s="5">
        <v>2</v>
      </c>
      <c r="G1791" s="19">
        <v>0.15</v>
      </c>
      <c r="H1791" s="5" t="s">
        <v>697</v>
      </c>
      <c r="I1791" s="10">
        <f>IF(OR(D1791="", F1791=""), "", F1791 * VLOOKUP(D1791, Products!A:E, 5, FALSE) * (1 - G1791))</f>
        <v>2067.8119999999999</v>
      </c>
      <c r="J1791" s="10"/>
    </row>
    <row r="1792" spans="1:10" ht="15.75" customHeight="1" x14ac:dyDescent="0.3">
      <c r="A1792" s="5" t="s">
        <v>2659</v>
      </c>
      <c r="B1792" s="11">
        <v>45826</v>
      </c>
      <c r="C1792" s="5" t="s">
        <v>641</v>
      </c>
      <c r="D1792" s="5" t="s">
        <v>249</v>
      </c>
      <c r="E1792" s="5" t="s">
        <v>21</v>
      </c>
      <c r="F1792" s="5">
        <v>4</v>
      </c>
      <c r="G1792" s="19">
        <v>0.05</v>
      </c>
      <c r="H1792" s="5" t="s">
        <v>697</v>
      </c>
      <c r="I1792" s="10">
        <f>IF(OR(D1792="", F1792=""), "", F1792 * VLOOKUP(D1792, Products!A:E, 5, FALSE) * (1 - G1792))</f>
        <v>6633.3179999999993</v>
      </c>
      <c r="J1792" s="10"/>
    </row>
    <row r="1793" spans="1:10" ht="15.75" customHeight="1" x14ac:dyDescent="0.3">
      <c r="A1793" s="5" t="s">
        <v>2660</v>
      </c>
      <c r="B1793" s="11">
        <v>45668</v>
      </c>
      <c r="C1793" s="5" t="s">
        <v>357</v>
      </c>
      <c r="D1793" s="5" t="s">
        <v>65</v>
      </c>
      <c r="E1793" s="5" t="s">
        <v>21</v>
      </c>
      <c r="F1793" s="5">
        <v>2</v>
      </c>
      <c r="G1793" s="19">
        <v>0.05</v>
      </c>
      <c r="H1793" s="5" t="s">
        <v>454</v>
      </c>
      <c r="I1793" s="10">
        <f>IF(OR(D1793="", F1793=""), "", F1793 * VLOOKUP(D1793, Products!A:E, 5, FALSE) * (1 - G1793))</f>
        <v>2800.8279999999995</v>
      </c>
      <c r="J1793" s="10"/>
    </row>
    <row r="1794" spans="1:10" ht="15.75" customHeight="1" x14ac:dyDescent="0.3">
      <c r="A1794" s="5" t="s">
        <v>2661</v>
      </c>
      <c r="B1794" s="11">
        <v>45617</v>
      </c>
      <c r="C1794" s="5" t="s">
        <v>557</v>
      </c>
      <c r="D1794" s="5" t="s">
        <v>54</v>
      </c>
      <c r="E1794" s="5" t="s">
        <v>33</v>
      </c>
      <c r="F1794" s="5">
        <v>5</v>
      </c>
      <c r="G1794" s="19">
        <v>0</v>
      </c>
      <c r="H1794" s="5" t="s">
        <v>697</v>
      </c>
      <c r="I1794" s="10">
        <f>IF(OR(D1794="", F1794=""), "", F1794 * VLOOKUP(D1794, Products!A:E, 5, FALSE) * (1 - G1794))</f>
        <v>9268.85</v>
      </c>
      <c r="J1794" s="10"/>
    </row>
    <row r="1795" spans="1:10" ht="15.75" customHeight="1" x14ac:dyDescent="0.3">
      <c r="A1795" s="5" t="s">
        <v>2662</v>
      </c>
      <c r="B1795" s="11">
        <v>45570</v>
      </c>
      <c r="C1795" s="5" t="s">
        <v>197</v>
      </c>
      <c r="D1795" s="5" t="s">
        <v>153</v>
      </c>
      <c r="E1795" s="5" t="s">
        <v>29</v>
      </c>
      <c r="F1795" s="5">
        <v>1</v>
      </c>
      <c r="G1795" s="19">
        <v>0.15</v>
      </c>
      <c r="H1795" s="5" t="s">
        <v>776</v>
      </c>
      <c r="I1795" s="10">
        <f>IF(OR(D1795="", F1795=""), "", F1795 * VLOOKUP(D1795, Products!A:E, 5, FALSE) * (1 - G1795))</f>
        <v>1264.2985000000001</v>
      </c>
      <c r="J1795" s="10"/>
    </row>
    <row r="1796" spans="1:10" ht="15.75" customHeight="1" x14ac:dyDescent="0.3">
      <c r="A1796" s="5" t="s">
        <v>2663</v>
      </c>
      <c r="B1796" s="11">
        <v>45402</v>
      </c>
      <c r="C1796" s="5" t="s">
        <v>433</v>
      </c>
      <c r="D1796" s="5" t="s">
        <v>134</v>
      </c>
      <c r="E1796" s="5" t="s">
        <v>21</v>
      </c>
      <c r="F1796" s="5">
        <v>3</v>
      </c>
      <c r="G1796" s="19">
        <v>0</v>
      </c>
      <c r="H1796" s="5" t="s">
        <v>697</v>
      </c>
      <c r="I1796" s="10">
        <f>IF(OR(D1796="", F1796=""), "", F1796 * VLOOKUP(D1796, Products!A:E, 5, FALSE) * (1 - G1796))</f>
        <v>3681.7200000000003</v>
      </c>
      <c r="J1796" s="10"/>
    </row>
    <row r="1797" spans="1:10" ht="15.75" customHeight="1" x14ac:dyDescent="0.3">
      <c r="A1797" s="5" t="s">
        <v>2664</v>
      </c>
      <c r="B1797" s="11">
        <v>45789</v>
      </c>
      <c r="C1797" s="5" t="s">
        <v>620</v>
      </c>
      <c r="D1797" s="5" t="s">
        <v>217</v>
      </c>
      <c r="E1797" s="5" t="s">
        <v>33</v>
      </c>
      <c r="F1797" s="5">
        <v>1</v>
      </c>
      <c r="G1797" s="19">
        <v>0</v>
      </c>
      <c r="H1797" s="5" t="s">
        <v>776</v>
      </c>
      <c r="I1797" s="10">
        <f>IF(OR(D1797="", F1797=""), "", F1797 * VLOOKUP(D1797, Products!A:E, 5, FALSE) * (1 - G1797))</f>
        <v>428.05</v>
      </c>
      <c r="J1797" s="10"/>
    </row>
    <row r="1798" spans="1:10" ht="15.75" customHeight="1" x14ac:dyDescent="0.3">
      <c r="A1798" s="5" t="s">
        <v>2665</v>
      </c>
      <c r="B1798" s="11">
        <v>45404</v>
      </c>
      <c r="C1798" s="5" t="s">
        <v>425</v>
      </c>
      <c r="D1798" s="5" t="s">
        <v>95</v>
      </c>
      <c r="E1798" s="5" t="s">
        <v>21</v>
      </c>
      <c r="F1798" s="5">
        <v>5</v>
      </c>
      <c r="G1798" s="19">
        <v>0</v>
      </c>
      <c r="H1798" s="5" t="s">
        <v>776</v>
      </c>
      <c r="I1798" s="10">
        <f>IF(OR(D1798="", F1798=""), "", F1798 * VLOOKUP(D1798, Products!A:E, 5, FALSE) * (1 - G1798))</f>
        <v>6713.75</v>
      </c>
      <c r="J1798" s="10"/>
    </row>
    <row r="1799" spans="1:10" ht="15.75" customHeight="1" x14ac:dyDescent="0.3">
      <c r="A1799" s="5" t="s">
        <v>2666</v>
      </c>
      <c r="B1799" s="11">
        <v>45325</v>
      </c>
      <c r="C1799" s="5" t="s">
        <v>368</v>
      </c>
      <c r="D1799" s="5" t="s">
        <v>265</v>
      </c>
      <c r="E1799" s="5" t="s">
        <v>37</v>
      </c>
      <c r="F1799" s="5">
        <v>1</v>
      </c>
      <c r="G1799" s="19">
        <v>0.15</v>
      </c>
      <c r="H1799" s="5" t="s">
        <v>454</v>
      </c>
      <c r="I1799" s="10">
        <f>IF(OR(D1799="", F1799=""), "", F1799 * VLOOKUP(D1799, Products!A:E, 5, FALSE) * (1 - G1799))</f>
        <v>479.75699999999995</v>
      </c>
      <c r="J1799" s="10"/>
    </row>
    <row r="1800" spans="1:10" ht="15.75" customHeight="1" x14ac:dyDescent="0.3">
      <c r="A1800" s="5" t="s">
        <v>2667</v>
      </c>
      <c r="B1800" s="11">
        <v>45489</v>
      </c>
      <c r="C1800" s="5" t="s">
        <v>628</v>
      </c>
      <c r="D1800" s="5" t="s">
        <v>180</v>
      </c>
      <c r="E1800" s="5" t="s">
        <v>33</v>
      </c>
      <c r="F1800" s="5">
        <v>3</v>
      </c>
      <c r="G1800" s="19">
        <v>0.15</v>
      </c>
      <c r="H1800" s="5" t="s">
        <v>454</v>
      </c>
      <c r="I1800" s="10">
        <f>IF(OR(D1800="", F1800=""), "", F1800 * VLOOKUP(D1800, Products!A:E, 5, FALSE) * (1 - G1800))</f>
        <v>1718.1389999999999</v>
      </c>
      <c r="J1800" s="10"/>
    </row>
    <row r="1801" spans="1:10" ht="15.75" customHeight="1" x14ac:dyDescent="0.3">
      <c r="A1801" s="5" t="s">
        <v>2668</v>
      </c>
      <c r="B1801" s="11">
        <v>45240</v>
      </c>
      <c r="C1801" s="5" t="s">
        <v>522</v>
      </c>
      <c r="D1801" s="5" t="s">
        <v>61</v>
      </c>
      <c r="E1801" s="5" t="s">
        <v>29</v>
      </c>
      <c r="F1801" s="5">
        <v>3</v>
      </c>
      <c r="G1801" s="19">
        <v>0.05</v>
      </c>
      <c r="H1801" s="5" t="s">
        <v>454</v>
      </c>
      <c r="I1801" s="10">
        <f>IF(OR(D1801="", F1801=""), "", F1801 * VLOOKUP(D1801, Products!A:E, 5, FALSE) * (1 - G1801))</f>
        <v>906.4425</v>
      </c>
      <c r="J1801" s="10"/>
    </row>
    <row r="1802" spans="1:10" ht="15.75" customHeight="1" x14ac:dyDescent="0.3">
      <c r="A1802" s="5" t="s">
        <v>2669</v>
      </c>
      <c r="B1802" s="11">
        <v>45663</v>
      </c>
      <c r="C1802" s="5" t="s">
        <v>602</v>
      </c>
      <c r="D1802" s="5" t="s">
        <v>168</v>
      </c>
      <c r="E1802" s="5" t="s">
        <v>33</v>
      </c>
      <c r="F1802" s="5">
        <v>4</v>
      </c>
      <c r="G1802" s="19">
        <v>0</v>
      </c>
      <c r="H1802" s="5" t="s">
        <v>454</v>
      </c>
      <c r="I1802" s="10">
        <f>IF(OR(D1802="", F1802=""), "", F1802 * VLOOKUP(D1802, Products!A:E, 5, FALSE) * (1 - G1802))</f>
        <v>4063.04</v>
      </c>
      <c r="J1802" s="10"/>
    </row>
    <row r="1803" spans="1:10" ht="15.75" customHeight="1" x14ac:dyDescent="0.3">
      <c r="A1803" s="5" t="s">
        <v>2670</v>
      </c>
      <c r="B1803" s="11">
        <v>45465</v>
      </c>
      <c r="C1803" s="5" t="s">
        <v>484</v>
      </c>
      <c r="D1803" s="5" t="s">
        <v>232</v>
      </c>
      <c r="E1803" s="5" t="s">
        <v>21</v>
      </c>
      <c r="F1803" s="5">
        <v>1</v>
      </c>
      <c r="G1803" s="19">
        <v>0.15</v>
      </c>
      <c r="H1803" s="5" t="s">
        <v>637</v>
      </c>
      <c r="I1803" s="10">
        <f>IF(OR(D1803="", F1803=""), "", F1803 * VLOOKUP(D1803, Products!A:E, 5, FALSE) * (1 - G1803))</f>
        <v>1659.7525000000001</v>
      </c>
      <c r="J1803" s="10"/>
    </row>
    <row r="1804" spans="1:10" ht="15.75" customHeight="1" x14ac:dyDescent="0.3">
      <c r="A1804" s="5" t="s">
        <v>2671</v>
      </c>
      <c r="B1804" s="11">
        <v>45325</v>
      </c>
      <c r="C1804" s="5" t="s">
        <v>833</v>
      </c>
      <c r="D1804" s="5" t="s">
        <v>70</v>
      </c>
      <c r="E1804" s="5" t="s">
        <v>25</v>
      </c>
      <c r="F1804" s="5">
        <v>1</v>
      </c>
      <c r="G1804" s="19">
        <v>0</v>
      </c>
      <c r="H1804" s="5" t="s">
        <v>454</v>
      </c>
      <c r="I1804" s="10">
        <f>IF(OR(D1804="", F1804=""), "", F1804 * VLOOKUP(D1804, Products!A:E, 5, FALSE) * (1 - G1804))</f>
        <v>123.19</v>
      </c>
      <c r="J1804" s="10"/>
    </row>
    <row r="1805" spans="1:10" ht="15.75" customHeight="1" x14ac:dyDescent="0.3">
      <c r="A1805" s="5" t="s">
        <v>2672</v>
      </c>
      <c r="B1805" s="11">
        <v>45662</v>
      </c>
      <c r="C1805" s="5" t="s">
        <v>811</v>
      </c>
      <c r="D1805" s="5" t="s">
        <v>243</v>
      </c>
      <c r="E1805" s="5" t="s">
        <v>25</v>
      </c>
      <c r="F1805" s="5">
        <v>3</v>
      </c>
      <c r="G1805" s="19">
        <v>0.15</v>
      </c>
      <c r="H1805" s="5" t="s">
        <v>637</v>
      </c>
      <c r="I1805" s="10">
        <f>IF(OR(D1805="", F1805=""), "", F1805 * VLOOKUP(D1805, Products!A:E, 5, FALSE) * (1 - G1805))</f>
        <v>1379.3970000000002</v>
      </c>
      <c r="J1805" s="10"/>
    </row>
    <row r="1806" spans="1:10" ht="15.75" customHeight="1" x14ac:dyDescent="0.3">
      <c r="A1806" s="5" t="s">
        <v>2673</v>
      </c>
      <c r="B1806" s="11">
        <v>45298</v>
      </c>
      <c r="C1806" s="5" t="s">
        <v>652</v>
      </c>
      <c r="D1806" s="5" t="s">
        <v>57</v>
      </c>
      <c r="E1806" s="5" t="s">
        <v>33</v>
      </c>
      <c r="F1806" s="5">
        <v>2</v>
      </c>
      <c r="G1806" s="19">
        <v>0</v>
      </c>
      <c r="H1806" s="5" t="s">
        <v>454</v>
      </c>
      <c r="I1806" s="10">
        <f>IF(OR(D1806="", F1806=""), "", F1806 * VLOOKUP(D1806, Products!A:E, 5, FALSE) * (1 - G1806))</f>
        <v>2792.44</v>
      </c>
      <c r="J1806" s="10"/>
    </row>
    <row r="1807" spans="1:10" ht="15.75" customHeight="1" x14ac:dyDescent="0.3">
      <c r="A1807" s="5" t="s">
        <v>2674</v>
      </c>
      <c r="B1807" s="11">
        <v>45786</v>
      </c>
      <c r="C1807" s="5" t="s">
        <v>100</v>
      </c>
      <c r="D1807" s="5" t="s">
        <v>212</v>
      </c>
      <c r="E1807" s="5" t="s">
        <v>29</v>
      </c>
      <c r="F1807" s="5">
        <v>1</v>
      </c>
      <c r="G1807" s="19">
        <v>0.1</v>
      </c>
      <c r="H1807" s="5" t="s">
        <v>637</v>
      </c>
      <c r="I1807" s="10">
        <f>IF(OR(D1807="", F1807=""), "", F1807 * VLOOKUP(D1807, Products!A:E, 5, FALSE) * (1 - G1807))</f>
        <v>1619.0730000000001</v>
      </c>
      <c r="J1807" s="10"/>
    </row>
    <row r="1808" spans="1:10" ht="15.75" customHeight="1" x14ac:dyDescent="0.3">
      <c r="A1808" s="5" t="s">
        <v>2675</v>
      </c>
      <c r="B1808" s="11">
        <v>45863</v>
      </c>
      <c r="C1808" s="5" t="s">
        <v>389</v>
      </c>
      <c r="D1808" s="5" t="s">
        <v>269</v>
      </c>
      <c r="E1808" s="5" t="s">
        <v>37</v>
      </c>
      <c r="F1808" s="5">
        <v>4</v>
      </c>
      <c r="G1808" s="19">
        <v>0.15</v>
      </c>
      <c r="H1808" s="5" t="s">
        <v>776</v>
      </c>
      <c r="I1808" s="10">
        <f>IF(OR(D1808="", F1808=""), "", F1808 * VLOOKUP(D1808, Products!A:E, 5, FALSE) * (1 - G1808))</f>
        <v>6388.8719999999994</v>
      </c>
      <c r="J1808" s="10"/>
    </row>
    <row r="1809" spans="1:10" ht="15.75" customHeight="1" x14ac:dyDescent="0.3">
      <c r="A1809" s="5" t="s">
        <v>2676</v>
      </c>
      <c r="B1809" s="11">
        <v>45446</v>
      </c>
      <c r="C1809" s="5" t="s">
        <v>503</v>
      </c>
      <c r="D1809" s="5" t="s">
        <v>147</v>
      </c>
      <c r="E1809" s="5" t="s">
        <v>33</v>
      </c>
      <c r="F1809" s="5">
        <v>4</v>
      </c>
      <c r="G1809" s="19">
        <v>0</v>
      </c>
      <c r="H1809" s="5" t="s">
        <v>637</v>
      </c>
      <c r="I1809" s="10">
        <f>IF(OR(D1809="", F1809=""), "", F1809 * VLOOKUP(D1809, Products!A:E, 5, FALSE) * (1 - G1809))</f>
        <v>7513.88</v>
      </c>
      <c r="J1809" s="10"/>
    </row>
    <row r="1810" spans="1:10" ht="15.75" customHeight="1" x14ac:dyDescent="0.3">
      <c r="A1810" s="5" t="s">
        <v>2677</v>
      </c>
      <c r="B1810" s="11">
        <v>45495</v>
      </c>
      <c r="C1810" s="5" t="s">
        <v>450</v>
      </c>
      <c r="D1810" s="5" t="s">
        <v>103</v>
      </c>
      <c r="E1810" s="5" t="s">
        <v>37</v>
      </c>
      <c r="F1810" s="5">
        <v>2</v>
      </c>
      <c r="G1810" s="19">
        <v>0.05</v>
      </c>
      <c r="H1810" s="5" t="s">
        <v>776</v>
      </c>
      <c r="I1810" s="10">
        <f>IF(OR(D1810="", F1810=""), "", F1810 * VLOOKUP(D1810, Products!A:E, 5, FALSE) * (1 - G1810))</f>
        <v>513.8549999999999</v>
      </c>
      <c r="J1810" s="10"/>
    </row>
    <row r="1811" spans="1:10" ht="15.75" customHeight="1" x14ac:dyDescent="0.3">
      <c r="A1811" s="5" t="s">
        <v>2678</v>
      </c>
      <c r="B1811" s="11">
        <v>45217</v>
      </c>
      <c r="C1811" s="5" t="s">
        <v>274</v>
      </c>
      <c r="D1811" s="5" t="s">
        <v>122</v>
      </c>
      <c r="E1811" s="5" t="s">
        <v>33</v>
      </c>
      <c r="F1811" s="5">
        <v>1</v>
      </c>
      <c r="G1811" s="19">
        <v>0.1</v>
      </c>
      <c r="H1811" s="5" t="s">
        <v>637</v>
      </c>
      <c r="I1811" s="10">
        <f>IF(OR(D1811="", F1811=""), "", F1811 * VLOOKUP(D1811, Products!A:E, 5, FALSE) * (1 - G1811))</f>
        <v>1586.6280000000002</v>
      </c>
      <c r="J1811" s="10"/>
    </row>
    <row r="1812" spans="1:10" ht="15.75" customHeight="1" x14ac:dyDescent="0.3">
      <c r="A1812" s="5" t="s">
        <v>2679</v>
      </c>
      <c r="B1812" s="11">
        <v>45556</v>
      </c>
      <c r="C1812" s="5" t="s">
        <v>326</v>
      </c>
      <c r="D1812" s="5" t="s">
        <v>153</v>
      </c>
      <c r="E1812" s="5" t="s">
        <v>33</v>
      </c>
      <c r="F1812" s="5">
        <v>1</v>
      </c>
      <c r="G1812" s="19">
        <v>0.15</v>
      </c>
      <c r="H1812" s="5" t="s">
        <v>697</v>
      </c>
      <c r="I1812" s="10">
        <f>IF(OR(D1812="", F1812=""), "", F1812 * VLOOKUP(D1812, Products!A:E, 5, FALSE) * (1 - G1812))</f>
        <v>1264.2985000000001</v>
      </c>
      <c r="J1812" s="10"/>
    </row>
    <row r="1813" spans="1:10" ht="15.75" customHeight="1" x14ac:dyDescent="0.3">
      <c r="A1813" s="5" t="s">
        <v>2680</v>
      </c>
      <c r="B1813" s="11">
        <v>45573</v>
      </c>
      <c r="C1813" s="5" t="s">
        <v>401</v>
      </c>
      <c r="D1813" s="5" t="s">
        <v>134</v>
      </c>
      <c r="E1813" s="5" t="s">
        <v>25</v>
      </c>
      <c r="F1813" s="5">
        <v>2</v>
      </c>
      <c r="G1813" s="19">
        <v>0</v>
      </c>
      <c r="H1813" s="5" t="s">
        <v>776</v>
      </c>
      <c r="I1813" s="10">
        <f>IF(OR(D1813="", F1813=""), "", F1813 * VLOOKUP(D1813, Products!A:E, 5, FALSE) * (1 - G1813))</f>
        <v>2454.48</v>
      </c>
      <c r="J1813" s="10"/>
    </row>
    <row r="1814" spans="1:10" ht="15.75" customHeight="1" x14ac:dyDescent="0.3">
      <c r="A1814" s="5" t="s">
        <v>2681</v>
      </c>
      <c r="B1814" s="11">
        <v>45510</v>
      </c>
      <c r="C1814" s="5" t="s">
        <v>583</v>
      </c>
      <c r="D1814" s="5" t="s">
        <v>272</v>
      </c>
      <c r="E1814" s="5" t="s">
        <v>21</v>
      </c>
      <c r="F1814" s="5">
        <v>2</v>
      </c>
      <c r="G1814" s="19">
        <v>0.1</v>
      </c>
      <c r="H1814" s="5" t="s">
        <v>637</v>
      </c>
      <c r="I1814" s="10">
        <f>IF(OR(D1814="", F1814=""), "", F1814 * VLOOKUP(D1814, Products!A:E, 5, FALSE) * (1 - G1814))</f>
        <v>2097.6659999999997</v>
      </c>
      <c r="J1814" s="10"/>
    </row>
    <row r="1815" spans="1:10" ht="15.75" customHeight="1" x14ac:dyDescent="0.3">
      <c r="A1815" s="5" t="s">
        <v>2682</v>
      </c>
      <c r="B1815" s="11">
        <v>45829</v>
      </c>
      <c r="C1815" s="5" t="s">
        <v>869</v>
      </c>
      <c r="D1815" s="5" t="s">
        <v>221</v>
      </c>
      <c r="E1815" s="5" t="s">
        <v>29</v>
      </c>
      <c r="F1815" s="5">
        <v>2</v>
      </c>
      <c r="G1815" s="19">
        <v>0.1</v>
      </c>
      <c r="H1815" s="5" t="s">
        <v>637</v>
      </c>
      <c r="I1815" s="10">
        <f>IF(OR(D1815="", F1815=""), "", F1815 * VLOOKUP(D1815, Products!A:E, 5, FALSE) * (1 - G1815))</f>
        <v>2812.3740000000003</v>
      </c>
      <c r="J1815" s="10"/>
    </row>
    <row r="1816" spans="1:10" ht="15.75" customHeight="1" x14ac:dyDescent="0.3">
      <c r="A1816" s="5" t="s">
        <v>2683</v>
      </c>
      <c r="B1816" s="11">
        <v>45291</v>
      </c>
      <c r="C1816" s="5" t="s">
        <v>786</v>
      </c>
      <c r="D1816" s="5" t="s">
        <v>243</v>
      </c>
      <c r="E1816" s="5" t="s">
        <v>21</v>
      </c>
      <c r="F1816" s="5">
        <v>2</v>
      </c>
      <c r="G1816" s="19">
        <v>0.15</v>
      </c>
      <c r="H1816" s="5" t="s">
        <v>776</v>
      </c>
      <c r="I1816" s="10">
        <f>IF(OR(D1816="", F1816=""), "", F1816 * VLOOKUP(D1816, Products!A:E, 5, FALSE) * (1 - G1816))</f>
        <v>919.59800000000007</v>
      </c>
      <c r="J1816" s="10"/>
    </row>
    <row r="1817" spans="1:10" ht="15.75" customHeight="1" x14ac:dyDescent="0.3">
      <c r="A1817" s="5" t="s">
        <v>2684</v>
      </c>
      <c r="B1817" s="11">
        <v>45729</v>
      </c>
      <c r="C1817" s="5" t="s">
        <v>805</v>
      </c>
      <c r="D1817" s="5" t="s">
        <v>265</v>
      </c>
      <c r="E1817" s="5" t="s">
        <v>29</v>
      </c>
      <c r="F1817" s="5">
        <v>2</v>
      </c>
      <c r="G1817" s="19">
        <v>0</v>
      </c>
      <c r="H1817" s="5" t="s">
        <v>454</v>
      </c>
      <c r="I1817" s="10">
        <f>IF(OR(D1817="", F1817=""), "", F1817 * VLOOKUP(D1817, Products!A:E, 5, FALSE) * (1 - G1817))</f>
        <v>1128.8399999999999</v>
      </c>
      <c r="J1817" s="10"/>
    </row>
    <row r="1818" spans="1:10" ht="15.75" customHeight="1" x14ac:dyDescent="0.3">
      <c r="A1818" s="5" t="s">
        <v>2685</v>
      </c>
      <c r="B1818" s="11">
        <v>45548</v>
      </c>
      <c r="C1818" s="5" t="s">
        <v>528</v>
      </c>
      <c r="D1818" s="5" t="s">
        <v>54</v>
      </c>
      <c r="E1818" s="5" t="s">
        <v>33</v>
      </c>
      <c r="F1818" s="5">
        <v>5</v>
      </c>
      <c r="G1818" s="19">
        <v>0.15</v>
      </c>
      <c r="H1818" s="5" t="s">
        <v>697</v>
      </c>
      <c r="I1818" s="10">
        <f>IF(OR(D1818="", F1818=""), "", F1818 * VLOOKUP(D1818, Products!A:E, 5, FALSE) * (1 - G1818))</f>
        <v>7878.5225</v>
      </c>
      <c r="J1818" s="10"/>
    </row>
    <row r="1819" spans="1:10" ht="15.75" customHeight="1" x14ac:dyDescent="0.3">
      <c r="A1819" s="5" t="s">
        <v>2686</v>
      </c>
      <c r="B1819" s="11">
        <v>45531</v>
      </c>
      <c r="C1819" s="5" t="s">
        <v>380</v>
      </c>
      <c r="D1819" s="5" t="s">
        <v>122</v>
      </c>
      <c r="E1819" s="5" t="s">
        <v>29</v>
      </c>
      <c r="F1819" s="5">
        <v>1</v>
      </c>
      <c r="G1819" s="19">
        <v>0.1</v>
      </c>
      <c r="H1819" s="5" t="s">
        <v>776</v>
      </c>
      <c r="I1819" s="10">
        <f>IF(OR(D1819="", F1819=""), "", F1819 * VLOOKUP(D1819, Products!A:E, 5, FALSE) * (1 - G1819))</f>
        <v>1586.6280000000002</v>
      </c>
      <c r="J1819" s="10"/>
    </row>
    <row r="1820" spans="1:10" ht="15.75" customHeight="1" x14ac:dyDescent="0.3">
      <c r="A1820" s="5" t="s">
        <v>2687</v>
      </c>
      <c r="B1820" s="11">
        <v>45607</v>
      </c>
      <c r="C1820" s="5" t="s">
        <v>245</v>
      </c>
      <c r="D1820" s="5" t="s">
        <v>232</v>
      </c>
      <c r="E1820" s="5" t="s">
        <v>21</v>
      </c>
      <c r="F1820" s="5">
        <v>3</v>
      </c>
      <c r="G1820" s="19">
        <v>0.05</v>
      </c>
      <c r="H1820" s="5" t="s">
        <v>776</v>
      </c>
      <c r="I1820" s="10">
        <f>IF(OR(D1820="", F1820=""), "", F1820 * VLOOKUP(D1820, Products!A:E, 5, FALSE) * (1 - G1820))</f>
        <v>5565.0525000000007</v>
      </c>
      <c r="J1820" s="10"/>
    </row>
    <row r="1821" spans="1:10" ht="15.75" customHeight="1" x14ac:dyDescent="0.3">
      <c r="A1821" s="5" t="s">
        <v>2688</v>
      </c>
      <c r="B1821" s="11">
        <v>45316</v>
      </c>
      <c r="C1821" s="5" t="s">
        <v>705</v>
      </c>
      <c r="D1821" s="5" t="s">
        <v>89</v>
      </c>
      <c r="E1821" s="5" t="s">
        <v>29</v>
      </c>
      <c r="F1821" s="5">
        <v>2</v>
      </c>
      <c r="G1821" s="19">
        <v>0.1</v>
      </c>
      <c r="H1821" s="5" t="s">
        <v>637</v>
      </c>
      <c r="I1821" s="10">
        <f>IF(OR(D1821="", F1821=""), "", F1821 * VLOOKUP(D1821, Products!A:E, 5, FALSE) * (1 - G1821))</f>
        <v>2042.6399999999999</v>
      </c>
      <c r="J1821" s="10"/>
    </row>
    <row r="1822" spans="1:10" ht="15.75" customHeight="1" x14ac:dyDescent="0.3">
      <c r="A1822" s="5" t="s">
        <v>2689</v>
      </c>
      <c r="B1822" s="11">
        <v>45588</v>
      </c>
      <c r="C1822" s="5" t="s">
        <v>708</v>
      </c>
      <c r="D1822" s="5" t="s">
        <v>249</v>
      </c>
      <c r="E1822" s="5" t="s">
        <v>21</v>
      </c>
      <c r="F1822" s="5">
        <v>3</v>
      </c>
      <c r="G1822" s="19">
        <v>0</v>
      </c>
      <c r="H1822" s="5" t="s">
        <v>697</v>
      </c>
      <c r="I1822" s="10">
        <f>IF(OR(D1822="", F1822=""), "", F1822 * VLOOKUP(D1822, Products!A:E, 5, FALSE) * (1 - G1822))</f>
        <v>5236.83</v>
      </c>
      <c r="J1822" s="10"/>
    </row>
    <row r="1823" spans="1:10" ht="15.75" customHeight="1" x14ac:dyDescent="0.3">
      <c r="A1823" s="5" t="s">
        <v>2690</v>
      </c>
      <c r="B1823" s="11">
        <v>45573</v>
      </c>
      <c r="C1823" s="5" t="s">
        <v>539</v>
      </c>
      <c r="D1823" s="5" t="s">
        <v>67</v>
      </c>
      <c r="E1823" s="5" t="s">
        <v>33</v>
      </c>
      <c r="F1823" s="5">
        <v>3</v>
      </c>
      <c r="G1823" s="19">
        <v>0.1</v>
      </c>
      <c r="H1823" s="5" t="s">
        <v>697</v>
      </c>
      <c r="I1823" s="10">
        <f>IF(OR(D1823="", F1823=""), "", F1823 * VLOOKUP(D1823, Products!A:E, 5, FALSE) * (1 - G1823))</f>
        <v>296.40600000000006</v>
      </c>
      <c r="J1823" s="10"/>
    </row>
    <row r="1824" spans="1:10" ht="15.75" customHeight="1" x14ac:dyDescent="0.3">
      <c r="A1824" s="5" t="s">
        <v>2691</v>
      </c>
      <c r="B1824" s="11">
        <v>45544</v>
      </c>
      <c r="C1824" s="5" t="s">
        <v>661</v>
      </c>
      <c r="D1824" s="5" t="s">
        <v>243</v>
      </c>
      <c r="E1824" s="5" t="s">
        <v>37</v>
      </c>
      <c r="F1824" s="5">
        <v>5</v>
      </c>
      <c r="G1824" s="19">
        <v>0.05</v>
      </c>
      <c r="H1824" s="5" t="s">
        <v>776</v>
      </c>
      <c r="I1824" s="10">
        <f>IF(OR(D1824="", F1824=""), "", F1824 * VLOOKUP(D1824, Products!A:E, 5, FALSE) * (1 - G1824))</f>
        <v>2569.4650000000001</v>
      </c>
      <c r="J1824" s="10"/>
    </row>
    <row r="1825" spans="1:10" ht="15.75" customHeight="1" x14ac:dyDescent="0.3">
      <c r="A1825" s="5" t="s">
        <v>2692</v>
      </c>
      <c r="B1825" s="11">
        <v>45711</v>
      </c>
      <c r="C1825" s="5" t="s">
        <v>546</v>
      </c>
      <c r="D1825" s="5" t="s">
        <v>168</v>
      </c>
      <c r="E1825" s="5" t="s">
        <v>21</v>
      </c>
      <c r="F1825" s="5">
        <v>5</v>
      </c>
      <c r="G1825" s="19">
        <v>0.15</v>
      </c>
      <c r="H1825" s="5" t="s">
        <v>454</v>
      </c>
      <c r="I1825" s="10">
        <f>IF(OR(D1825="", F1825=""), "", F1825 * VLOOKUP(D1825, Products!A:E, 5, FALSE) * (1 - G1825))</f>
        <v>4316.9800000000005</v>
      </c>
      <c r="J1825" s="10"/>
    </row>
    <row r="1826" spans="1:10" ht="15.75" customHeight="1" x14ac:dyDescent="0.3">
      <c r="A1826" s="5" t="s">
        <v>2693</v>
      </c>
      <c r="B1826" s="11">
        <v>45275</v>
      </c>
      <c r="C1826" s="5" t="s">
        <v>300</v>
      </c>
      <c r="D1826" s="5" t="s">
        <v>70</v>
      </c>
      <c r="E1826" s="5" t="s">
        <v>29</v>
      </c>
      <c r="F1826" s="5">
        <v>2</v>
      </c>
      <c r="G1826" s="19">
        <v>0.15</v>
      </c>
      <c r="H1826" s="5" t="s">
        <v>637</v>
      </c>
      <c r="I1826" s="10">
        <f>IF(OR(D1826="", F1826=""), "", F1826 * VLOOKUP(D1826, Products!A:E, 5, FALSE) * (1 - G1826))</f>
        <v>209.423</v>
      </c>
      <c r="J1826" s="10"/>
    </row>
    <row r="1827" spans="1:10" ht="15.75" customHeight="1" x14ac:dyDescent="0.3">
      <c r="A1827" s="5" t="s">
        <v>2694</v>
      </c>
      <c r="B1827" s="11">
        <v>45676</v>
      </c>
      <c r="C1827" s="5" t="s">
        <v>300</v>
      </c>
      <c r="D1827" s="5" t="s">
        <v>47</v>
      </c>
      <c r="E1827" s="5" t="s">
        <v>37</v>
      </c>
      <c r="F1827" s="5">
        <v>3</v>
      </c>
      <c r="G1827" s="19">
        <v>0.05</v>
      </c>
      <c r="H1827" s="5" t="s">
        <v>776</v>
      </c>
      <c r="I1827" s="10">
        <f>IF(OR(D1827="", F1827=""), "", F1827 * VLOOKUP(D1827, Products!A:E, 5, FALSE) * (1 - G1827))</f>
        <v>2333.4659999999994</v>
      </c>
      <c r="J1827" s="10"/>
    </row>
    <row r="1828" spans="1:10" ht="15.75" customHeight="1" x14ac:dyDescent="0.3">
      <c r="A1828" s="5" t="s">
        <v>2695</v>
      </c>
      <c r="B1828" s="11">
        <v>45187</v>
      </c>
      <c r="C1828" s="5" t="s">
        <v>727</v>
      </c>
      <c r="D1828" s="5" t="s">
        <v>140</v>
      </c>
      <c r="E1828" s="5" t="s">
        <v>29</v>
      </c>
      <c r="F1828" s="5">
        <v>3</v>
      </c>
      <c r="G1828" s="19">
        <v>0</v>
      </c>
      <c r="H1828" s="5" t="s">
        <v>454</v>
      </c>
      <c r="I1828" s="10">
        <f>IF(OR(D1828="", F1828=""), "", F1828 * VLOOKUP(D1828, Products!A:E, 5, FALSE) * (1 - G1828))</f>
        <v>76.710000000000008</v>
      </c>
      <c r="J1828" s="10"/>
    </row>
    <row r="1829" spans="1:10" ht="15.75" customHeight="1" x14ac:dyDescent="0.3">
      <c r="A1829" s="5" t="s">
        <v>2696</v>
      </c>
      <c r="B1829" s="11">
        <v>45397</v>
      </c>
      <c r="C1829" s="5" t="s">
        <v>815</v>
      </c>
      <c r="D1829" s="5" t="s">
        <v>285</v>
      </c>
      <c r="E1829" s="5" t="s">
        <v>37</v>
      </c>
      <c r="F1829" s="5">
        <v>4</v>
      </c>
      <c r="G1829" s="19">
        <v>0.05</v>
      </c>
      <c r="H1829" s="5" t="s">
        <v>637</v>
      </c>
      <c r="I1829" s="10">
        <f>IF(OR(D1829="", F1829=""), "", F1829 * VLOOKUP(D1829, Products!A:E, 5, FALSE) * (1 - G1829))</f>
        <v>1475.3879999999999</v>
      </c>
      <c r="J1829" s="10"/>
    </row>
    <row r="1830" spans="1:10" ht="15.75" customHeight="1" x14ac:dyDescent="0.3">
      <c r="A1830" s="5" t="s">
        <v>2697</v>
      </c>
      <c r="B1830" s="11">
        <v>45293</v>
      </c>
      <c r="C1830" s="5" t="s">
        <v>447</v>
      </c>
      <c r="D1830" s="5" t="s">
        <v>256</v>
      </c>
      <c r="E1830" s="5" t="s">
        <v>33</v>
      </c>
      <c r="F1830" s="5">
        <v>1</v>
      </c>
      <c r="G1830" s="19">
        <v>0.1</v>
      </c>
      <c r="H1830" s="5" t="s">
        <v>697</v>
      </c>
      <c r="I1830" s="10">
        <f>IF(OR(D1830="", F1830=""), "", F1830 * VLOOKUP(D1830, Products!A:E, 5, FALSE) * (1 - G1830))</f>
        <v>1471.509</v>
      </c>
      <c r="J1830" s="10"/>
    </row>
    <row r="1831" spans="1:10" ht="15.75" customHeight="1" x14ac:dyDescent="0.3">
      <c r="A1831" s="5" t="s">
        <v>2698</v>
      </c>
      <c r="B1831" s="11">
        <v>45347</v>
      </c>
      <c r="C1831" s="5" t="s">
        <v>826</v>
      </c>
      <c r="D1831" s="5" t="s">
        <v>217</v>
      </c>
      <c r="E1831" s="5" t="s">
        <v>25</v>
      </c>
      <c r="F1831" s="5">
        <v>2</v>
      </c>
      <c r="G1831" s="19">
        <v>0</v>
      </c>
      <c r="H1831" s="5" t="s">
        <v>697</v>
      </c>
      <c r="I1831" s="10">
        <f>IF(OR(D1831="", F1831=""), "", F1831 * VLOOKUP(D1831, Products!A:E, 5, FALSE) * (1 - G1831))</f>
        <v>856.1</v>
      </c>
      <c r="J1831" s="10"/>
    </row>
    <row r="1832" spans="1:10" ht="15.75" customHeight="1" x14ac:dyDescent="0.3">
      <c r="A1832" s="5" t="s">
        <v>2699</v>
      </c>
      <c r="B1832" s="11">
        <v>45573</v>
      </c>
      <c r="C1832" s="5" t="s">
        <v>628</v>
      </c>
      <c r="D1832" s="5" t="s">
        <v>276</v>
      </c>
      <c r="E1832" s="5" t="s">
        <v>33</v>
      </c>
      <c r="F1832" s="5">
        <v>3</v>
      </c>
      <c r="G1832" s="19">
        <v>0.05</v>
      </c>
      <c r="H1832" s="5" t="s">
        <v>776</v>
      </c>
      <c r="I1832" s="10">
        <f>IF(OR(D1832="", F1832=""), "", F1832 * VLOOKUP(D1832, Products!A:E, 5, FALSE) * (1 - G1832))</f>
        <v>3411.9629999999997</v>
      </c>
      <c r="J1832" s="10"/>
    </row>
    <row r="1833" spans="1:10" ht="15.75" customHeight="1" x14ac:dyDescent="0.3">
      <c r="A1833" s="5" t="s">
        <v>2700</v>
      </c>
      <c r="B1833" s="11">
        <v>45513</v>
      </c>
      <c r="C1833" s="5" t="s">
        <v>683</v>
      </c>
      <c r="D1833" s="5" t="s">
        <v>285</v>
      </c>
      <c r="E1833" s="5" t="s">
        <v>33</v>
      </c>
      <c r="F1833" s="5">
        <v>3</v>
      </c>
      <c r="G1833" s="19">
        <v>0.15</v>
      </c>
      <c r="H1833" s="5" t="s">
        <v>637</v>
      </c>
      <c r="I1833" s="10">
        <f>IF(OR(D1833="", F1833=""), "", F1833 * VLOOKUP(D1833, Products!A:E, 5, FALSE) * (1 - G1833))</f>
        <v>990.06299999999999</v>
      </c>
      <c r="J1833" s="10"/>
    </row>
    <row r="1834" spans="1:10" ht="15.75" customHeight="1" x14ac:dyDescent="0.3">
      <c r="A1834" s="5" t="s">
        <v>2701</v>
      </c>
      <c r="B1834" s="11">
        <v>45708</v>
      </c>
      <c r="C1834" s="5" t="s">
        <v>503</v>
      </c>
      <c r="D1834" s="5" t="s">
        <v>54</v>
      </c>
      <c r="E1834" s="5" t="s">
        <v>33</v>
      </c>
      <c r="F1834" s="5">
        <v>4</v>
      </c>
      <c r="G1834" s="19">
        <v>0</v>
      </c>
      <c r="H1834" s="5" t="s">
        <v>454</v>
      </c>
      <c r="I1834" s="10">
        <f>IF(OR(D1834="", F1834=""), "", F1834 * VLOOKUP(D1834, Products!A:E, 5, FALSE) * (1 - G1834))</f>
        <v>7415.08</v>
      </c>
      <c r="J1834" s="10"/>
    </row>
    <row r="1835" spans="1:10" ht="15.75" customHeight="1" x14ac:dyDescent="0.3">
      <c r="A1835" s="5" t="s">
        <v>2702</v>
      </c>
      <c r="B1835" s="11">
        <v>45786</v>
      </c>
      <c r="C1835" s="5" t="s">
        <v>440</v>
      </c>
      <c r="D1835" s="5" t="s">
        <v>128</v>
      </c>
      <c r="E1835" s="5" t="s">
        <v>25</v>
      </c>
      <c r="F1835" s="5">
        <v>5</v>
      </c>
      <c r="G1835" s="19">
        <v>0.15</v>
      </c>
      <c r="H1835" s="5" t="s">
        <v>776</v>
      </c>
      <c r="I1835" s="10">
        <f>IF(OR(D1835="", F1835=""), "", F1835 * VLOOKUP(D1835, Products!A:E, 5, FALSE) * (1 - G1835))</f>
        <v>1376.66</v>
      </c>
      <c r="J1835" s="10"/>
    </row>
    <row r="1836" spans="1:10" ht="15.75" customHeight="1" x14ac:dyDescent="0.3">
      <c r="A1836" s="5" t="s">
        <v>2703</v>
      </c>
      <c r="B1836" s="11">
        <v>45861</v>
      </c>
      <c r="C1836" s="5" t="s">
        <v>281</v>
      </c>
      <c r="D1836" s="5" t="s">
        <v>272</v>
      </c>
      <c r="E1836" s="5" t="s">
        <v>29</v>
      </c>
      <c r="F1836" s="5">
        <v>5</v>
      </c>
      <c r="G1836" s="19">
        <v>0</v>
      </c>
      <c r="H1836" s="5" t="s">
        <v>454</v>
      </c>
      <c r="I1836" s="10">
        <f>IF(OR(D1836="", F1836=""), "", F1836 * VLOOKUP(D1836, Products!A:E, 5, FALSE) * (1 - G1836))</f>
        <v>5826.8499999999995</v>
      </c>
      <c r="J1836" s="10"/>
    </row>
    <row r="1837" spans="1:10" ht="15.75" customHeight="1" x14ac:dyDescent="0.3">
      <c r="A1837" s="5" t="s">
        <v>2704</v>
      </c>
      <c r="B1837" s="11">
        <v>45894</v>
      </c>
      <c r="C1837" s="5" t="s">
        <v>604</v>
      </c>
      <c r="D1837" s="5" t="s">
        <v>162</v>
      </c>
      <c r="E1837" s="5" t="s">
        <v>25</v>
      </c>
      <c r="F1837" s="5">
        <v>5</v>
      </c>
      <c r="G1837" s="19">
        <v>0.05</v>
      </c>
      <c r="H1837" s="5" t="s">
        <v>637</v>
      </c>
      <c r="I1837" s="10">
        <f>IF(OR(D1837="", F1837=""), "", F1837 * VLOOKUP(D1837, Products!A:E, 5, FALSE) * (1 - G1837))</f>
        <v>2038.4624999999999</v>
      </c>
      <c r="J1837" s="10"/>
    </row>
    <row r="1838" spans="1:10" ht="15.75" customHeight="1" x14ac:dyDescent="0.3">
      <c r="A1838" s="5" t="s">
        <v>2705</v>
      </c>
      <c r="B1838" s="11">
        <v>45679</v>
      </c>
      <c r="C1838" s="5" t="s">
        <v>808</v>
      </c>
      <c r="D1838" s="5" t="s">
        <v>285</v>
      </c>
      <c r="E1838" s="5" t="s">
        <v>33</v>
      </c>
      <c r="F1838" s="5">
        <v>3</v>
      </c>
      <c r="G1838" s="19">
        <v>0.05</v>
      </c>
      <c r="H1838" s="5" t="s">
        <v>697</v>
      </c>
      <c r="I1838" s="10">
        <f>IF(OR(D1838="", F1838=""), "", F1838 * VLOOKUP(D1838, Products!A:E, 5, FALSE) * (1 - G1838))</f>
        <v>1106.5409999999999</v>
      </c>
      <c r="J1838" s="10"/>
    </row>
    <row r="1839" spans="1:10" ht="15.75" customHeight="1" x14ac:dyDescent="0.3">
      <c r="A1839" s="5" t="s">
        <v>2706</v>
      </c>
      <c r="B1839" s="11">
        <v>45528</v>
      </c>
      <c r="C1839" s="5" t="s">
        <v>372</v>
      </c>
      <c r="D1839" s="5" t="s">
        <v>272</v>
      </c>
      <c r="E1839" s="5" t="s">
        <v>25</v>
      </c>
      <c r="F1839" s="5">
        <v>1</v>
      </c>
      <c r="G1839" s="19">
        <v>0.1</v>
      </c>
      <c r="H1839" s="5" t="s">
        <v>776</v>
      </c>
      <c r="I1839" s="10">
        <f>IF(OR(D1839="", F1839=""), "", F1839 * VLOOKUP(D1839, Products!A:E, 5, FALSE) * (1 - G1839))</f>
        <v>1048.8329999999999</v>
      </c>
      <c r="J1839" s="10"/>
    </row>
    <row r="1840" spans="1:10" ht="15.75" customHeight="1" x14ac:dyDescent="0.3">
      <c r="A1840" s="5" t="s">
        <v>2707</v>
      </c>
      <c r="B1840" s="11">
        <v>45830</v>
      </c>
      <c r="C1840" s="5" t="s">
        <v>662</v>
      </c>
      <c r="D1840" s="5" t="s">
        <v>128</v>
      </c>
      <c r="E1840" s="5" t="s">
        <v>25</v>
      </c>
      <c r="F1840" s="5">
        <v>4</v>
      </c>
      <c r="G1840" s="19">
        <v>0.15</v>
      </c>
      <c r="H1840" s="5" t="s">
        <v>697</v>
      </c>
      <c r="I1840" s="10">
        <f>IF(OR(D1840="", F1840=""), "", F1840 * VLOOKUP(D1840, Products!A:E, 5, FALSE) * (1 - G1840))</f>
        <v>1101.328</v>
      </c>
      <c r="J1840" s="10"/>
    </row>
    <row r="1841" spans="1:10" ht="15.75" customHeight="1" x14ac:dyDescent="0.3">
      <c r="A1841" s="5" t="s">
        <v>2708</v>
      </c>
      <c r="B1841" s="11">
        <v>45248</v>
      </c>
      <c r="C1841" s="5" t="s">
        <v>165</v>
      </c>
      <c r="D1841" s="5" t="s">
        <v>168</v>
      </c>
      <c r="E1841" s="5" t="s">
        <v>21</v>
      </c>
      <c r="F1841" s="5">
        <v>3</v>
      </c>
      <c r="G1841" s="19">
        <v>0.15</v>
      </c>
      <c r="H1841" s="5" t="s">
        <v>697</v>
      </c>
      <c r="I1841" s="10">
        <f>IF(OR(D1841="", F1841=""), "", F1841 * VLOOKUP(D1841, Products!A:E, 5, FALSE) * (1 - G1841))</f>
        <v>2590.1879999999996</v>
      </c>
      <c r="J1841" s="10"/>
    </row>
    <row r="1842" spans="1:10" ht="15.75" customHeight="1" x14ac:dyDescent="0.3">
      <c r="A1842" s="5" t="s">
        <v>2709</v>
      </c>
      <c r="B1842" s="11">
        <v>45360</v>
      </c>
      <c r="C1842" s="5" t="s">
        <v>159</v>
      </c>
      <c r="D1842" s="5" t="s">
        <v>188</v>
      </c>
      <c r="E1842" s="5" t="s">
        <v>21</v>
      </c>
      <c r="F1842" s="5">
        <v>5</v>
      </c>
      <c r="G1842" s="19">
        <v>0.1</v>
      </c>
      <c r="H1842" s="5" t="s">
        <v>637</v>
      </c>
      <c r="I1842" s="10">
        <f>IF(OR(D1842="", F1842=""), "", F1842 * VLOOKUP(D1842, Products!A:E, 5, FALSE) * (1 - G1842))</f>
        <v>6682.7250000000004</v>
      </c>
      <c r="J1842" s="10"/>
    </row>
    <row r="1843" spans="1:10" ht="15.75" customHeight="1" x14ac:dyDescent="0.3">
      <c r="A1843" s="5" t="s">
        <v>2710</v>
      </c>
      <c r="B1843" s="11">
        <v>45387</v>
      </c>
      <c r="C1843" s="5" t="s">
        <v>304</v>
      </c>
      <c r="D1843" s="5" t="s">
        <v>193</v>
      </c>
      <c r="E1843" s="5" t="s">
        <v>33</v>
      </c>
      <c r="F1843" s="5">
        <v>2</v>
      </c>
      <c r="G1843" s="19">
        <v>0</v>
      </c>
      <c r="H1843" s="5" t="s">
        <v>776</v>
      </c>
      <c r="I1843" s="10">
        <f>IF(OR(D1843="", F1843=""), "", F1843 * VLOOKUP(D1843, Products!A:E, 5, FALSE) * (1 - G1843))</f>
        <v>58.48</v>
      </c>
      <c r="J1843" s="10"/>
    </row>
    <row r="1844" spans="1:10" ht="15.75" customHeight="1" x14ac:dyDescent="0.3">
      <c r="A1844" s="5" t="s">
        <v>2711</v>
      </c>
      <c r="B1844" s="11">
        <v>45220</v>
      </c>
      <c r="C1844" s="5" t="s">
        <v>397</v>
      </c>
      <c r="D1844" s="5" t="s">
        <v>70</v>
      </c>
      <c r="E1844" s="5" t="s">
        <v>33</v>
      </c>
      <c r="F1844" s="5">
        <v>4</v>
      </c>
      <c r="G1844" s="19">
        <v>0.1</v>
      </c>
      <c r="H1844" s="5" t="s">
        <v>697</v>
      </c>
      <c r="I1844" s="10">
        <f>IF(OR(D1844="", F1844=""), "", F1844 * VLOOKUP(D1844, Products!A:E, 5, FALSE) * (1 - G1844))</f>
        <v>443.48399999999998</v>
      </c>
      <c r="J1844" s="10"/>
    </row>
    <row r="1845" spans="1:10" ht="15.75" customHeight="1" x14ac:dyDescent="0.3">
      <c r="A1845" s="5" t="s">
        <v>2712</v>
      </c>
      <c r="B1845" s="11">
        <v>45616</v>
      </c>
      <c r="C1845" s="5" t="s">
        <v>774</v>
      </c>
      <c r="D1845" s="5" t="s">
        <v>237</v>
      </c>
      <c r="E1845" s="5" t="s">
        <v>33</v>
      </c>
      <c r="F1845" s="5">
        <v>1</v>
      </c>
      <c r="G1845" s="19">
        <v>0.15</v>
      </c>
      <c r="H1845" s="5" t="s">
        <v>637</v>
      </c>
      <c r="I1845" s="10">
        <f>IF(OR(D1845="", F1845=""), "", F1845 * VLOOKUP(D1845, Products!A:E, 5, FALSE) * (1 - G1845))</f>
        <v>311.89049999999997</v>
      </c>
      <c r="J1845" s="10"/>
    </row>
    <row r="1846" spans="1:10" ht="15.75" customHeight="1" x14ac:dyDescent="0.3">
      <c r="A1846" s="5" t="s">
        <v>2713</v>
      </c>
      <c r="B1846" s="11">
        <v>45642</v>
      </c>
      <c r="C1846" s="5" t="s">
        <v>433</v>
      </c>
      <c r="D1846" s="5" t="s">
        <v>115</v>
      </c>
      <c r="E1846" s="5" t="s">
        <v>33</v>
      </c>
      <c r="F1846" s="5">
        <v>3</v>
      </c>
      <c r="G1846" s="19">
        <v>0</v>
      </c>
      <c r="H1846" s="5" t="s">
        <v>776</v>
      </c>
      <c r="I1846" s="10">
        <f>IF(OR(D1846="", F1846=""), "", F1846 * VLOOKUP(D1846, Products!A:E, 5, FALSE) * (1 - G1846))</f>
        <v>3738.33</v>
      </c>
      <c r="J1846" s="10"/>
    </row>
    <row r="1847" spans="1:10" ht="15.75" customHeight="1" x14ac:dyDescent="0.3">
      <c r="A1847" s="5" t="s">
        <v>2714</v>
      </c>
      <c r="B1847" s="11">
        <v>45236</v>
      </c>
      <c r="C1847" s="5" t="s">
        <v>250</v>
      </c>
      <c r="D1847" s="5" t="s">
        <v>50</v>
      </c>
      <c r="E1847" s="5" t="s">
        <v>21</v>
      </c>
      <c r="F1847" s="5">
        <v>1</v>
      </c>
      <c r="G1847" s="19">
        <v>0.15</v>
      </c>
      <c r="H1847" s="5" t="s">
        <v>697</v>
      </c>
      <c r="I1847" s="10">
        <f>IF(OR(D1847="", F1847=""), "", F1847 * VLOOKUP(D1847, Products!A:E, 5, FALSE) * (1 - G1847))</f>
        <v>286.9855</v>
      </c>
      <c r="J1847" s="10"/>
    </row>
    <row r="1848" spans="1:10" ht="15.75" customHeight="1" x14ac:dyDescent="0.3">
      <c r="A1848" s="5" t="s">
        <v>2715</v>
      </c>
      <c r="B1848" s="11">
        <v>45744</v>
      </c>
      <c r="C1848" s="5" t="s">
        <v>106</v>
      </c>
      <c r="D1848" s="5" t="s">
        <v>256</v>
      </c>
      <c r="E1848" s="5" t="s">
        <v>37</v>
      </c>
      <c r="F1848" s="5">
        <v>5</v>
      </c>
      <c r="G1848" s="19">
        <v>0.15</v>
      </c>
      <c r="H1848" s="5" t="s">
        <v>454</v>
      </c>
      <c r="I1848" s="10">
        <f>IF(OR(D1848="", F1848=""), "", F1848 * VLOOKUP(D1848, Products!A:E, 5, FALSE) * (1 - G1848))</f>
        <v>6948.7924999999996</v>
      </c>
      <c r="J1848" s="10"/>
    </row>
    <row r="1849" spans="1:10" ht="15.75" customHeight="1" x14ac:dyDescent="0.3">
      <c r="A1849" s="5" t="s">
        <v>2716</v>
      </c>
      <c r="B1849" s="11">
        <v>45374</v>
      </c>
      <c r="C1849" s="5" t="s">
        <v>805</v>
      </c>
      <c r="D1849" s="5" t="s">
        <v>50</v>
      </c>
      <c r="E1849" s="5" t="s">
        <v>21</v>
      </c>
      <c r="F1849" s="5">
        <v>5</v>
      </c>
      <c r="G1849" s="19">
        <v>0.05</v>
      </c>
      <c r="H1849" s="5" t="s">
        <v>637</v>
      </c>
      <c r="I1849" s="10">
        <f>IF(OR(D1849="", F1849=""), "", F1849 * VLOOKUP(D1849, Products!A:E, 5, FALSE) * (1 - G1849))</f>
        <v>1603.7425000000001</v>
      </c>
      <c r="J1849" s="10"/>
    </row>
    <row r="1850" spans="1:10" ht="15.75" customHeight="1" x14ac:dyDescent="0.3">
      <c r="A1850" s="5" t="s">
        <v>2717</v>
      </c>
      <c r="B1850" s="11">
        <v>45460</v>
      </c>
      <c r="C1850" s="5" t="s">
        <v>624</v>
      </c>
      <c r="D1850" s="5" t="s">
        <v>249</v>
      </c>
      <c r="E1850" s="5" t="s">
        <v>33</v>
      </c>
      <c r="F1850" s="5">
        <v>3</v>
      </c>
      <c r="G1850" s="19">
        <v>0.05</v>
      </c>
      <c r="H1850" s="5" t="s">
        <v>776</v>
      </c>
      <c r="I1850" s="10">
        <f>IF(OR(D1850="", F1850=""), "", F1850 * VLOOKUP(D1850, Products!A:E, 5, FALSE) * (1 - G1850))</f>
        <v>4974.9884999999995</v>
      </c>
      <c r="J1850" s="10"/>
    </row>
    <row r="1851" spans="1:10" ht="15.75" customHeight="1" x14ac:dyDescent="0.3">
      <c r="A1851" s="5" t="s">
        <v>2718</v>
      </c>
      <c r="B1851" s="11">
        <v>45716</v>
      </c>
      <c r="C1851" s="5" t="s">
        <v>481</v>
      </c>
      <c r="D1851" s="5" t="s">
        <v>256</v>
      </c>
      <c r="E1851" s="5" t="s">
        <v>21</v>
      </c>
      <c r="F1851" s="5">
        <v>5</v>
      </c>
      <c r="G1851" s="19">
        <v>0.05</v>
      </c>
      <c r="H1851" s="5" t="s">
        <v>637</v>
      </c>
      <c r="I1851" s="10">
        <f>IF(OR(D1851="", F1851=""), "", F1851 * VLOOKUP(D1851, Products!A:E, 5, FALSE) * (1 - G1851))</f>
        <v>7766.2974999999997</v>
      </c>
      <c r="J1851" s="10"/>
    </row>
    <row r="1852" spans="1:10" ht="15.75" customHeight="1" x14ac:dyDescent="0.3">
      <c r="A1852" s="5" t="s">
        <v>2719</v>
      </c>
      <c r="B1852" s="11">
        <v>45779</v>
      </c>
      <c r="C1852" s="5" t="s">
        <v>811</v>
      </c>
      <c r="D1852" s="5" t="s">
        <v>232</v>
      </c>
      <c r="E1852" s="5" t="s">
        <v>21</v>
      </c>
      <c r="F1852" s="5">
        <v>4</v>
      </c>
      <c r="G1852" s="19">
        <v>0.15</v>
      </c>
      <c r="H1852" s="5" t="s">
        <v>776</v>
      </c>
      <c r="I1852" s="10">
        <f>IF(OR(D1852="", F1852=""), "", F1852 * VLOOKUP(D1852, Products!A:E, 5, FALSE) * (1 - G1852))</f>
        <v>6639.01</v>
      </c>
      <c r="J1852" s="10"/>
    </row>
    <row r="1853" spans="1:10" ht="15.75" customHeight="1" x14ac:dyDescent="0.3">
      <c r="A1853" s="5" t="s">
        <v>2720</v>
      </c>
      <c r="B1853" s="11">
        <v>45641</v>
      </c>
      <c r="C1853" s="5" t="s">
        <v>657</v>
      </c>
      <c r="D1853" s="5" t="s">
        <v>89</v>
      </c>
      <c r="E1853" s="5" t="s">
        <v>37</v>
      </c>
      <c r="F1853" s="5">
        <v>5</v>
      </c>
      <c r="G1853" s="19">
        <v>0</v>
      </c>
      <c r="H1853" s="5" t="s">
        <v>697</v>
      </c>
      <c r="I1853" s="10">
        <f>IF(OR(D1853="", F1853=""), "", F1853 * VLOOKUP(D1853, Products!A:E, 5, FALSE) * (1 - G1853))</f>
        <v>5674</v>
      </c>
      <c r="J1853" s="10"/>
    </row>
    <row r="1854" spans="1:10" ht="15.75" customHeight="1" x14ac:dyDescent="0.3">
      <c r="A1854" s="5" t="s">
        <v>2721</v>
      </c>
      <c r="B1854" s="11">
        <v>45651</v>
      </c>
      <c r="C1854" s="5" t="s">
        <v>773</v>
      </c>
      <c r="D1854" s="5" t="s">
        <v>47</v>
      </c>
      <c r="E1854" s="5" t="s">
        <v>21</v>
      </c>
      <c r="F1854" s="5">
        <v>2</v>
      </c>
      <c r="G1854" s="19">
        <v>0.05</v>
      </c>
      <c r="H1854" s="5" t="s">
        <v>776</v>
      </c>
      <c r="I1854" s="10">
        <f>IF(OR(D1854="", F1854=""), "", F1854 * VLOOKUP(D1854, Products!A:E, 5, FALSE) * (1 - G1854))</f>
        <v>1555.644</v>
      </c>
      <c r="J1854" s="10"/>
    </row>
    <row r="1855" spans="1:10" ht="15.75" customHeight="1" x14ac:dyDescent="0.3">
      <c r="A1855" s="5" t="s">
        <v>2722</v>
      </c>
      <c r="B1855" s="11">
        <v>45599</v>
      </c>
      <c r="C1855" s="5" t="s">
        <v>691</v>
      </c>
      <c r="D1855" s="5" t="s">
        <v>57</v>
      </c>
      <c r="E1855" s="5" t="s">
        <v>33</v>
      </c>
      <c r="F1855" s="5">
        <v>3</v>
      </c>
      <c r="G1855" s="19">
        <v>0</v>
      </c>
      <c r="H1855" s="5" t="s">
        <v>776</v>
      </c>
      <c r="I1855" s="10">
        <f>IF(OR(D1855="", F1855=""), "", F1855 * VLOOKUP(D1855, Products!A:E, 5, FALSE) * (1 - G1855))</f>
        <v>4188.66</v>
      </c>
      <c r="J1855" s="10"/>
    </row>
    <row r="1856" spans="1:10" ht="15.75" customHeight="1" x14ac:dyDescent="0.3">
      <c r="A1856" s="5" t="s">
        <v>2723</v>
      </c>
      <c r="B1856" s="11">
        <v>45597</v>
      </c>
      <c r="C1856" s="5" t="s">
        <v>274</v>
      </c>
      <c r="D1856" s="5" t="s">
        <v>54</v>
      </c>
      <c r="E1856" s="5" t="s">
        <v>37</v>
      </c>
      <c r="F1856" s="5">
        <v>2</v>
      </c>
      <c r="G1856" s="19">
        <v>0.05</v>
      </c>
      <c r="H1856" s="5" t="s">
        <v>776</v>
      </c>
      <c r="I1856" s="10">
        <f>IF(OR(D1856="", F1856=""), "", F1856 * VLOOKUP(D1856, Products!A:E, 5, FALSE) * (1 - G1856))</f>
        <v>3522.163</v>
      </c>
      <c r="J1856" s="10"/>
    </row>
    <row r="1857" spans="1:10" ht="15.75" customHeight="1" x14ac:dyDescent="0.3">
      <c r="A1857" s="5" t="s">
        <v>2724</v>
      </c>
      <c r="B1857" s="11">
        <v>45624</v>
      </c>
      <c r="C1857" s="5" t="s">
        <v>695</v>
      </c>
      <c r="D1857" s="5" t="s">
        <v>221</v>
      </c>
      <c r="E1857" s="5" t="s">
        <v>29</v>
      </c>
      <c r="F1857" s="5">
        <v>1</v>
      </c>
      <c r="G1857" s="19">
        <v>0</v>
      </c>
      <c r="H1857" s="5" t="s">
        <v>776</v>
      </c>
      <c r="I1857" s="10">
        <f>IF(OR(D1857="", F1857=""), "", F1857 * VLOOKUP(D1857, Products!A:E, 5, FALSE) * (1 - G1857))</f>
        <v>1562.43</v>
      </c>
      <c r="J1857" s="10"/>
    </row>
    <row r="1858" spans="1:10" ht="15.75" customHeight="1" x14ac:dyDescent="0.3">
      <c r="A1858" s="5" t="s">
        <v>2725</v>
      </c>
      <c r="B1858" s="11">
        <v>45824</v>
      </c>
      <c r="C1858" s="5" t="s">
        <v>645</v>
      </c>
      <c r="D1858" s="5" t="s">
        <v>243</v>
      </c>
      <c r="E1858" s="5" t="s">
        <v>29</v>
      </c>
      <c r="F1858" s="5">
        <v>3</v>
      </c>
      <c r="G1858" s="19">
        <v>0.05</v>
      </c>
      <c r="H1858" s="5" t="s">
        <v>637</v>
      </c>
      <c r="I1858" s="10">
        <f>IF(OR(D1858="", F1858=""), "", F1858 * VLOOKUP(D1858, Products!A:E, 5, FALSE) * (1 - G1858))</f>
        <v>1541.6790000000001</v>
      </c>
      <c r="J1858" s="10"/>
    </row>
    <row r="1859" spans="1:10" ht="15.75" customHeight="1" x14ac:dyDescent="0.3">
      <c r="A1859" s="5" t="s">
        <v>2726</v>
      </c>
      <c r="B1859" s="11">
        <v>45385</v>
      </c>
      <c r="C1859" s="5" t="s">
        <v>773</v>
      </c>
      <c r="D1859" s="5" t="s">
        <v>115</v>
      </c>
      <c r="E1859" s="5" t="s">
        <v>21</v>
      </c>
      <c r="F1859" s="5">
        <v>2</v>
      </c>
      <c r="G1859" s="19">
        <v>0.1</v>
      </c>
      <c r="H1859" s="5" t="s">
        <v>776</v>
      </c>
      <c r="I1859" s="10">
        <f>IF(OR(D1859="", F1859=""), "", F1859 * VLOOKUP(D1859, Products!A:E, 5, FALSE) * (1 - G1859))</f>
        <v>2242.998</v>
      </c>
      <c r="J1859" s="10"/>
    </row>
    <row r="1860" spans="1:10" ht="15.75" customHeight="1" x14ac:dyDescent="0.3">
      <c r="A1860" s="5" t="s">
        <v>2727</v>
      </c>
      <c r="B1860" s="11">
        <v>45821</v>
      </c>
      <c r="C1860" s="5" t="s">
        <v>657</v>
      </c>
      <c r="D1860" s="5" t="s">
        <v>77</v>
      </c>
      <c r="E1860" s="5" t="s">
        <v>29</v>
      </c>
      <c r="F1860" s="5">
        <v>5</v>
      </c>
      <c r="G1860" s="19">
        <v>0.15</v>
      </c>
      <c r="H1860" s="5" t="s">
        <v>697</v>
      </c>
      <c r="I1860" s="10">
        <f>IF(OR(D1860="", F1860=""), "", F1860 * VLOOKUP(D1860, Products!A:E, 5, FALSE) * (1 - G1860))</f>
        <v>1056.4224999999999</v>
      </c>
      <c r="J1860" s="10"/>
    </row>
    <row r="1861" spans="1:10" ht="15.75" customHeight="1" x14ac:dyDescent="0.3">
      <c r="A1861" s="5" t="s">
        <v>2728</v>
      </c>
      <c r="B1861" s="11">
        <v>45448</v>
      </c>
      <c r="C1861" s="5" t="s">
        <v>708</v>
      </c>
      <c r="D1861" s="5" t="s">
        <v>70</v>
      </c>
      <c r="E1861" s="5" t="s">
        <v>33</v>
      </c>
      <c r="F1861" s="5">
        <v>3</v>
      </c>
      <c r="G1861" s="19">
        <v>0.1</v>
      </c>
      <c r="H1861" s="5" t="s">
        <v>697</v>
      </c>
      <c r="I1861" s="10">
        <f>IF(OR(D1861="", F1861=""), "", F1861 * VLOOKUP(D1861, Products!A:E, 5, FALSE) * (1 - G1861))</f>
        <v>332.613</v>
      </c>
      <c r="J1861" s="10"/>
    </row>
    <row r="1862" spans="1:10" ht="15.75" customHeight="1" x14ac:dyDescent="0.3">
      <c r="A1862" s="5" t="s">
        <v>2729</v>
      </c>
      <c r="B1862" s="11">
        <v>45357</v>
      </c>
      <c r="C1862" s="5" t="s">
        <v>802</v>
      </c>
      <c r="D1862" s="5" t="s">
        <v>140</v>
      </c>
      <c r="E1862" s="5" t="s">
        <v>21</v>
      </c>
      <c r="F1862" s="5">
        <v>1</v>
      </c>
      <c r="G1862" s="19">
        <v>0.05</v>
      </c>
      <c r="H1862" s="5" t="s">
        <v>776</v>
      </c>
      <c r="I1862" s="10">
        <f>IF(OR(D1862="", F1862=""), "", F1862 * VLOOKUP(D1862, Products!A:E, 5, FALSE) * (1 - G1862))</f>
        <v>24.291499999999999</v>
      </c>
      <c r="J1862" s="10"/>
    </row>
    <row r="1863" spans="1:10" ht="15.75" customHeight="1" x14ac:dyDescent="0.3">
      <c r="A1863" s="5" t="s">
        <v>2730</v>
      </c>
      <c r="B1863" s="11">
        <v>45188</v>
      </c>
      <c r="C1863" s="5" t="s">
        <v>346</v>
      </c>
      <c r="D1863" s="5" t="s">
        <v>256</v>
      </c>
      <c r="E1863" s="5" t="s">
        <v>25</v>
      </c>
      <c r="F1863" s="5">
        <v>3</v>
      </c>
      <c r="G1863" s="19">
        <v>0.05</v>
      </c>
      <c r="H1863" s="5" t="s">
        <v>697</v>
      </c>
      <c r="I1863" s="10">
        <f>IF(OR(D1863="", F1863=""), "", F1863 * VLOOKUP(D1863, Products!A:E, 5, FALSE) * (1 - G1863))</f>
        <v>4659.7784999999994</v>
      </c>
      <c r="J1863" s="10"/>
    </row>
    <row r="1864" spans="1:10" ht="15.75" customHeight="1" x14ac:dyDescent="0.3">
      <c r="A1864" s="5" t="s">
        <v>2731</v>
      </c>
      <c r="B1864" s="11">
        <v>45788</v>
      </c>
      <c r="C1864" s="5" t="s">
        <v>729</v>
      </c>
      <c r="D1864" s="5" t="s">
        <v>249</v>
      </c>
      <c r="E1864" s="5" t="s">
        <v>37</v>
      </c>
      <c r="F1864" s="5">
        <v>2</v>
      </c>
      <c r="G1864" s="19">
        <v>0.1</v>
      </c>
      <c r="H1864" s="5" t="s">
        <v>454</v>
      </c>
      <c r="I1864" s="10">
        <f>IF(OR(D1864="", F1864=""), "", F1864 * VLOOKUP(D1864, Products!A:E, 5, FALSE) * (1 - G1864))</f>
        <v>3142.098</v>
      </c>
      <c r="J1864" s="10"/>
    </row>
    <row r="1865" spans="1:10" ht="15.75" customHeight="1" x14ac:dyDescent="0.3">
      <c r="A1865" s="5" t="s">
        <v>2732</v>
      </c>
      <c r="B1865" s="11">
        <v>45684</v>
      </c>
      <c r="C1865" s="5" t="s">
        <v>274</v>
      </c>
      <c r="D1865" s="5" t="s">
        <v>249</v>
      </c>
      <c r="E1865" s="5" t="s">
        <v>37</v>
      </c>
      <c r="F1865" s="5">
        <v>4</v>
      </c>
      <c r="G1865" s="19">
        <v>0</v>
      </c>
      <c r="H1865" s="5" t="s">
        <v>454</v>
      </c>
      <c r="I1865" s="10">
        <f>IF(OR(D1865="", F1865=""), "", F1865 * VLOOKUP(D1865, Products!A:E, 5, FALSE) * (1 - G1865))</f>
        <v>6982.44</v>
      </c>
      <c r="J1865" s="10"/>
    </row>
    <row r="1866" spans="1:10" ht="15.75" customHeight="1" x14ac:dyDescent="0.3">
      <c r="A1866" s="5" t="s">
        <v>2733</v>
      </c>
      <c r="B1866" s="11">
        <v>45658</v>
      </c>
      <c r="C1866" s="5" t="s">
        <v>416</v>
      </c>
      <c r="D1866" s="5" t="s">
        <v>115</v>
      </c>
      <c r="E1866" s="5" t="s">
        <v>33</v>
      </c>
      <c r="F1866" s="5">
        <v>2</v>
      </c>
      <c r="G1866" s="19">
        <v>0.15</v>
      </c>
      <c r="H1866" s="5" t="s">
        <v>637</v>
      </c>
      <c r="I1866" s="10">
        <f>IF(OR(D1866="", F1866=""), "", F1866 * VLOOKUP(D1866, Products!A:E, 5, FALSE) * (1 - G1866))</f>
        <v>2118.3869999999997</v>
      </c>
      <c r="J1866" s="10"/>
    </row>
    <row r="1867" spans="1:10" ht="15.75" customHeight="1" x14ac:dyDescent="0.3">
      <c r="A1867" s="5" t="s">
        <v>2734</v>
      </c>
      <c r="B1867" s="11">
        <v>45771</v>
      </c>
      <c r="C1867" s="5" t="s">
        <v>203</v>
      </c>
      <c r="D1867" s="5" t="s">
        <v>153</v>
      </c>
      <c r="E1867" s="5" t="s">
        <v>29</v>
      </c>
      <c r="F1867" s="5">
        <v>4</v>
      </c>
      <c r="G1867" s="19">
        <v>0.05</v>
      </c>
      <c r="H1867" s="5" t="s">
        <v>697</v>
      </c>
      <c r="I1867" s="10">
        <f>IF(OR(D1867="", F1867=""), "", F1867 * VLOOKUP(D1867, Products!A:E, 5, FALSE) * (1 - G1867))</f>
        <v>5652.1580000000004</v>
      </c>
      <c r="J1867" s="10"/>
    </row>
    <row r="1868" spans="1:10" ht="15.75" customHeight="1" x14ac:dyDescent="0.3">
      <c r="A1868" s="5" t="s">
        <v>2735</v>
      </c>
      <c r="B1868" s="11">
        <v>45714</v>
      </c>
      <c r="C1868" s="5" t="s">
        <v>185</v>
      </c>
      <c r="D1868" s="5" t="s">
        <v>212</v>
      </c>
      <c r="E1868" s="5" t="s">
        <v>29</v>
      </c>
      <c r="F1868" s="5">
        <v>2</v>
      </c>
      <c r="G1868" s="19">
        <v>0.1</v>
      </c>
      <c r="H1868" s="5" t="s">
        <v>697</v>
      </c>
      <c r="I1868" s="10">
        <f>IF(OR(D1868="", F1868=""), "", F1868 * VLOOKUP(D1868, Products!A:E, 5, FALSE) * (1 - G1868))</f>
        <v>3238.1460000000002</v>
      </c>
      <c r="J1868" s="10"/>
    </row>
    <row r="1869" spans="1:10" ht="15.75" customHeight="1" x14ac:dyDescent="0.3">
      <c r="A1869" s="5" t="s">
        <v>2736</v>
      </c>
      <c r="B1869" s="11">
        <v>45744</v>
      </c>
      <c r="C1869" s="5" t="s">
        <v>567</v>
      </c>
      <c r="D1869" s="5" t="s">
        <v>256</v>
      </c>
      <c r="E1869" s="5" t="s">
        <v>25</v>
      </c>
      <c r="F1869" s="5">
        <v>3</v>
      </c>
      <c r="G1869" s="19">
        <v>0.15</v>
      </c>
      <c r="H1869" s="5" t="s">
        <v>637</v>
      </c>
      <c r="I1869" s="10">
        <f>IF(OR(D1869="", F1869=""), "", F1869 * VLOOKUP(D1869, Products!A:E, 5, FALSE) * (1 - G1869))</f>
        <v>4169.2754999999997</v>
      </c>
      <c r="J1869" s="10"/>
    </row>
    <row r="1870" spans="1:10" ht="15.75" customHeight="1" x14ac:dyDescent="0.3">
      <c r="A1870" s="5" t="s">
        <v>2737</v>
      </c>
      <c r="B1870" s="11">
        <v>45729</v>
      </c>
      <c r="C1870" s="5" t="s">
        <v>113</v>
      </c>
      <c r="D1870" s="5" t="s">
        <v>77</v>
      </c>
      <c r="E1870" s="5" t="s">
        <v>37</v>
      </c>
      <c r="F1870" s="5">
        <v>2</v>
      </c>
      <c r="G1870" s="19">
        <v>0</v>
      </c>
      <c r="H1870" s="5" t="s">
        <v>454</v>
      </c>
      <c r="I1870" s="10">
        <f>IF(OR(D1870="", F1870=""), "", F1870 * VLOOKUP(D1870, Products!A:E, 5, FALSE) * (1 - G1870))</f>
        <v>497.14</v>
      </c>
      <c r="J1870" s="10"/>
    </row>
    <row r="1871" spans="1:10" ht="15.75" customHeight="1" x14ac:dyDescent="0.3">
      <c r="A1871" s="5" t="s">
        <v>2738</v>
      </c>
      <c r="B1871" s="11">
        <v>45862</v>
      </c>
      <c r="C1871" s="5" t="s">
        <v>261</v>
      </c>
      <c r="D1871" s="5" t="s">
        <v>168</v>
      </c>
      <c r="E1871" s="5" t="s">
        <v>37</v>
      </c>
      <c r="F1871" s="5">
        <v>1</v>
      </c>
      <c r="G1871" s="19">
        <v>0.15</v>
      </c>
      <c r="H1871" s="5" t="s">
        <v>776</v>
      </c>
      <c r="I1871" s="10">
        <f>IF(OR(D1871="", F1871=""), "", F1871 * VLOOKUP(D1871, Products!A:E, 5, FALSE) * (1 - G1871))</f>
        <v>863.39599999999996</v>
      </c>
      <c r="J1871" s="10"/>
    </row>
    <row r="1872" spans="1:10" ht="15.75" customHeight="1" x14ac:dyDescent="0.3">
      <c r="A1872" s="5" t="s">
        <v>2739</v>
      </c>
      <c r="B1872" s="11">
        <v>45558</v>
      </c>
      <c r="C1872" s="5" t="s">
        <v>484</v>
      </c>
      <c r="D1872" s="5" t="s">
        <v>262</v>
      </c>
      <c r="E1872" s="5" t="s">
        <v>21</v>
      </c>
      <c r="F1872" s="5">
        <v>3</v>
      </c>
      <c r="G1872" s="19">
        <v>0.1</v>
      </c>
      <c r="H1872" s="5" t="s">
        <v>454</v>
      </c>
      <c r="I1872" s="10">
        <f>IF(OR(D1872="", F1872=""), "", F1872 * VLOOKUP(D1872, Products!A:E, 5, FALSE) * (1 - G1872))</f>
        <v>1224.7740000000001</v>
      </c>
      <c r="J1872" s="10"/>
    </row>
    <row r="1873" spans="1:10" ht="15.75" customHeight="1" x14ac:dyDescent="0.3">
      <c r="A1873" s="5" t="s">
        <v>2740</v>
      </c>
      <c r="B1873" s="11">
        <v>45744</v>
      </c>
      <c r="C1873" s="5" t="s">
        <v>300</v>
      </c>
      <c r="D1873" s="5" t="s">
        <v>67</v>
      </c>
      <c r="E1873" s="5" t="s">
        <v>25</v>
      </c>
      <c r="F1873" s="5">
        <v>3</v>
      </c>
      <c r="G1873" s="19">
        <v>0</v>
      </c>
      <c r="H1873" s="5" t="s">
        <v>776</v>
      </c>
      <c r="I1873" s="10">
        <f>IF(OR(D1873="", F1873=""), "", F1873 * VLOOKUP(D1873, Products!A:E, 5, FALSE) * (1 - G1873))</f>
        <v>329.34000000000003</v>
      </c>
      <c r="J1873" s="10"/>
    </row>
    <row r="1874" spans="1:10" ht="15.75" customHeight="1" x14ac:dyDescent="0.3">
      <c r="A1874" s="5" t="s">
        <v>2741</v>
      </c>
      <c r="B1874" s="11">
        <v>45767</v>
      </c>
      <c r="C1874" s="5" t="s">
        <v>528</v>
      </c>
      <c r="D1874" s="5" t="s">
        <v>54</v>
      </c>
      <c r="E1874" s="5" t="s">
        <v>25</v>
      </c>
      <c r="F1874" s="5">
        <v>4</v>
      </c>
      <c r="G1874" s="19">
        <v>0</v>
      </c>
      <c r="H1874" s="5" t="s">
        <v>776</v>
      </c>
      <c r="I1874" s="10">
        <f>IF(OR(D1874="", F1874=""), "", F1874 * VLOOKUP(D1874, Products!A:E, 5, FALSE) * (1 - G1874))</f>
        <v>7415.08</v>
      </c>
      <c r="J1874" s="10"/>
    </row>
    <row r="1875" spans="1:10" ht="15.75" customHeight="1" x14ac:dyDescent="0.3">
      <c r="A1875" s="5" t="s">
        <v>2742</v>
      </c>
      <c r="B1875" s="11">
        <v>45303</v>
      </c>
      <c r="C1875" s="5" t="s">
        <v>330</v>
      </c>
      <c r="D1875" s="5" t="s">
        <v>232</v>
      </c>
      <c r="E1875" s="5" t="s">
        <v>37</v>
      </c>
      <c r="F1875" s="5">
        <v>3</v>
      </c>
      <c r="G1875" s="19">
        <v>0.15</v>
      </c>
      <c r="H1875" s="5" t="s">
        <v>776</v>
      </c>
      <c r="I1875" s="10">
        <f>IF(OR(D1875="", F1875=""), "", F1875 * VLOOKUP(D1875, Products!A:E, 5, FALSE) * (1 - G1875))</f>
        <v>4979.2575000000006</v>
      </c>
      <c r="J1875" s="10"/>
    </row>
    <row r="1876" spans="1:10" ht="15.75" customHeight="1" x14ac:dyDescent="0.3">
      <c r="A1876" s="5" t="s">
        <v>2743</v>
      </c>
      <c r="B1876" s="11">
        <v>45864</v>
      </c>
      <c r="C1876" s="5" t="s">
        <v>669</v>
      </c>
      <c r="D1876" s="5" t="s">
        <v>147</v>
      </c>
      <c r="E1876" s="5" t="s">
        <v>29</v>
      </c>
      <c r="F1876" s="5">
        <v>5</v>
      </c>
      <c r="G1876" s="19">
        <v>0.1</v>
      </c>
      <c r="H1876" s="5" t="s">
        <v>454</v>
      </c>
      <c r="I1876" s="10">
        <f>IF(OR(D1876="", F1876=""), "", F1876 * VLOOKUP(D1876, Products!A:E, 5, FALSE) * (1 - G1876))</f>
        <v>8453.1149999999998</v>
      </c>
      <c r="J1876" s="10"/>
    </row>
    <row r="1877" spans="1:10" ht="15.75" customHeight="1" x14ac:dyDescent="0.3">
      <c r="A1877" s="5" t="s">
        <v>2744</v>
      </c>
      <c r="B1877" s="11">
        <v>45621</v>
      </c>
      <c r="C1877" s="5" t="s">
        <v>733</v>
      </c>
      <c r="D1877" s="5" t="s">
        <v>50</v>
      </c>
      <c r="E1877" s="5" t="s">
        <v>21</v>
      </c>
      <c r="F1877" s="5">
        <v>1</v>
      </c>
      <c r="G1877" s="19">
        <v>0.05</v>
      </c>
      <c r="H1877" s="5" t="s">
        <v>454</v>
      </c>
      <c r="I1877" s="10">
        <f>IF(OR(D1877="", F1877=""), "", F1877 * VLOOKUP(D1877, Products!A:E, 5, FALSE) * (1 - G1877))</f>
        <v>320.74849999999998</v>
      </c>
      <c r="J1877" s="10"/>
    </row>
    <row r="1878" spans="1:10" ht="15.75" customHeight="1" x14ac:dyDescent="0.3">
      <c r="A1878" s="5" t="s">
        <v>2745</v>
      </c>
      <c r="B1878" s="11">
        <v>45305</v>
      </c>
      <c r="C1878" s="5" t="s">
        <v>799</v>
      </c>
      <c r="D1878" s="5" t="s">
        <v>47</v>
      </c>
      <c r="E1878" s="5" t="s">
        <v>33</v>
      </c>
      <c r="F1878" s="5">
        <v>2</v>
      </c>
      <c r="G1878" s="19">
        <v>0.1</v>
      </c>
      <c r="H1878" s="5" t="s">
        <v>637</v>
      </c>
      <c r="I1878" s="10">
        <f>IF(OR(D1878="", F1878=""), "", F1878 * VLOOKUP(D1878, Products!A:E, 5, FALSE) * (1 - G1878))</f>
        <v>1473.768</v>
      </c>
      <c r="J1878" s="10"/>
    </row>
    <row r="1879" spans="1:10" ht="15.75" customHeight="1" x14ac:dyDescent="0.3">
      <c r="A1879" s="5" t="s">
        <v>2746</v>
      </c>
      <c r="B1879" s="11">
        <v>45620</v>
      </c>
      <c r="C1879" s="5" t="s">
        <v>620</v>
      </c>
      <c r="D1879" s="5" t="s">
        <v>77</v>
      </c>
      <c r="E1879" s="5" t="s">
        <v>37</v>
      </c>
      <c r="F1879" s="5">
        <v>2</v>
      </c>
      <c r="G1879" s="19">
        <v>0.1</v>
      </c>
      <c r="H1879" s="5" t="s">
        <v>776</v>
      </c>
      <c r="I1879" s="10">
        <f>IF(OR(D1879="", F1879=""), "", F1879 * VLOOKUP(D1879, Products!A:E, 5, FALSE) * (1 - G1879))</f>
        <v>447.42599999999999</v>
      </c>
      <c r="J1879" s="10"/>
    </row>
    <row r="1880" spans="1:10" ht="15.75" customHeight="1" x14ac:dyDescent="0.3">
      <c r="A1880" s="5" t="s">
        <v>2747</v>
      </c>
      <c r="B1880" s="11">
        <v>45902</v>
      </c>
      <c r="C1880" s="5" t="s">
        <v>800</v>
      </c>
      <c r="D1880" s="5" t="s">
        <v>50</v>
      </c>
      <c r="E1880" s="5" t="s">
        <v>37</v>
      </c>
      <c r="F1880" s="5">
        <v>2</v>
      </c>
      <c r="G1880" s="19">
        <v>0.05</v>
      </c>
      <c r="H1880" s="5" t="s">
        <v>697</v>
      </c>
      <c r="I1880" s="10">
        <f>IF(OR(D1880="", F1880=""), "", F1880 * VLOOKUP(D1880, Products!A:E, 5, FALSE) * (1 - G1880))</f>
        <v>641.49699999999996</v>
      </c>
      <c r="J1880" s="10"/>
    </row>
    <row r="1881" spans="1:10" ht="15.75" customHeight="1" x14ac:dyDescent="0.3">
      <c r="A1881" s="5" t="s">
        <v>2748</v>
      </c>
      <c r="B1881" s="11">
        <v>45376</v>
      </c>
      <c r="C1881" s="5" t="s">
        <v>528</v>
      </c>
      <c r="D1881" s="5" t="s">
        <v>128</v>
      </c>
      <c r="E1881" s="5" t="s">
        <v>37</v>
      </c>
      <c r="F1881" s="5">
        <v>3</v>
      </c>
      <c r="G1881" s="19">
        <v>0</v>
      </c>
      <c r="H1881" s="5" t="s">
        <v>454</v>
      </c>
      <c r="I1881" s="10">
        <f>IF(OR(D1881="", F1881=""), "", F1881 * VLOOKUP(D1881, Products!A:E, 5, FALSE) * (1 - G1881))</f>
        <v>971.76</v>
      </c>
      <c r="J1881" s="10"/>
    </row>
    <row r="1882" spans="1:10" ht="15.75" customHeight="1" x14ac:dyDescent="0.3">
      <c r="A1882" s="5" t="s">
        <v>2749</v>
      </c>
      <c r="B1882" s="11">
        <v>45280</v>
      </c>
      <c r="C1882" s="5" t="s">
        <v>819</v>
      </c>
      <c r="D1882" s="5" t="s">
        <v>206</v>
      </c>
      <c r="E1882" s="5" t="s">
        <v>25</v>
      </c>
      <c r="F1882" s="5">
        <v>5</v>
      </c>
      <c r="G1882" s="19">
        <v>0.15</v>
      </c>
      <c r="H1882" s="5" t="s">
        <v>637</v>
      </c>
      <c r="I1882" s="10">
        <f>IF(OR(D1882="", F1882=""), "", F1882 * VLOOKUP(D1882, Products!A:E, 5, FALSE) * (1 - G1882))</f>
        <v>1295.0174999999999</v>
      </c>
      <c r="J1882" s="10"/>
    </row>
    <row r="1883" spans="1:10" ht="15.75" customHeight="1" x14ac:dyDescent="0.3">
      <c r="A1883" s="5" t="s">
        <v>2750</v>
      </c>
      <c r="B1883" s="11">
        <v>45803</v>
      </c>
      <c r="C1883" s="5" t="s">
        <v>338</v>
      </c>
      <c r="D1883" s="5" t="s">
        <v>54</v>
      </c>
      <c r="E1883" s="5" t="s">
        <v>33</v>
      </c>
      <c r="F1883" s="5">
        <v>3</v>
      </c>
      <c r="G1883" s="19">
        <v>0.15</v>
      </c>
      <c r="H1883" s="5" t="s">
        <v>454</v>
      </c>
      <c r="I1883" s="10">
        <f>IF(OR(D1883="", F1883=""), "", F1883 * VLOOKUP(D1883, Products!A:E, 5, FALSE) * (1 - G1883))</f>
        <v>4727.1134999999995</v>
      </c>
      <c r="J1883" s="10"/>
    </row>
    <row r="1884" spans="1:10" ht="15.75" customHeight="1" x14ac:dyDescent="0.3">
      <c r="A1884" s="5" t="s">
        <v>2751</v>
      </c>
      <c r="B1884" s="11">
        <v>45865</v>
      </c>
      <c r="C1884" s="5" t="s">
        <v>433</v>
      </c>
      <c r="D1884" s="5" t="s">
        <v>212</v>
      </c>
      <c r="E1884" s="5" t="s">
        <v>33</v>
      </c>
      <c r="F1884" s="5">
        <v>5</v>
      </c>
      <c r="G1884" s="19">
        <v>0.05</v>
      </c>
      <c r="H1884" s="5" t="s">
        <v>454</v>
      </c>
      <c r="I1884" s="10">
        <f>IF(OR(D1884="", F1884=""), "", F1884 * VLOOKUP(D1884, Products!A:E, 5, FALSE) * (1 - G1884))</f>
        <v>8545.1075000000001</v>
      </c>
      <c r="J1884" s="10"/>
    </row>
    <row r="1885" spans="1:10" ht="15.75" customHeight="1" x14ac:dyDescent="0.3">
      <c r="A1885" s="5" t="s">
        <v>2752</v>
      </c>
      <c r="B1885" s="11">
        <v>45728</v>
      </c>
      <c r="C1885" s="5" t="s">
        <v>755</v>
      </c>
      <c r="D1885" s="5" t="s">
        <v>175</v>
      </c>
      <c r="E1885" s="5" t="s">
        <v>21</v>
      </c>
      <c r="F1885" s="5">
        <v>3</v>
      </c>
      <c r="G1885" s="19">
        <v>0.15</v>
      </c>
      <c r="H1885" s="5" t="s">
        <v>454</v>
      </c>
      <c r="I1885" s="10">
        <f>IF(OR(D1885="", F1885=""), "", F1885 * VLOOKUP(D1885, Products!A:E, 5, FALSE) * (1 - G1885))</f>
        <v>3244.1864999999998</v>
      </c>
      <c r="J1885" s="10"/>
    </row>
    <row r="1886" spans="1:10" ht="15.75" customHeight="1" x14ac:dyDescent="0.3">
      <c r="A1886" s="5" t="s">
        <v>2753</v>
      </c>
      <c r="B1886" s="11">
        <v>45239</v>
      </c>
      <c r="C1886" s="5" t="s">
        <v>215</v>
      </c>
      <c r="D1886" s="5" t="s">
        <v>134</v>
      </c>
      <c r="E1886" s="5" t="s">
        <v>21</v>
      </c>
      <c r="F1886" s="5">
        <v>1</v>
      </c>
      <c r="G1886" s="19">
        <v>0.05</v>
      </c>
      <c r="H1886" s="5" t="s">
        <v>776</v>
      </c>
      <c r="I1886" s="10">
        <f>IF(OR(D1886="", F1886=""), "", F1886 * VLOOKUP(D1886, Products!A:E, 5, FALSE) * (1 - G1886))</f>
        <v>1165.8779999999999</v>
      </c>
      <c r="J1886" s="10"/>
    </row>
    <row r="1887" spans="1:10" ht="15.75" customHeight="1" x14ac:dyDescent="0.3">
      <c r="A1887" s="5" t="s">
        <v>2754</v>
      </c>
      <c r="B1887" s="11">
        <v>45890</v>
      </c>
      <c r="C1887" s="5" t="s">
        <v>322</v>
      </c>
      <c r="D1887" s="5" t="s">
        <v>272</v>
      </c>
      <c r="E1887" s="5" t="s">
        <v>37</v>
      </c>
      <c r="F1887" s="5">
        <v>1</v>
      </c>
      <c r="G1887" s="19">
        <v>0</v>
      </c>
      <c r="H1887" s="5" t="s">
        <v>454</v>
      </c>
      <c r="I1887" s="10">
        <f>IF(OR(D1887="", F1887=""), "", F1887 * VLOOKUP(D1887, Products!A:E, 5, FALSE) * (1 - G1887))</f>
        <v>1165.3699999999999</v>
      </c>
      <c r="J1887" s="10"/>
    </row>
    <row r="1888" spans="1:10" ht="15.75" customHeight="1" x14ac:dyDescent="0.3">
      <c r="A1888" s="5" t="s">
        <v>2755</v>
      </c>
      <c r="B1888" s="11">
        <v>45635</v>
      </c>
      <c r="C1888" s="5" t="s">
        <v>635</v>
      </c>
      <c r="D1888" s="5" t="s">
        <v>212</v>
      </c>
      <c r="E1888" s="5" t="s">
        <v>33</v>
      </c>
      <c r="F1888" s="5">
        <v>1</v>
      </c>
      <c r="G1888" s="19">
        <v>0.15</v>
      </c>
      <c r="H1888" s="5" t="s">
        <v>697</v>
      </c>
      <c r="I1888" s="10">
        <f>IF(OR(D1888="", F1888=""), "", F1888 * VLOOKUP(D1888, Products!A:E, 5, FALSE) * (1 - G1888))</f>
        <v>1529.1244999999999</v>
      </c>
      <c r="J1888" s="10"/>
    </row>
    <row r="1889" spans="1:10" ht="15.75" customHeight="1" x14ac:dyDescent="0.3">
      <c r="A1889" s="5" t="s">
        <v>2756</v>
      </c>
      <c r="B1889" s="11">
        <v>45555</v>
      </c>
      <c r="C1889" s="5" t="s">
        <v>620</v>
      </c>
      <c r="D1889" s="5" t="s">
        <v>95</v>
      </c>
      <c r="E1889" s="5" t="s">
        <v>33</v>
      </c>
      <c r="F1889" s="5">
        <v>5</v>
      </c>
      <c r="G1889" s="19">
        <v>0</v>
      </c>
      <c r="H1889" s="5" t="s">
        <v>637</v>
      </c>
      <c r="I1889" s="10">
        <f>IF(OR(D1889="", F1889=""), "", F1889 * VLOOKUP(D1889, Products!A:E, 5, FALSE) * (1 - G1889))</f>
        <v>6713.75</v>
      </c>
      <c r="J1889" s="10"/>
    </row>
    <row r="1890" spans="1:10" ht="15.75" customHeight="1" x14ac:dyDescent="0.3">
      <c r="A1890" s="5" t="s">
        <v>2757</v>
      </c>
      <c r="B1890" s="11">
        <v>45181</v>
      </c>
      <c r="C1890" s="5" t="s">
        <v>91</v>
      </c>
      <c r="D1890" s="5" t="s">
        <v>193</v>
      </c>
      <c r="E1890" s="5" t="s">
        <v>37</v>
      </c>
      <c r="F1890" s="5">
        <v>2</v>
      </c>
      <c r="G1890" s="19">
        <v>0</v>
      </c>
      <c r="H1890" s="5" t="s">
        <v>637</v>
      </c>
      <c r="I1890" s="10">
        <f>IF(OR(D1890="", F1890=""), "", F1890 * VLOOKUP(D1890, Products!A:E, 5, FALSE) * (1 - G1890))</f>
        <v>58.48</v>
      </c>
      <c r="J1890" s="10"/>
    </row>
    <row r="1891" spans="1:10" ht="15.75" customHeight="1" x14ac:dyDescent="0.3">
      <c r="A1891" s="5" t="s">
        <v>2758</v>
      </c>
      <c r="B1891" s="11">
        <v>45558</v>
      </c>
      <c r="C1891" s="5" t="s">
        <v>811</v>
      </c>
      <c r="D1891" s="5" t="s">
        <v>265</v>
      </c>
      <c r="E1891" s="5" t="s">
        <v>37</v>
      </c>
      <c r="F1891" s="5">
        <v>3</v>
      </c>
      <c r="G1891" s="19">
        <v>0.05</v>
      </c>
      <c r="H1891" s="5" t="s">
        <v>776</v>
      </c>
      <c r="I1891" s="10">
        <f>IF(OR(D1891="", F1891=""), "", F1891 * VLOOKUP(D1891, Products!A:E, 5, FALSE) * (1 - G1891))</f>
        <v>1608.5969999999998</v>
      </c>
      <c r="J1891" s="10"/>
    </row>
    <row r="1892" spans="1:10" ht="15.75" customHeight="1" x14ac:dyDescent="0.3">
      <c r="A1892" s="5" t="s">
        <v>2759</v>
      </c>
      <c r="B1892" s="11">
        <v>45725</v>
      </c>
      <c r="C1892" s="5" t="s">
        <v>733</v>
      </c>
      <c r="D1892" s="5" t="s">
        <v>70</v>
      </c>
      <c r="E1892" s="5" t="s">
        <v>33</v>
      </c>
      <c r="F1892" s="5">
        <v>2</v>
      </c>
      <c r="G1892" s="19">
        <v>0.05</v>
      </c>
      <c r="H1892" s="5" t="s">
        <v>697</v>
      </c>
      <c r="I1892" s="10">
        <f>IF(OR(D1892="", F1892=""), "", F1892 * VLOOKUP(D1892, Products!A:E, 5, FALSE) * (1 - G1892))</f>
        <v>234.06099999999998</v>
      </c>
      <c r="J1892" s="10"/>
    </row>
    <row r="1893" spans="1:10" ht="15.75" customHeight="1" x14ac:dyDescent="0.3">
      <c r="A1893" s="5" t="s">
        <v>2760</v>
      </c>
      <c r="B1893" s="11">
        <v>45403</v>
      </c>
      <c r="C1893" s="5" t="s">
        <v>191</v>
      </c>
      <c r="D1893" s="5" t="s">
        <v>74</v>
      </c>
      <c r="E1893" s="5" t="s">
        <v>29</v>
      </c>
      <c r="F1893" s="5">
        <v>2</v>
      </c>
      <c r="G1893" s="19">
        <v>0.1</v>
      </c>
      <c r="H1893" s="5" t="s">
        <v>776</v>
      </c>
      <c r="I1893" s="10">
        <f>IF(OR(D1893="", F1893=""), "", F1893 * VLOOKUP(D1893, Products!A:E, 5, FALSE) * (1 - G1893))</f>
        <v>2149.4159999999997</v>
      </c>
      <c r="J1893" s="10"/>
    </row>
    <row r="1894" spans="1:10" ht="15.75" customHeight="1" x14ac:dyDescent="0.3">
      <c r="A1894" s="5" t="s">
        <v>2761</v>
      </c>
      <c r="B1894" s="11">
        <v>45445</v>
      </c>
      <c r="C1894" s="5" t="s">
        <v>571</v>
      </c>
      <c r="D1894" s="5" t="s">
        <v>47</v>
      </c>
      <c r="E1894" s="5" t="s">
        <v>33</v>
      </c>
      <c r="F1894" s="5">
        <v>4</v>
      </c>
      <c r="G1894" s="19">
        <v>0.05</v>
      </c>
      <c r="H1894" s="5" t="s">
        <v>454</v>
      </c>
      <c r="I1894" s="10">
        <f>IF(OR(D1894="", F1894=""), "", F1894 * VLOOKUP(D1894, Products!A:E, 5, FALSE) * (1 - G1894))</f>
        <v>3111.288</v>
      </c>
      <c r="J1894" s="10"/>
    </row>
    <row r="1895" spans="1:10" ht="15.75" customHeight="1" x14ac:dyDescent="0.3">
      <c r="A1895" s="5" t="s">
        <v>2762</v>
      </c>
      <c r="B1895" s="11">
        <v>45897</v>
      </c>
      <c r="C1895" s="5" t="s">
        <v>245</v>
      </c>
      <c r="D1895" s="5" t="s">
        <v>249</v>
      </c>
      <c r="E1895" s="5" t="s">
        <v>29</v>
      </c>
      <c r="F1895" s="5">
        <v>2</v>
      </c>
      <c r="G1895" s="19">
        <v>0</v>
      </c>
      <c r="H1895" s="5" t="s">
        <v>454</v>
      </c>
      <c r="I1895" s="10">
        <f>IF(OR(D1895="", F1895=""), "", F1895 * VLOOKUP(D1895, Products!A:E, 5, FALSE) * (1 - G1895))</f>
        <v>3491.22</v>
      </c>
      <c r="J1895" s="10"/>
    </row>
    <row r="1896" spans="1:10" ht="15.75" customHeight="1" x14ac:dyDescent="0.3">
      <c r="A1896" s="5" t="s">
        <v>2763</v>
      </c>
      <c r="B1896" s="11">
        <v>45711</v>
      </c>
      <c r="C1896" s="5" t="s">
        <v>455</v>
      </c>
      <c r="D1896" s="5" t="s">
        <v>180</v>
      </c>
      <c r="E1896" s="5" t="s">
        <v>33</v>
      </c>
      <c r="F1896" s="5">
        <v>3</v>
      </c>
      <c r="G1896" s="19">
        <v>0.1</v>
      </c>
      <c r="H1896" s="5" t="s">
        <v>697</v>
      </c>
      <c r="I1896" s="10">
        <f>IF(OR(D1896="", F1896=""), "", F1896 * VLOOKUP(D1896, Products!A:E, 5, FALSE) * (1 - G1896))</f>
        <v>1819.2059999999999</v>
      </c>
      <c r="J1896" s="10"/>
    </row>
    <row r="1897" spans="1:10" ht="15.75" customHeight="1" x14ac:dyDescent="0.3">
      <c r="A1897" s="5" t="s">
        <v>2764</v>
      </c>
      <c r="B1897" s="11">
        <v>45807</v>
      </c>
      <c r="C1897" s="5" t="s">
        <v>16</v>
      </c>
      <c r="D1897" s="5" t="s">
        <v>70</v>
      </c>
      <c r="E1897" s="5" t="s">
        <v>37</v>
      </c>
      <c r="F1897" s="5">
        <v>4</v>
      </c>
      <c r="G1897" s="19">
        <v>0.05</v>
      </c>
      <c r="H1897" s="5" t="s">
        <v>454</v>
      </c>
      <c r="I1897" s="10">
        <f>IF(OR(D1897="", F1897=""), "", F1897 * VLOOKUP(D1897, Products!A:E, 5, FALSE) * (1 - G1897))</f>
        <v>468.12199999999996</v>
      </c>
      <c r="J1897" s="10"/>
    </row>
    <row r="1898" spans="1:10" ht="15.75" customHeight="1" x14ac:dyDescent="0.3">
      <c r="A1898" s="5" t="s">
        <v>2765</v>
      </c>
      <c r="B1898" s="11">
        <v>45294</v>
      </c>
      <c r="C1898" s="5" t="s">
        <v>762</v>
      </c>
      <c r="D1898" s="5" t="s">
        <v>276</v>
      </c>
      <c r="E1898" s="5" t="s">
        <v>37</v>
      </c>
      <c r="F1898" s="5">
        <v>1</v>
      </c>
      <c r="G1898" s="19">
        <v>0.15</v>
      </c>
      <c r="H1898" s="5" t="s">
        <v>637</v>
      </c>
      <c r="I1898" s="10">
        <f>IF(OR(D1898="", F1898=""), "", F1898 * VLOOKUP(D1898, Products!A:E, 5, FALSE) * (1 - G1898))</f>
        <v>1017.6030000000001</v>
      </c>
      <c r="J1898" s="10"/>
    </row>
    <row r="1899" spans="1:10" ht="15.75" customHeight="1" x14ac:dyDescent="0.3">
      <c r="A1899" s="5" t="s">
        <v>2766</v>
      </c>
      <c r="B1899" s="11">
        <v>45693</v>
      </c>
      <c r="C1899" s="5" t="s">
        <v>165</v>
      </c>
      <c r="D1899" s="5" t="s">
        <v>119</v>
      </c>
      <c r="E1899" s="5" t="s">
        <v>29</v>
      </c>
      <c r="F1899" s="5">
        <v>1</v>
      </c>
      <c r="G1899" s="19">
        <v>0.15</v>
      </c>
      <c r="H1899" s="5" t="s">
        <v>454</v>
      </c>
      <c r="I1899" s="10">
        <f>IF(OR(D1899="", F1899=""), "", F1899 * VLOOKUP(D1899, Products!A:E, 5, FALSE) * (1 - G1899))</f>
        <v>917.90650000000005</v>
      </c>
      <c r="J1899" s="10"/>
    </row>
    <row r="1900" spans="1:10" ht="15.75" customHeight="1" x14ac:dyDescent="0.3">
      <c r="A1900" s="5" t="s">
        <v>2767</v>
      </c>
      <c r="B1900" s="11">
        <v>45607</v>
      </c>
      <c r="C1900" s="5" t="s">
        <v>455</v>
      </c>
      <c r="D1900" s="5" t="s">
        <v>109</v>
      </c>
      <c r="E1900" s="5" t="s">
        <v>29</v>
      </c>
      <c r="F1900" s="5">
        <v>1</v>
      </c>
      <c r="G1900" s="19">
        <v>0</v>
      </c>
      <c r="H1900" s="5" t="s">
        <v>454</v>
      </c>
      <c r="I1900" s="10">
        <f>IF(OR(D1900="", F1900=""), "", F1900 * VLOOKUP(D1900, Products!A:E, 5, FALSE) * (1 - G1900))</f>
        <v>1858.75</v>
      </c>
      <c r="J1900" s="10"/>
    </row>
    <row r="1901" spans="1:10" ht="15.75" customHeight="1" x14ac:dyDescent="0.3">
      <c r="A1901" s="5" t="s">
        <v>2768</v>
      </c>
      <c r="B1901" s="11">
        <v>45811</v>
      </c>
      <c r="C1901" s="5" t="s">
        <v>829</v>
      </c>
      <c r="D1901" s="5" t="s">
        <v>291</v>
      </c>
      <c r="E1901" s="5" t="s">
        <v>25</v>
      </c>
      <c r="F1901" s="5">
        <v>4</v>
      </c>
      <c r="G1901" s="19">
        <v>0.1</v>
      </c>
      <c r="H1901" s="5" t="s">
        <v>776</v>
      </c>
      <c r="I1901" s="10">
        <f>IF(OR(D1901="", F1901=""), "", F1901 * VLOOKUP(D1901, Products!A:E, 5, FALSE) * (1 - G1901))</f>
        <v>3760.7040000000006</v>
      </c>
      <c r="J1901" s="10"/>
    </row>
    <row r="1902" spans="1:10" ht="15.75" customHeight="1" x14ac:dyDescent="0.3">
      <c r="A1902" s="5" t="s">
        <v>2769</v>
      </c>
      <c r="B1902" s="11">
        <v>45586</v>
      </c>
      <c r="C1902" s="5" t="s">
        <v>229</v>
      </c>
      <c r="D1902" s="5" t="s">
        <v>256</v>
      </c>
      <c r="E1902" s="5" t="s">
        <v>33</v>
      </c>
      <c r="F1902" s="5">
        <v>4</v>
      </c>
      <c r="G1902" s="19">
        <v>0.05</v>
      </c>
      <c r="H1902" s="5" t="s">
        <v>776</v>
      </c>
      <c r="I1902" s="10">
        <f>IF(OR(D1902="", F1902=""), "", F1902 * VLOOKUP(D1902, Products!A:E, 5, FALSE) * (1 - G1902))</f>
        <v>6213.0379999999996</v>
      </c>
      <c r="J1902" s="10"/>
    </row>
    <row r="1903" spans="1:10" ht="15.75" customHeight="1" x14ac:dyDescent="0.3">
      <c r="A1903" s="5" t="s">
        <v>2770</v>
      </c>
      <c r="B1903" s="11">
        <v>45305</v>
      </c>
      <c r="C1903" s="5" t="s">
        <v>669</v>
      </c>
      <c r="D1903" s="5" t="s">
        <v>162</v>
      </c>
      <c r="E1903" s="5" t="s">
        <v>37</v>
      </c>
      <c r="F1903" s="5">
        <v>2</v>
      </c>
      <c r="G1903" s="19">
        <v>0.15</v>
      </c>
      <c r="H1903" s="5" t="s">
        <v>776</v>
      </c>
      <c r="I1903" s="10">
        <f>IF(OR(D1903="", F1903=""), "", F1903 * VLOOKUP(D1903, Products!A:E, 5, FALSE) * (1 - G1903))</f>
        <v>729.55499999999995</v>
      </c>
      <c r="J1903" s="10"/>
    </row>
    <row r="1904" spans="1:10" ht="15.75" customHeight="1" x14ac:dyDescent="0.3">
      <c r="A1904" s="5" t="s">
        <v>2771</v>
      </c>
      <c r="B1904" s="11">
        <v>45199</v>
      </c>
      <c r="C1904" s="5" t="s">
        <v>628</v>
      </c>
      <c r="D1904" s="5" t="s">
        <v>285</v>
      </c>
      <c r="E1904" s="5" t="s">
        <v>21</v>
      </c>
      <c r="F1904" s="5">
        <v>2</v>
      </c>
      <c r="G1904" s="19">
        <v>0.1</v>
      </c>
      <c r="H1904" s="5" t="s">
        <v>697</v>
      </c>
      <c r="I1904" s="10">
        <f>IF(OR(D1904="", F1904=""), "", F1904 * VLOOKUP(D1904, Products!A:E, 5, FALSE) * (1 - G1904))</f>
        <v>698.86800000000005</v>
      </c>
      <c r="J1904" s="10"/>
    </row>
    <row r="1905" spans="1:10" ht="15.75" customHeight="1" x14ac:dyDescent="0.3">
      <c r="A1905" s="5" t="s">
        <v>2772</v>
      </c>
      <c r="B1905" s="11">
        <v>45510</v>
      </c>
      <c r="C1905" s="5" t="s">
        <v>615</v>
      </c>
      <c r="D1905" s="5" t="s">
        <v>89</v>
      </c>
      <c r="E1905" s="5" t="s">
        <v>33</v>
      </c>
      <c r="F1905" s="5">
        <v>3</v>
      </c>
      <c r="G1905" s="19">
        <v>0.1</v>
      </c>
      <c r="H1905" s="5" t="s">
        <v>454</v>
      </c>
      <c r="I1905" s="10">
        <f>IF(OR(D1905="", F1905=""), "", F1905 * VLOOKUP(D1905, Products!A:E, 5, FALSE) * (1 - G1905))</f>
        <v>3063.9599999999996</v>
      </c>
      <c r="J1905" s="10"/>
    </row>
    <row r="1906" spans="1:10" ht="15.75" customHeight="1" x14ac:dyDescent="0.3">
      <c r="A1906" s="5" t="s">
        <v>2773</v>
      </c>
      <c r="B1906" s="11">
        <v>45909</v>
      </c>
      <c r="C1906" s="5" t="s">
        <v>575</v>
      </c>
      <c r="D1906" s="5" t="s">
        <v>147</v>
      </c>
      <c r="E1906" s="5" t="s">
        <v>25</v>
      </c>
      <c r="F1906" s="5">
        <v>5</v>
      </c>
      <c r="G1906" s="19">
        <v>0.1</v>
      </c>
      <c r="H1906" s="5" t="s">
        <v>776</v>
      </c>
      <c r="I1906" s="10">
        <f>IF(OR(D1906="", F1906=""), "", F1906 * VLOOKUP(D1906, Products!A:E, 5, FALSE) * (1 - G1906))</f>
        <v>8453.1149999999998</v>
      </c>
      <c r="J1906" s="10"/>
    </row>
    <row r="1907" spans="1:10" ht="15.75" customHeight="1" x14ac:dyDescent="0.3">
      <c r="A1907" s="5" t="s">
        <v>2774</v>
      </c>
      <c r="B1907" s="11">
        <v>45332</v>
      </c>
      <c r="C1907" s="5" t="s">
        <v>586</v>
      </c>
      <c r="D1907" s="5" t="s">
        <v>153</v>
      </c>
      <c r="E1907" s="5" t="s">
        <v>33</v>
      </c>
      <c r="F1907" s="5">
        <v>2</v>
      </c>
      <c r="G1907" s="19">
        <v>0.05</v>
      </c>
      <c r="H1907" s="5" t="s">
        <v>454</v>
      </c>
      <c r="I1907" s="10">
        <f>IF(OR(D1907="", F1907=""), "", F1907 * VLOOKUP(D1907, Products!A:E, 5, FALSE) * (1 - G1907))</f>
        <v>2826.0790000000002</v>
      </c>
      <c r="J1907" s="10"/>
    </row>
    <row r="1908" spans="1:10" ht="15.75" customHeight="1" x14ac:dyDescent="0.3">
      <c r="A1908" s="5" t="s">
        <v>2775</v>
      </c>
      <c r="B1908" s="11">
        <v>45413</v>
      </c>
      <c r="C1908" s="5" t="s">
        <v>854</v>
      </c>
      <c r="D1908" s="5" t="s">
        <v>175</v>
      </c>
      <c r="E1908" s="5" t="s">
        <v>33</v>
      </c>
      <c r="F1908" s="5">
        <v>1</v>
      </c>
      <c r="G1908" s="19">
        <v>0.1</v>
      </c>
      <c r="H1908" s="5" t="s">
        <v>697</v>
      </c>
      <c r="I1908" s="10">
        <f>IF(OR(D1908="", F1908=""), "", F1908 * VLOOKUP(D1908, Products!A:E, 5, FALSE) * (1 - G1908))</f>
        <v>1145.0070000000001</v>
      </c>
      <c r="J1908" s="10"/>
    </row>
    <row r="1909" spans="1:10" ht="15.75" customHeight="1" x14ac:dyDescent="0.3">
      <c r="A1909" s="5" t="s">
        <v>2776</v>
      </c>
      <c r="B1909" s="11">
        <v>45536</v>
      </c>
      <c r="C1909" s="5" t="s">
        <v>245</v>
      </c>
      <c r="D1909" s="5" t="s">
        <v>272</v>
      </c>
      <c r="E1909" s="5" t="s">
        <v>25</v>
      </c>
      <c r="F1909" s="5">
        <v>3</v>
      </c>
      <c r="G1909" s="19">
        <v>0</v>
      </c>
      <c r="H1909" s="5" t="s">
        <v>697</v>
      </c>
      <c r="I1909" s="10">
        <f>IF(OR(D1909="", F1909=""), "", F1909 * VLOOKUP(D1909, Products!A:E, 5, FALSE) * (1 - G1909))</f>
        <v>3496.1099999999997</v>
      </c>
      <c r="J1909" s="10"/>
    </row>
    <row r="1910" spans="1:10" ht="15.75" customHeight="1" x14ac:dyDescent="0.3">
      <c r="A1910" s="5" t="s">
        <v>2777</v>
      </c>
      <c r="B1910" s="11">
        <v>45565</v>
      </c>
      <c r="C1910" s="5" t="s">
        <v>546</v>
      </c>
      <c r="D1910" s="5" t="s">
        <v>280</v>
      </c>
      <c r="E1910" s="5" t="s">
        <v>33</v>
      </c>
      <c r="F1910" s="5">
        <v>3</v>
      </c>
      <c r="G1910" s="19">
        <v>0</v>
      </c>
      <c r="H1910" s="5" t="s">
        <v>697</v>
      </c>
      <c r="I1910" s="10">
        <f>IF(OR(D1910="", F1910=""), "", F1910 * VLOOKUP(D1910, Products!A:E, 5, FALSE) * (1 - G1910))</f>
        <v>3649.08</v>
      </c>
      <c r="J1910" s="10"/>
    </row>
    <row r="1911" spans="1:10" ht="15.75" customHeight="1" x14ac:dyDescent="0.3">
      <c r="A1911" s="5" t="s">
        <v>2778</v>
      </c>
      <c r="B1911" s="11">
        <v>45183</v>
      </c>
      <c r="C1911" s="5" t="s">
        <v>602</v>
      </c>
      <c r="D1911" s="5" t="s">
        <v>256</v>
      </c>
      <c r="E1911" s="5" t="s">
        <v>25</v>
      </c>
      <c r="F1911" s="5">
        <v>4</v>
      </c>
      <c r="G1911" s="19">
        <v>0.1</v>
      </c>
      <c r="H1911" s="5" t="s">
        <v>776</v>
      </c>
      <c r="I1911" s="10">
        <f>IF(OR(D1911="", F1911=""), "", F1911 * VLOOKUP(D1911, Products!A:E, 5, FALSE) * (1 - G1911))</f>
        <v>5886.0360000000001</v>
      </c>
      <c r="J1911" s="10"/>
    </row>
    <row r="1912" spans="1:10" ht="15.75" customHeight="1" x14ac:dyDescent="0.3">
      <c r="A1912" s="5" t="s">
        <v>2779</v>
      </c>
      <c r="B1912" s="11">
        <v>45897</v>
      </c>
      <c r="C1912" s="5" t="s">
        <v>567</v>
      </c>
      <c r="D1912" s="5" t="s">
        <v>291</v>
      </c>
      <c r="E1912" s="5" t="s">
        <v>33</v>
      </c>
      <c r="F1912" s="5">
        <v>5</v>
      </c>
      <c r="G1912" s="19">
        <v>0.15</v>
      </c>
      <c r="H1912" s="5" t="s">
        <v>697</v>
      </c>
      <c r="I1912" s="10">
        <f>IF(OR(D1912="", F1912=""), "", F1912 * VLOOKUP(D1912, Products!A:E, 5, FALSE) * (1 - G1912))</f>
        <v>4439.72</v>
      </c>
      <c r="J1912" s="10"/>
    </row>
    <row r="1913" spans="1:10" ht="15.75" customHeight="1" x14ac:dyDescent="0.3">
      <c r="A1913" s="5" t="s">
        <v>2780</v>
      </c>
      <c r="B1913" s="11">
        <v>45190</v>
      </c>
      <c r="C1913" s="5" t="s">
        <v>481</v>
      </c>
      <c r="D1913" s="5" t="s">
        <v>226</v>
      </c>
      <c r="E1913" s="5" t="s">
        <v>33</v>
      </c>
      <c r="F1913" s="5">
        <v>5</v>
      </c>
      <c r="G1913" s="19">
        <v>0.15</v>
      </c>
      <c r="H1913" s="5" t="s">
        <v>697</v>
      </c>
      <c r="I1913" s="10">
        <f>IF(OR(D1913="", F1913=""), "", F1913 * VLOOKUP(D1913, Products!A:E, 5, FALSE) * (1 - G1913))</f>
        <v>6381.2049999999999</v>
      </c>
      <c r="J1913" s="10"/>
    </row>
    <row r="1914" spans="1:10" ht="15.75" customHeight="1" x14ac:dyDescent="0.3">
      <c r="A1914" s="5" t="s">
        <v>2781</v>
      </c>
      <c r="B1914" s="11">
        <v>45351</v>
      </c>
      <c r="C1914" s="5" t="s">
        <v>245</v>
      </c>
      <c r="D1914" s="5" t="s">
        <v>276</v>
      </c>
      <c r="E1914" s="5" t="s">
        <v>21</v>
      </c>
      <c r="F1914" s="5">
        <v>1</v>
      </c>
      <c r="G1914" s="19">
        <v>0.05</v>
      </c>
      <c r="H1914" s="5" t="s">
        <v>697</v>
      </c>
      <c r="I1914" s="10">
        <f>IF(OR(D1914="", F1914=""), "", F1914 * VLOOKUP(D1914, Products!A:E, 5, FALSE) * (1 - G1914))</f>
        <v>1137.3209999999999</v>
      </c>
      <c r="J1914" s="10"/>
    </row>
    <row r="1915" spans="1:10" ht="15.75" customHeight="1" x14ac:dyDescent="0.3">
      <c r="A1915" s="5" t="s">
        <v>2782</v>
      </c>
      <c r="B1915" s="11">
        <v>45697</v>
      </c>
      <c r="C1915" s="5" t="s">
        <v>499</v>
      </c>
      <c r="D1915" s="5" t="s">
        <v>206</v>
      </c>
      <c r="E1915" s="5" t="s">
        <v>37</v>
      </c>
      <c r="F1915" s="5">
        <v>1</v>
      </c>
      <c r="G1915" s="19">
        <v>0.05</v>
      </c>
      <c r="H1915" s="5" t="s">
        <v>776</v>
      </c>
      <c r="I1915" s="10">
        <f>IF(OR(D1915="", F1915=""), "", F1915 * VLOOKUP(D1915, Products!A:E, 5, FALSE) * (1 - G1915))</f>
        <v>289.47449999999998</v>
      </c>
      <c r="J1915" s="10"/>
    </row>
    <row r="1916" spans="1:10" ht="15.75" customHeight="1" x14ac:dyDescent="0.3">
      <c r="A1916" s="5" t="s">
        <v>2783</v>
      </c>
      <c r="B1916" s="11">
        <v>45186</v>
      </c>
      <c r="C1916" s="5" t="s">
        <v>662</v>
      </c>
      <c r="D1916" s="5" t="s">
        <v>217</v>
      </c>
      <c r="E1916" s="5" t="s">
        <v>29</v>
      </c>
      <c r="F1916" s="5">
        <v>4</v>
      </c>
      <c r="G1916" s="19">
        <v>0</v>
      </c>
      <c r="H1916" s="5" t="s">
        <v>637</v>
      </c>
      <c r="I1916" s="10">
        <f>IF(OR(D1916="", F1916=""), "", F1916 * VLOOKUP(D1916, Products!A:E, 5, FALSE) * (1 - G1916))</f>
        <v>1712.2</v>
      </c>
      <c r="J1916" s="10"/>
    </row>
    <row r="1917" spans="1:10" ht="15.75" customHeight="1" x14ac:dyDescent="0.3">
      <c r="A1917" s="5" t="s">
        <v>2784</v>
      </c>
      <c r="B1917" s="11">
        <v>45290</v>
      </c>
      <c r="C1917" s="5" t="s">
        <v>620</v>
      </c>
      <c r="D1917" s="5" t="s">
        <v>134</v>
      </c>
      <c r="E1917" s="5" t="s">
        <v>29</v>
      </c>
      <c r="F1917" s="5">
        <v>3</v>
      </c>
      <c r="G1917" s="19">
        <v>0.15</v>
      </c>
      <c r="H1917" s="5" t="s">
        <v>776</v>
      </c>
      <c r="I1917" s="10">
        <f>IF(OR(D1917="", F1917=""), "", F1917 * VLOOKUP(D1917, Products!A:E, 5, FALSE) * (1 - G1917))</f>
        <v>3129.462</v>
      </c>
      <c r="J1917" s="10"/>
    </row>
    <row r="1918" spans="1:10" ht="15.75" customHeight="1" x14ac:dyDescent="0.3">
      <c r="A1918" s="5" t="s">
        <v>2785</v>
      </c>
      <c r="B1918" s="11">
        <v>45817</v>
      </c>
      <c r="C1918" s="5" t="s">
        <v>862</v>
      </c>
      <c r="D1918" s="5" t="s">
        <v>43</v>
      </c>
      <c r="E1918" s="5" t="s">
        <v>33</v>
      </c>
      <c r="F1918" s="5">
        <v>2</v>
      </c>
      <c r="G1918" s="19">
        <v>0.05</v>
      </c>
      <c r="H1918" s="5" t="s">
        <v>697</v>
      </c>
      <c r="I1918" s="10">
        <f>IF(OR(D1918="", F1918=""), "", F1918 * VLOOKUP(D1918, Products!A:E, 5, FALSE) * (1 - G1918))</f>
        <v>3180.011</v>
      </c>
      <c r="J1918" s="10"/>
    </row>
    <row r="1919" spans="1:10" ht="15.75" customHeight="1" x14ac:dyDescent="0.3">
      <c r="A1919" s="5" t="s">
        <v>2786</v>
      </c>
      <c r="B1919" s="11">
        <v>45882</v>
      </c>
      <c r="C1919" s="5" t="s">
        <v>405</v>
      </c>
      <c r="D1919" s="5" t="s">
        <v>54</v>
      </c>
      <c r="E1919" s="5" t="s">
        <v>29</v>
      </c>
      <c r="F1919" s="5">
        <v>1</v>
      </c>
      <c r="G1919" s="19">
        <v>0.1</v>
      </c>
      <c r="H1919" s="5" t="s">
        <v>697</v>
      </c>
      <c r="I1919" s="10">
        <f>IF(OR(D1919="", F1919=""), "", F1919 * VLOOKUP(D1919, Products!A:E, 5, FALSE) * (1 - G1919))</f>
        <v>1668.393</v>
      </c>
      <c r="J1919" s="10"/>
    </row>
    <row r="1920" spans="1:10" ht="15.75" customHeight="1" x14ac:dyDescent="0.3">
      <c r="A1920" s="5" t="s">
        <v>2787</v>
      </c>
      <c r="B1920" s="11">
        <v>45594</v>
      </c>
      <c r="C1920" s="5" t="s">
        <v>602</v>
      </c>
      <c r="D1920" s="5" t="s">
        <v>115</v>
      </c>
      <c r="E1920" s="5" t="s">
        <v>33</v>
      </c>
      <c r="F1920" s="5">
        <v>2</v>
      </c>
      <c r="G1920" s="19">
        <v>0.15</v>
      </c>
      <c r="H1920" s="5" t="s">
        <v>776</v>
      </c>
      <c r="I1920" s="10">
        <f>IF(OR(D1920="", F1920=""), "", F1920 * VLOOKUP(D1920, Products!A:E, 5, FALSE) * (1 - G1920))</f>
        <v>2118.3869999999997</v>
      </c>
      <c r="J1920" s="10"/>
    </row>
    <row r="1921" spans="1:10" ht="15.75" customHeight="1" x14ac:dyDescent="0.3">
      <c r="A1921" s="5" t="s">
        <v>2788</v>
      </c>
      <c r="B1921" s="11">
        <v>45407</v>
      </c>
      <c r="C1921" s="5" t="s">
        <v>811</v>
      </c>
      <c r="D1921" s="5" t="s">
        <v>280</v>
      </c>
      <c r="E1921" s="5" t="s">
        <v>37</v>
      </c>
      <c r="F1921" s="5">
        <v>5</v>
      </c>
      <c r="G1921" s="19">
        <v>0.05</v>
      </c>
      <c r="H1921" s="5" t="s">
        <v>697</v>
      </c>
      <c r="I1921" s="10">
        <f>IF(OR(D1921="", F1921=""), "", F1921 * VLOOKUP(D1921, Products!A:E, 5, FALSE) * (1 - G1921))</f>
        <v>5777.7099999999991</v>
      </c>
      <c r="J1921" s="10"/>
    </row>
    <row r="1922" spans="1:10" ht="15.75" customHeight="1" x14ac:dyDescent="0.3">
      <c r="A1922" s="5" t="s">
        <v>2789</v>
      </c>
      <c r="B1922" s="11">
        <v>45601</v>
      </c>
      <c r="C1922" s="5" t="s">
        <v>722</v>
      </c>
      <c r="D1922" s="5" t="s">
        <v>115</v>
      </c>
      <c r="E1922" s="5" t="s">
        <v>25</v>
      </c>
      <c r="F1922" s="5">
        <v>2</v>
      </c>
      <c r="G1922" s="19">
        <v>0</v>
      </c>
      <c r="H1922" s="5" t="s">
        <v>697</v>
      </c>
      <c r="I1922" s="10">
        <f>IF(OR(D1922="", F1922=""), "", F1922 * VLOOKUP(D1922, Products!A:E, 5, FALSE) * (1 - G1922))</f>
        <v>2492.2199999999998</v>
      </c>
      <c r="J1922" s="10"/>
    </row>
    <row r="1923" spans="1:10" ht="15.75" customHeight="1" x14ac:dyDescent="0.3">
      <c r="A1923" s="5" t="s">
        <v>2790</v>
      </c>
      <c r="B1923" s="11">
        <v>45734</v>
      </c>
      <c r="C1923" s="5" t="s">
        <v>550</v>
      </c>
      <c r="D1923" s="5" t="s">
        <v>249</v>
      </c>
      <c r="E1923" s="5" t="s">
        <v>21</v>
      </c>
      <c r="F1923" s="5">
        <v>3</v>
      </c>
      <c r="G1923" s="19">
        <v>0.05</v>
      </c>
      <c r="H1923" s="5" t="s">
        <v>697</v>
      </c>
      <c r="I1923" s="10">
        <f>IF(OR(D1923="", F1923=""), "", F1923 * VLOOKUP(D1923, Products!A:E, 5, FALSE) * (1 - G1923))</f>
        <v>4974.9884999999995</v>
      </c>
      <c r="J1923" s="10"/>
    </row>
    <row r="1924" spans="1:10" ht="15.75" customHeight="1" x14ac:dyDescent="0.3">
      <c r="A1924" s="5" t="s">
        <v>2791</v>
      </c>
      <c r="B1924" s="11">
        <v>45875</v>
      </c>
      <c r="C1924" s="5" t="s">
        <v>575</v>
      </c>
      <c r="D1924" s="5" t="s">
        <v>221</v>
      </c>
      <c r="E1924" s="5" t="s">
        <v>21</v>
      </c>
      <c r="F1924" s="5">
        <v>5</v>
      </c>
      <c r="G1924" s="19">
        <v>0.05</v>
      </c>
      <c r="H1924" s="5" t="s">
        <v>776</v>
      </c>
      <c r="I1924" s="10">
        <f>IF(OR(D1924="", F1924=""), "", F1924 * VLOOKUP(D1924, Products!A:E, 5, FALSE) * (1 - G1924))</f>
        <v>7421.5425000000005</v>
      </c>
      <c r="J1924" s="10"/>
    </row>
    <row r="1925" spans="1:10" ht="15.75" customHeight="1" x14ac:dyDescent="0.3">
      <c r="A1925" s="5" t="s">
        <v>2792</v>
      </c>
      <c r="B1925" s="11">
        <v>45525</v>
      </c>
      <c r="C1925" s="5" t="s">
        <v>159</v>
      </c>
      <c r="D1925" s="5" t="s">
        <v>221</v>
      </c>
      <c r="E1925" s="5" t="s">
        <v>33</v>
      </c>
      <c r="F1925" s="5">
        <v>4</v>
      </c>
      <c r="G1925" s="19">
        <v>0.1</v>
      </c>
      <c r="H1925" s="5" t="s">
        <v>697</v>
      </c>
      <c r="I1925" s="10">
        <f>IF(OR(D1925="", F1925=""), "", F1925 * VLOOKUP(D1925, Products!A:E, 5, FALSE) * (1 - G1925))</f>
        <v>5624.7480000000005</v>
      </c>
      <c r="J1925" s="10"/>
    </row>
    <row r="1926" spans="1:10" ht="15.75" customHeight="1" x14ac:dyDescent="0.3">
      <c r="A1926" s="5" t="s">
        <v>2793</v>
      </c>
      <c r="B1926" s="11">
        <v>45500</v>
      </c>
      <c r="C1926" s="5" t="s">
        <v>376</v>
      </c>
      <c r="D1926" s="5" t="s">
        <v>95</v>
      </c>
      <c r="E1926" s="5" t="s">
        <v>29</v>
      </c>
      <c r="F1926" s="5">
        <v>4</v>
      </c>
      <c r="G1926" s="19">
        <v>0.15</v>
      </c>
      <c r="H1926" s="5" t="s">
        <v>776</v>
      </c>
      <c r="I1926" s="10">
        <f>IF(OR(D1926="", F1926=""), "", F1926 * VLOOKUP(D1926, Products!A:E, 5, FALSE) * (1 - G1926))</f>
        <v>4565.3499999999995</v>
      </c>
      <c r="J1926" s="10"/>
    </row>
    <row r="1927" spans="1:10" ht="15.75" customHeight="1" x14ac:dyDescent="0.3">
      <c r="A1927" s="5" t="s">
        <v>2794</v>
      </c>
      <c r="B1927" s="11">
        <v>45712</v>
      </c>
      <c r="C1927" s="5" t="s">
        <v>649</v>
      </c>
      <c r="D1927" s="5" t="s">
        <v>89</v>
      </c>
      <c r="E1927" s="5" t="s">
        <v>33</v>
      </c>
      <c r="F1927" s="5">
        <v>1</v>
      </c>
      <c r="G1927" s="19">
        <v>0.1</v>
      </c>
      <c r="H1927" s="5" t="s">
        <v>776</v>
      </c>
      <c r="I1927" s="10">
        <f>IF(OR(D1927="", F1927=""), "", F1927 * VLOOKUP(D1927, Products!A:E, 5, FALSE) * (1 - G1927))</f>
        <v>1021.3199999999999</v>
      </c>
      <c r="J1927" s="10"/>
    </row>
    <row r="1928" spans="1:10" ht="15.75" customHeight="1" x14ac:dyDescent="0.3">
      <c r="A1928" s="5" t="s">
        <v>2795</v>
      </c>
      <c r="B1928" s="11">
        <v>45395</v>
      </c>
      <c r="C1928" s="5" t="s">
        <v>425</v>
      </c>
      <c r="D1928" s="5" t="s">
        <v>285</v>
      </c>
      <c r="E1928" s="5" t="s">
        <v>29</v>
      </c>
      <c r="F1928" s="5">
        <v>3</v>
      </c>
      <c r="G1928" s="19">
        <v>0.1</v>
      </c>
      <c r="H1928" s="5" t="s">
        <v>637</v>
      </c>
      <c r="I1928" s="10">
        <f>IF(OR(D1928="", F1928=""), "", F1928 * VLOOKUP(D1928, Products!A:E, 5, FALSE) * (1 - G1928))</f>
        <v>1048.3019999999999</v>
      </c>
      <c r="J1928" s="10"/>
    </row>
    <row r="1929" spans="1:10" ht="15.75" customHeight="1" x14ac:dyDescent="0.3">
      <c r="A1929" s="5" t="s">
        <v>2796</v>
      </c>
      <c r="B1929" s="11">
        <v>45376</v>
      </c>
      <c r="C1929" s="5" t="s">
        <v>405</v>
      </c>
      <c r="D1929" s="5" t="s">
        <v>212</v>
      </c>
      <c r="E1929" s="5" t="s">
        <v>29</v>
      </c>
      <c r="F1929" s="5">
        <v>1</v>
      </c>
      <c r="G1929" s="19">
        <v>0.05</v>
      </c>
      <c r="H1929" s="5" t="s">
        <v>776</v>
      </c>
      <c r="I1929" s="10">
        <f>IF(OR(D1929="", F1929=""), "", F1929 * VLOOKUP(D1929, Products!A:E, 5, FALSE) * (1 - G1929))</f>
        <v>1709.0214999999998</v>
      </c>
      <c r="J1929" s="10"/>
    </row>
    <row r="1930" spans="1:10" ht="15.75" customHeight="1" x14ac:dyDescent="0.3">
      <c r="A1930" s="5" t="s">
        <v>2797</v>
      </c>
      <c r="B1930" s="11">
        <v>45836</v>
      </c>
      <c r="C1930" s="5" t="s">
        <v>16</v>
      </c>
      <c r="D1930" s="5" t="s">
        <v>47</v>
      </c>
      <c r="E1930" s="5" t="s">
        <v>21</v>
      </c>
      <c r="F1930" s="5">
        <v>3</v>
      </c>
      <c r="G1930" s="19">
        <v>0.05</v>
      </c>
      <c r="H1930" s="5" t="s">
        <v>454</v>
      </c>
      <c r="I1930" s="10">
        <f>IF(OR(D1930="", F1930=""), "", F1930 * VLOOKUP(D1930, Products!A:E, 5, FALSE) * (1 - G1930))</f>
        <v>2333.4659999999994</v>
      </c>
      <c r="J1930" s="10"/>
    </row>
    <row r="1931" spans="1:10" ht="15.75" customHeight="1" x14ac:dyDescent="0.3">
      <c r="A1931" s="5" t="s">
        <v>2798</v>
      </c>
      <c r="B1931" s="11">
        <v>45461</v>
      </c>
      <c r="C1931" s="5" t="s">
        <v>615</v>
      </c>
      <c r="D1931" s="5" t="s">
        <v>291</v>
      </c>
      <c r="E1931" s="5" t="s">
        <v>29</v>
      </c>
      <c r="F1931" s="5">
        <v>5</v>
      </c>
      <c r="G1931" s="19">
        <v>0</v>
      </c>
      <c r="H1931" s="5" t="s">
        <v>637</v>
      </c>
      <c r="I1931" s="10">
        <f>IF(OR(D1931="", F1931=""), "", F1931 * VLOOKUP(D1931, Products!A:E, 5, FALSE) * (1 - G1931))</f>
        <v>5223.2000000000007</v>
      </c>
      <c r="J1931" s="10"/>
    </row>
    <row r="1932" spans="1:10" ht="15.75" customHeight="1" x14ac:dyDescent="0.3">
      <c r="A1932" s="5" t="s">
        <v>2799</v>
      </c>
      <c r="B1932" s="11">
        <v>45314</v>
      </c>
      <c r="C1932" s="5" t="s">
        <v>342</v>
      </c>
      <c r="D1932" s="5" t="s">
        <v>109</v>
      </c>
      <c r="E1932" s="5" t="s">
        <v>29</v>
      </c>
      <c r="F1932" s="5">
        <v>4</v>
      </c>
      <c r="G1932" s="19">
        <v>0.1</v>
      </c>
      <c r="H1932" s="5" t="s">
        <v>454</v>
      </c>
      <c r="I1932" s="10">
        <f>IF(OR(D1932="", F1932=""), "", F1932 * VLOOKUP(D1932, Products!A:E, 5, FALSE) * (1 - G1932))</f>
        <v>6691.5</v>
      </c>
      <c r="J1932" s="10"/>
    </row>
    <row r="1933" spans="1:10" ht="15.75" customHeight="1" x14ac:dyDescent="0.3">
      <c r="A1933" s="5" t="s">
        <v>2800</v>
      </c>
      <c r="B1933" s="11">
        <v>45223</v>
      </c>
      <c r="C1933" s="5" t="s">
        <v>458</v>
      </c>
      <c r="D1933" s="5" t="s">
        <v>285</v>
      </c>
      <c r="E1933" s="5" t="s">
        <v>21</v>
      </c>
      <c r="F1933" s="5">
        <v>1</v>
      </c>
      <c r="G1933" s="19">
        <v>0</v>
      </c>
      <c r="H1933" s="5" t="s">
        <v>697</v>
      </c>
      <c r="I1933" s="10">
        <f>IF(OR(D1933="", F1933=""), "", F1933 * VLOOKUP(D1933, Products!A:E, 5, FALSE) * (1 - G1933))</f>
        <v>388.26</v>
      </c>
      <c r="J1933" s="10"/>
    </row>
    <row r="1934" spans="1:10" ht="15.75" customHeight="1" x14ac:dyDescent="0.3">
      <c r="A1934" s="5" t="s">
        <v>2801</v>
      </c>
      <c r="B1934" s="11">
        <v>45832</v>
      </c>
      <c r="C1934" s="5" t="s">
        <v>484</v>
      </c>
      <c r="D1934" s="5" t="s">
        <v>232</v>
      </c>
      <c r="E1934" s="5" t="s">
        <v>29</v>
      </c>
      <c r="F1934" s="5">
        <v>3</v>
      </c>
      <c r="G1934" s="19">
        <v>0.1</v>
      </c>
      <c r="H1934" s="5" t="s">
        <v>697</v>
      </c>
      <c r="I1934" s="10">
        <f>IF(OR(D1934="", F1934=""), "", F1934 * VLOOKUP(D1934, Products!A:E, 5, FALSE) * (1 - G1934))</f>
        <v>5272.1550000000007</v>
      </c>
      <c r="J1934" s="10"/>
    </row>
    <row r="1935" spans="1:10" ht="15.75" customHeight="1" x14ac:dyDescent="0.3">
      <c r="A1935" s="5" t="s">
        <v>2802</v>
      </c>
      <c r="B1935" s="11">
        <v>45466</v>
      </c>
      <c r="C1935" s="5" t="s">
        <v>770</v>
      </c>
      <c r="D1935" s="5" t="s">
        <v>237</v>
      </c>
      <c r="E1935" s="5" t="s">
        <v>29</v>
      </c>
      <c r="F1935" s="5">
        <v>2</v>
      </c>
      <c r="G1935" s="19">
        <v>0.15</v>
      </c>
      <c r="H1935" s="5" t="s">
        <v>776</v>
      </c>
      <c r="I1935" s="10">
        <f>IF(OR(D1935="", F1935=""), "", F1935 * VLOOKUP(D1935, Products!A:E, 5, FALSE) * (1 - G1935))</f>
        <v>623.78099999999995</v>
      </c>
      <c r="J1935" s="10"/>
    </row>
    <row r="1936" spans="1:10" ht="15.75" customHeight="1" x14ac:dyDescent="0.3">
      <c r="A1936" s="5" t="s">
        <v>2803</v>
      </c>
      <c r="B1936" s="11">
        <v>45559</v>
      </c>
      <c r="C1936" s="5" t="s">
        <v>240</v>
      </c>
      <c r="D1936" s="5" t="s">
        <v>70</v>
      </c>
      <c r="E1936" s="5" t="s">
        <v>25</v>
      </c>
      <c r="F1936" s="5">
        <v>5</v>
      </c>
      <c r="G1936" s="19">
        <v>0</v>
      </c>
      <c r="H1936" s="5" t="s">
        <v>776</v>
      </c>
      <c r="I1936" s="10">
        <f>IF(OR(D1936="", F1936=""), "", F1936 * VLOOKUP(D1936, Products!A:E, 5, FALSE) * (1 - G1936))</f>
        <v>615.95000000000005</v>
      </c>
      <c r="J1936" s="10"/>
    </row>
    <row r="1937" spans="1:10" ht="15.75" customHeight="1" x14ac:dyDescent="0.3">
      <c r="A1937" s="5" t="s">
        <v>2804</v>
      </c>
      <c r="B1937" s="11">
        <v>45909</v>
      </c>
      <c r="C1937" s="5" t="s">
        <v>718</v>
      </c>
      <c r="D1937" s="5" t="s">
        <v>54</v>
      </c>
      <c r="E1937" s="5" t="s">
        <v>25</v>
      </c>
      <c r="F1937" s="5">
        <v>2</v>
      </c>
      <c r="G1937" s="19">
        <v>0.15</v>
      </c>
      <c r="H1937" s="5" t="s">
        <v>776</v>
      </c>
      <c r="I1937" s="10">
        <f>IF(OR(D1937="", F1937=""), "", F1937 * VLOOKUP(D1937, Products!A:E, 5, FALSE) * (1 - G1937))</f>
        <v>3151.4090000000001</v>
      </c>
      <c r="J1937" s="10"/>
    </row>
    <row r="1938" spans="1:10" ht="15.75" customHeight="1" x14ac:dyDescent="0.3">
      <c r="A1938" s="5" t="s">
        <v>2805</v>
      </c>
      <c r="B1938" s="11">
        <v>45242</v>
      </c>
      <c r="C1938" s="5" t="s">
        <v>191</v>
      </c>
      <c r="D1938" s="5" t="s">
        <v>256</v>
      </c>
      <c r="E1938" s="5" t="s">
        <v>37</v>
      </c>
      <c r="F1938" s="5">
        <v>5</v>
      </c>
      <c r="G1938" s="19">
        <v>0.1</v>
      </c>
      <c r="H1938" s="5" t="s">
        <v>454</v>
      </c>
      <c r="I1938" s="10">
        <f>IF(OR(D1938="", F1938=""), "", F1938 * VLOOKUP(D1938, Products!A:E, 5, FALSE) * (1 - G1938))</f>
        <v>7357.5450000000001</v>
      </c>
      <c r="J1938" s="10"/>
    </row>
    <row r="1939" spans="1:10" ht="15.75" customHeight="1" x14ac:dyDescent="0.3">
      <c r="A1939" s="5" t="s">
        <v>2806</v>
      </c>
      <c r="B1939" s="11">
        <v>45506</v>
      </c>
      <c r="C1939" s="5" t="s">
        <v>833</v>
      </c>
      <c r="D1939" s="5" t="s">
        <v>115</v>
      </c>
      <c r="E1939" s="5" t="s">
        <v>33</v>
      </c>
      <c r="F1939" s="5">
        <v>2</v>
      </c>
      <c r="G1939" s="19">
        <v>0.05</v>
      </c>
      <c r="H1939" s="5" t="s">
        <v>776</v>
      </c>
      <c r="I1939" s="10">
        <f>IF(OR(D1939="", F1939=""), "", F1939 * VLOOKUP(D1939, Products!A:E, 5, FALSE) * (1 - G1939))</f>
        <v>2367.6089999999999</v>
      </c>
      <c r="J1939" s="10"/>
    </row>
    <row r="1940" spans="1:10" ht="15.75" customHeight="1" x14ac:dyDescent="0.3">
      <c r="A1940" s="5" t="s">
        <v>2807</v>
      </c>
      <c r="B1940" s="11">
        <v>45713</v>
      </c>
      <c r="C1940" s="5" t="s">
        <v>274</v>
      </c>
      <c r="D1940" s="5" t="s">
        <v>217</v>
      </c>
      <c r="E1940" s="5" t="s">
        <v>25</v>
      </c>
      <c r="F1940" s="5">
        <v>4</v>
      </c>
      <c r="G1940" s="19">
        <v>0.1</v>
      </c>
      <c r="H1940" s="5" t="s">
        <v>454</v>
      </c>
      <c r="I1940" s="10">
        <f>IF(OR(D1940="", F1940=""), "", F1940 * VLOOKUP(D1940, Products!A:E, 5, FALSE) * (1 - G1940))</f>
        <v>1540.98</v>
      </c>
      <c r="J1940" s="10"/>
    </row>
    <row r="1941" spans="1:10" ht="15.75" customHeight="1" x14ac:dyDescent="0.3">
      <c r="A1941" s="5" t="s">
        <v>2808</v>
      </c>
      <c r="B1941" s="11">
        <v>45836</v>
      </c>
      <c r="C1941" s="5" t="s">
        <v>519</v>
      </c>
      <c r="D1941" s="5" t="s">
        <v>162</v>
      </c>
      <c r="E1941" s="5" t="s">
        <v>33</v>
      </c>
      <c r="F1941" s="5">
        <v>1</v>
      </c>
      <c r="G1941" s="19">
        <v>0.15</v>
      </c>
      <c r="H1941" s="5" t="s">
        <v>776</v>
      </c>
      <c r="I1941" s="10">
        <f>IF(OR(D1941="", F1941=""), "", F1941 * VLOOKUP(D1941, Products!A:E, 5, FALSE) * (1 - G1941))</f>
        <v>364.77749999999997</v>
      </c>
      <c r="J1941" s="10"/>
    </row>
    <row r="1942" spans="1:10" ht="15.75" customHeight="1" x14ac:dyDescent="0.3">
      <c r="A1942" s="5" t="s">
        <v>2809</v>
      </c>
      <c r="B1942" s="11">
        <v>45815</v>
      </c>
      <c r="C1942" s="5" t="s">
        <v>624</v>
      </c>
      <c r="D1942" s="5" t="s">
        <v>243</v>
      </c>
      <c r="E1942" s="5" t="s">
        <v>33</v>
      </c>
      <c r="F1942" s="5">
        <v>5</v>
      </c>
      <c r="G1942" s="19">
        <v>0</v>
      </c>
      <c r="H1942" s="5" t="s">
        <v>697</v>
      </c>
      <c r="I1942" s="10">
        <f>IF(OR(D1942="", F1942=""), "", F1942 * VLOOKUP(D1942, Products!A:E, 5, FALSE) * (1 - G1942))</f>
        <v>2704.7000000000003</v>
      </c>
      <c r="J1942" s="10"/>
    </row>
    <row r="1943" spans="1:10" ht="15.75" customHeight="1" x14ac:dyDescent="0.3">
      <c r="A1943" s="5" t="s">
        <v>2810</v>
      </c>
      <c r="B1943" s="11">
        <v>45812</v>
      </c>
      <c r="C1943" s="5" t="s">
        <v>727</v>
      </c>
      <c r="D1943" s="5" t="s">
        <v>168</v>
      </c>
      <c r="E1943" s="5" t="s">
        <v>29</v>
      </c>
      <c r="F1943" s="5">
        <v>2</v>
      </c>
      <c r="G1943" s="19">
        <v>0.1</v>
      </c>
      <c r="H1943" s="5" t="s">
        <v>776</v>
      </c>
      <c r="I1943" s="10">
        <f>IF(OR(D1943="", F1943=""), "", F1943 * VLOOKUP(D1943, Products!A:E, 5, FALSE) * (1 - G1943))</f>
        <v>1828.3679999999999</v>
      </c>
      <c r="J1943" s="10"/>
    </row>
    <row r="1944" spans="1:10" ht="15.75" customHeight="1" x14ac:dyDescent="0.3">
      <c r="A1944" s="5" t="s">
        <v>2811</v>
      </c>
      <c r="B1944" s="11">
        <v>45585</v>
      </c>
      <c r="C1944" s="5" t="s">
        <v>699</v>
      </c>
      <c r="D1944" s="5" t="s">
        <v>89</v>
      </c>
      <c r="E1944" s="5" t="s">
        <v>21</v>
      </c>
      <c r="F1944" s="5">
        <v>2</v>
      </c>
      <c r="G1944" s="19">
        <v>0.15</v>
      </c>
      <c r="H1944" s="5" t="s">
        <v>637</v>
      </c>
      <c r="I1944" s="10">
        <f>IF(OR(D1944="", F1944=""), "", F1944 * VLOOKUP(D1944, Products!A:E, 5, FALSE) * (1 - G1944))</f>
        <v>1929.1599999999999</v>
      </c>
      <c r="J1944" s="10"/>
    </row>
    <row r="1945" spans="1:10" ht="15.75" customHeight="1" x14ac:dyDescent="0.3">
      <c r="A1945" s="5" t="s">
        <v>2812</v>
      </c>
      <c r="B1945" s="11">
        <v>45355</v>
      </c>
      <c r="C1945" s="5" t="s">
        <v>800</v>
      </c>
      <c r="D1945" s="5" t="s">
        <v>269</v>
      </c>
      <c r="E1945" s="5" t="s">
        <v>37</v>
      </c>
      <c r="F1945" s="5">
        <v>5</v>
      </c>
      <c r="G1945" s="19">
        <v>0</v>
      </c>
      <c r="H1945" s="5" t="s">
        <v>697</v>
      </c>
      <c r="I1945" s="10">
        <f>IF(OR(D1945="", F1945=""), "", F1945 * VLOOKUP(D1945, Products!A:E, 5, FALSE) * (1 - G1945))</f>
        <v>9395.4</v>
      </c>
      <c r="J1945" s="10"/>
    </row>
    <row r="1946" spans="1:10" ht="15.75" customHeight="1" x14ac:dyDescent="0.3">
      <c r="A1946" s="5" t="s">
        <v>2813</v>
      </c>
      <c r="B1946" s="11">
        <v>45433</v>
      </c>
      <c r="C1946" s="5" t="s">
        <v>586</v>
      </c>
      <c r="D1946" s="5" t="s">
        <v>162</v>
      </c>
      <c r="E1946" s="5" t="s">
        <v>37</v>
      </c>
      <c r="F1946" s="5">
        <v>4</v>
      </c>
      <c r="G1946" s="19">
        <v>0.15</v>
      </c>
      <c r="H1946" s="5" t="s">
        <v>637</v>
      </c>
      <c r="I1946" s="10">
        <f>IF(OR(D1946="", F1946=""), "", F1946 * VLOOKUP(D1946, Products!A:E, 5, FALSE) * (1 - G1946))</f>
        <v>1459.11</v>
      </c>
      <c r="J1946" s="10"/>
    </row>
    <row r="1947" spans="1:10" ht="15.75" customHeight="1" x14ac:dyDescent="0.3">
      <c r="A1947" s="5" t="s">
        <v>2814</v>
      </c>
      <c r="B1947" s="11">
        <v>45831</v>
      </c>
      <c r="C1947" s="5" t="s">
        <v>733</v>
      </c>
      <c r="D1947" s="5" t="s">
        <v>262</v>
      </c>
      <c r="E1947" s="5" t="s">
        <v>29</v>
      </c>
      <c r="F1947" s="5">
        <v>2</v>
      </c>
      <c r="G1947" s="19">
        <v>0.05</v>
      </c>
      <c r="H1947" s="5" t="s">
        <v>776</v>
      </c>
      <c r="I1947" s="10">
        <f>IF(OR(D1947="", F1947=""), "", F1947 * VLOOKUP(D1947, Products!A:E, 5, FALSE) * (1 - G1947))</f>
        <v>861.87799999999993</v>
      </c>
      <c r="J1947" s="10"/>
    </row>
    <row r="1948" spans="1:10" ht="15.75" customHeight="1" x14ac:dyDescent="0.3">
      <c r="A1948" s="5" t="s">
        <v>2815</v>
      </c>
      <c r="B1948" s="11">
        <v>45810</v>
      </c>
      <c r="C1948" s="5" t="s">
        <v>312</v>
      </c>
      <c r="D1948" s="5" t="s">
        <v>243</v>
      </c>
      <c r="E1948" s="5" t="s">
        <v>37</v>
      </c>
      <c r="F1948" s="5">
        <v>2</v>
      </c>
      <c r="G1948" s="19">
        <v>0</v>
      </c>
      <c r="H1948" s="5" t="s">
        <v>637</v>
      </c>
      <c r="I1948" s="10">
        <f>IF(OR(D1948="", F1948=""), "", F1948 * VLOOKUP(D1948, Products!A:E, 5, FALSE) * (1 - G1948))</f>
        <v>1081.8800000000001</v>
      </c>
      <c r="J1948" s="10"/>
    </row>
    <row r="1949" spans="1:10" ht="15.75" customHeight="1" x14ac:dyDescent="0.3">
      <c r="A1949" s="5" t="s">
        <v>2816</v>
      </c>
      <c r="B1949" s="11">
        <v>45478</v>
      </c>
      <c r="C1949" s="5" t="s">
        <v>641</v>
      </c>
      <c r="D1949" s="5" t="s">
        <v>276</v>
      </c>
      <c r="E1949" s="5" t="s">
        <v>37</v>
      </c>
      <c r="F1949" s="5">
        <v>3</v>
      </c>
      <c r="G1949" s="19">
        <v>0.1</v>
      </c>
      <c r="H1949" s="5" t="s">
        <v>697</v>
      </c>
      <c r="I1949" s="10">
        <f>IF(OR(D1949="", F1949=""), "", F1949 * VLOOKUP(D1949, Products!A:E, 5, FALSE) * (1 - G1949))</f>
        <v>3232.386</v>
      </c>
      <c r="J1949" s="10"/>
    </row>
    <row r="1950" spans="1:10" ht="15.75" customHeight="1" x14ac:dyDescent="0.3">
      <c r="A1950" s="5" t="s">
        <v>2817</v>
      </c>
      <c r="B1950" s="11">
        <v>45482</v>
      </c>
      <c r="C1950" s="5" t="s">
        <v>450</v>
      </c>
      <c r="D1950" s="5" t="s">
        <v>47</v>
      </c>
      <c r="E1950" s="5" t="s">
        <v>29</v>
      </c>
      <c r="F1950" s="5">
        <v>5</v>
      </c>
      <c r="G1950" s="19">
        <v>0</v>
      </c>
      <c r="H1950" s="5" t="s">
        <v>697</v>
      </c>
      <c r="I1950" s="10">
        <f>IF(OR(D1950="", F1950=""), "", F1950 * VLOOKUP(D1950, Products!A:E, 5, FALSE) * (1 - G1950))</f>
        <v>4093.8</v>
      </c>
      <c r="J1950" s="10"/>
    </row>
    <row r="1951" spans="1:10" ht="15.75" customHeight="1" x14ac:dyDescent="0.3">
      <c r="A1951" s="5" t="s">
        <v>2818</v>
      </c>
      <c r="B1951" s="11">
        <v>45718</v>
      </c>
      <c r="C1951" s="5" t="s">
        <v>380</v>
      </c>
      <c r="D1951" s="5" t="s">
        <v>77</v>
      </c>
      <c r="E1951" s="5" t="s">
        <v>21</v>
      </c>
      <c r="F1951" s="5">
        <v>5</v>
      </c>
      <c r="G1951" s="19">
        <v>0.05</v>
      </c>
      <c r="H1951" s="5" t="s">
        <v>454</v>
      </c>
      <c r="I1951" s="10">
        <f>IF(OR(D1951="", F1951=""), "", F1951 * VLOOKUP(D1951, Products!A:E, 5, FALSE) * (1 - G1951))</f>
        <v>1180.7074999999998</v>
      </c>
      <c r="J1951" s="10"/>
    </row>
    <row r="1952" spans="1:10" ht="15.75" customHeight="1" x14ac:dyDescent="0.3">
      <c r="A1952" s="5" t="s">
        <v>2819</v>
      </c>
      <c r="B1952" s="11">
        <v>45823</v>
      </c>
      <c r="C1952" s="5" t="s">
        <v>144</v>
      </c>
      <c r="D1952" s="5" t="s">
        <v>226</v>
      </c>
      <c r="E1952" s="5" t="s">
        <v>25</v>
      </c>
      <c r="F1952" s="5">
        <v>3</v>
      </c>
      <c r="G1952" s="19">
        <v>0.05</v>
      </c>
      <c r="H1952" s="5" t="s">
        <v>454</v>
      </c>
      <c r="I1952" s="10">
        <f>IF(OR(D1952="", F1952=""), "", F1952 * VLOOKUP(D1952, Products!A:E, 5, FALSE) * (1 - G1952))</f>
        <v>4279.1610000000001</v>
      </c>
      <c r="J1952" s="10"/>
    </row>
    <row r="1953" spans="1:10" ht="15.75" customHeight="1" x14ac:dyDescent="0.3">
      <c r="A1953" s="5" t="s">
        <v>2820</v>
      </c>
      <c r="B1953" s="11">
        <v>45758</v>
      </c>
      <c r="C1953" s="5" t="s">
        <v>159</v>
      </c>
      <c r="D1953" s="5" t="s">
        <v>47</v>
      </c>
      <c r="E1953" s="5" t="s">
        <v>25</v>
      </c>
      <c r="F1953" s="5">
        <v>2</v>
      </c>
      <c r="G1953" s="19">
        <v>0</v>
      </c>
      <c r="H1953" s="5" t="s">
        <v>776</v>
      </c>
      <c r="I1953" s="10">
        <f>IF(OR(D1953="", F1953=""), "", F1953 * VLOOKUP(D1953, Products!A:E, 5, FALSE) * (1 - G1953))</f>
        <v>1637.52</v>
      </c>
      <c r="J1953" s="10"/>
    </row>
    <row r="1954" spans="1:10" ht="15.75" customHeight="1" x14ac:dyDescent="0.3">
      <c r="A1954" s="5" t="s">
        <v>2821</v>
      </c>
      <c r="B1954" s="11">
        <v>45240</v>
      </c>
      <c r="C1954" s="5" t="s">
        <v>770</v>
      </c>
      <c r="D1954" s="5" t="s">
        <v>119</v>
      </c>
      <c r="E1954" s="5" t="s">
        <v>29</v>
      </c>
      <c r="F1954" s="5">
        <v>5</v>
      </c>
      <c r="G1954" s="19">
        <v>0.1</v>
      </c>
      <c r="H1954" s="5" t="s">
        <v>454</v>
      </c>
      <c r="I1954" s="10">
        <f>IF(OR(D1954="", F1954=""), "", F1954 * VLOOKUP(D1954, Products!A:E, 5, FALSE) * (1 - G1954))</f>
        <v>4859.505000000001</v>
      </c>
      <c r="J1954" s="10"/>
    </row>
    <row r="1955" spans="1:10" ht="15.75" customHeight="1" x14ac:dyDescent="0.3">
      <c r="A1955" s="5" t="s">
        <v>2822</v>
      </c>
      <c r="B1955" s="11">
        <v>45838</v>
      </c>
      <c r="C1955" s="5" t="s">
        <v>203</v>
      </c>
      <c r="D1955" s="5" t="s">
        <v>77</v>
      </c>
      <c r="E1955" s="5" t="s">
        <v>37</v>
      </c>
      <c r="F1955" s="5">
        <v>3</v>
      </c>
      <c r="G1955" s="19">
        <v>0.05</v>
      </c>
      <c r="H1955" s="5" t="s">
        <v>637</v>
      </c>
      <c r="I1955" s="10">
        <f>IF(OR(D1955="", F1955=""), "", F1955 * VLOOKUP(D1955, Products!A:E, 5, FALSE) * (1 - G1955))</f>
        <v>708.42449999999997</v>
      </c>
      <c r="J1955" s="10"/>
    </row>
    <row r="1956" spans="1:10" ht="15.75" customHeight="1" x14ac:dyDescent="0.3">
      <c r="A1956" s="5" t="s">
        <v>2823</v>
      </c>
      <c r="B1956" s="11">
        <v>45537</v>
      </c>
      <c r="C1956" s="5" t="s">
        <v>736</v>
      </c>
      <c r="D1956" s="5" t="s">
        <v>47</v>
      </c>
      <c r="E1956" s="5" t="s">
        <v>29</v>
      </c>
      <c r="F1956" s="5">
        <v>3</v>
      </c>
      <c r="G1956" s="19">
        <v>0</v>
      </c>
      <c r="H1956" s="5" t="s">
        <v>776</v>
      </c>
      <c r="I1956" s="10">
        <f>IF(OR(D1956="", F1956=""), "", F1956 * VLOOKUP(D1956, Products!A:E, 5, FALSE) * (1 - G1956))</f>
        <v>2456.2799999999997</v>
      </c>
      <c r="J1956" s="10"/>
    </row>
    <row r="1957" spans="1:10" ht="15.75" customHeight="1" x14ac:dyDescent="0.3">
      <c r="A1957" s="5" t="s">
        <v>2824</v>
      </c>
      <c r="B1957" s="11">
        <v>45717</v>
      </c>
      <c r="C1957" s="5" t="s">
        <v>511</v>
      </c>
      <c r="D1957" s="5" t="s">
        <v>237</v>
      </c>
      <c r="E1957" s="5" t="s">
        <v>25</v>
      </c>
      <c r="F1957" s="5">
        <v>3</v>
      </c>
      <c r="G1957" s="19">
        <v>0.05</v>
      </c>
      <c r="H1957" s="5" t="s">
        <v>454</v>
      </c>
      <c r="I1957" s="10">
        <f>IF(OR(D1957="", F1957=""), "", F1957 * VLOOKUP(D1957, Products!A:E, 5, FALSE) * (1 - G1957))</f>
        <v>1045.7504999999999</v>
      </c>
      <c r="J1957" s="10"/>
    </row>
    <row r="1958" spans="1:10" ht="15.75" customHeight="1" x14ac:dyDescent="0.3">
      <c r="A1958" s="5" t="s">
        <v>2825</v>
      </c>
      <c r="B1958" s="11">
        <v>45674</v>
      </c>
      <c r="C1958" s="5" t="s">
        <v>100</v>
      </c>
      <c r="D1958" s="5" t="s">
        <v>153</v>
      </c>
      <c r="E1958" s="5" t="s">
        <v>37</v>
      </c>
      <c r="F1958" s="5">
        <v>5</v>
      </c>
      <c r="G1958" s="19">
        <v>0</v>
      </c>
      <c r="H1958" s="5" t="s">
        <v>637</v>
      </c>
      <c r="I1958" s="10">
        <f>IF(OR(D1958="", F1958=""), "", F1958 * VLOOKUP(D1958, Products!A:E, 5, FALSE) * (1 - G1958))</f>
        <v>7437.05</v>
      </c>
      <c r="J1958" s="10"/>
    </row>
    <row r="1959" spans="1:10" ht="15.75" customHeight="1" x14ac:dyDescent="0.3">
      <c r="A1959" s="5" t="s">
        <v>2826</v>
      </c>
      <c r="B1959" s="11">
        <v>45375</v>
      </c>
      <c r="C1959" s="5" t="s">
        <v>774</v>
      </c>
      <c r="D1959" s="5" t="s">
        <v>221</v>
      </c>
      <c r="E1959" s="5" t="s">
        <v>29</v>
      </c>
      <c r="F1959" s="5">
        <v>5</v>
      </c>
      <c r="G1959" s="19">
        <v>0.05</v>
      </c>
      <c r="H1959" s="5" t="s">
        <v>637</v>
      </c>
      <c r="I1959" s="10">
        <f>IF(OR(D1959="", F1959=""), "", F1959 * VLOOKUP(D1959, Products!A:E, 5, FALSE) * (1 - G1959))</f>
        <v>7421.5425000000005</v>
      </c>
      <c r="J1959" s="10"/>
    </row>
    <row r="1960" spans="1:10" ht="15.75" customHeight="1" x14ac:dyDescent="0.3">
      <c r="A1960" s="5" t="s">
        <v>2827</v>
      </c>
      <c r="B1960" s="11">
        <v>45282</v>
      </c>
      <c r="C1960" s="5" t="s">
        <v>376</v>
      </c>
      <c r="D1960" s="5" t="s">
        <v>193</v>
      </c>
      <c r="E1960" s="5" t="s">
        <v>29</v>
      </c>
      <c r="F1960" s="5">
        <v>3</v>
      </c>
      <c r="G1960" s="19">
        <v>0.05</v>
      </c>
      <c r="H1960" s="5" t="s">
        <v>637</v>
      </c>
      <c r="I1960" s="10">
        <f>IF(OR(D1960="", F1960=""), "", F1960 * VLOOKUP(D1960, Products!A:E, 5, FALSE) * (1 - G1960))</f>
        <v>83.333999999999989</v>
      </c>
      <c r="J1960" s="10"/>
    </row>
    <row r="1961" spans="1:10" ht="15.75" customHeight="1" x14ac:dyDescent="0.3">
      <c r="A1961" s="5" t="s">
        <v>2828</v>
      </c>
      <c r="B1961" s="11">
        <v>45509</v>
      </c>
      <c r="C1961" s="5" t="s">
        <v>308</v>
      </c>
      <c r="D1961" s="5" t="s">
        <v>153</v>
      </c>
      <c r="E1961" s="5" t="s">
        <v>33</v>
      </c>
      <c r="F1961" s="5">
        <v>2</v>
      </c>
      <c r="G1961" s="19">
        <v>0.15</v>
      </c>
      <c r="H1961" s="5" t="s">
        <v>454</v>
      </c>
      <c r="I1961" s="10">
        <f>IF(OR(D1961="", F1961=""), "", F1961 * VLOOKUP(D1961, Products!A:E, 5, FALSE) * (1 - G1961))</f>
        <v>2528.5970000000002</v>
      </c>
      <c r="J1961" s="10"/>
    </row>
    <row r="1962" spans="1:10" ht="15.75" customHeight="1" x14ac:dyDescent="0.3">
      <c r="A1962" s="5" t="s">
        <v>2829</v>
      </c>
      <c r="B1962" s="11">
        <v>45605</v>
      </c>
      <c r="C1962" s="5" t="s">
        <v>300</v>
      </c>
      <c r="D1962" s="5" t="s">
        <v>134</v>
      </c>
      <c r="E1962" s="5" t="s">
        <v>33</v>
      </c>
      <c r="F1962" s="5">
        <v>1</v>
      </c>
      <c r="G1962" s="19">
        <v>0.15</v>
      </c>
      <c r="H1962" s="5" t="s">
        <v>697</v>
      </c>
      <c r="I1962" s="10">
        <f>IF(OR(D1962="", F1962=""), "", F1962 * VLOOKUP(D1962, Products!A:E, 5, FALSE) * (1 - G1962))</f>
        <v>1043.154</v>
      </c>
      <c r="J1962" s="10"/>
    </row>
    <row r="1963" spans="1:10" ht="15.75" customHeight="1" x14ac:dyDescent="0.3">
      <c r="A1963" s="5" t="s">
        <v>2830</v>
      </c>
      <c r="B1963" s="11">
        <v>45292</v>
      </c>
      <c r="C1963" s="5" t="s">
        <v>604</v>
      </c>
      <c r="D1963" s="5" t="s">
        <v>226</v>
      </c>
      <c r="E1963" s="5" t="s">
        <v>25</v>
      </c>
      <c r="F1963" s="5">
        <v>2</v>
      </c>
      <c r="G1963" s="19">
        <v>0.05</v>
      </c>
      <c r="H1963" s="5" t="s">
        <v>637</v>
      </c>
      <c r="I1963" s="10">
        <f>IF(OR(D1963="", F1963=""), "", F1963 * VLOOKUP(D1963, Products!A:E, 5, FALSE) * (1 - G1963))</f>
        <v>2852.7739999999999</v>
      </c>
      <c r="J1963" s="10"/>
    </row>
    <row r="1964" spans="1:10" ht="15.75" customHeight="1" x14ac:dyDescent="0.3">
      <c r="A1964" s="5" t="s">
        <v>2831</v>
      </c>
      <c r="B1964" s="11">
        <v>45553</v>
      </c>
      <c r="C1964" s="5" t="s">
        <v>837</v>
      </c>
      <c r="D1964" s="5" t="s">
        <v>269</v>
      </c>
      <c r="E1964" s="5" t="s">
        <v>25</v>
      </c>
      <c r="F1964" s="5">
        <v>3</v>
      </c>
      <c r="G1964" s="19">
        <v>0</v>
      </c>
      <c r="H1964" s="5" t="s">
        <v>454</v>
      </c>
      <c r="I1964" s="10">
        <f>IF(OR(D1964="", F1964=""), "", F1964 * VLOOKUP(D1964, Products!A:E, 5, FALSE) * (1 - G1964))</f>
        <v>5637.24</v>
      </c>
      <c r="J1964" s="10"/>
    </row>
    <row r="1965" spans="1:10" ht="15.75" customHeight="1" x14ac:dyDescent="0.3">
      <c r="A1965" s="5" t="s">
        <v>2832</v>
      </c>
      <c r="B1965" s="11">
        <v>45518</v>
      </c>
      <c r="C1965" s="5" t="s">
        <v>317</v>
      </c>
      <c r="D1965" s="5" t="s">
        <v>285</v>
      </c>
      <c r="E1965" s="5" t="s">
        <v>25</v>
      </c>
      <c r="F1965" s="5">
        <v>4</v>
      </c>
      <c r="G1965" s="19">
        <v>0.05</v>
      </c>
      <c r="H1965" s="5" t="s">
        <v>776</v>
      </c>
      <c r="I1965" s="10">
        <f>IF(OR(D1965="", F1965=""), "", F1965 * VLOOKUP(D1965, Products!A:E, 5, FALSE) * (1 - G1965))</f>
        <v>1475.3879999999999</v>
      </c>
      <c r="J1965" s="10"/>
    </row>
    <row r="1966" spans="1:10" ht="15.75" customHeight="1" x14ac:dyDescent="0.3">
      <c r="A1966" s="5" t="s">
        <v>2833</v>
      </c>
      <c r="B1966" s="11">
        <v>45453</v>
      </c>
      <c r="C1966" s="5" t="s">
        <v>296</v>
      </c>
      <c r="D1966" s="5" t="s">
        <v>134</v>
      </c>
      <c r="E1966" s="5" t="s">
        <v>21</v>
      </c>
      <c r="F1966" s="5">
        <v>4</v>
      </c>
      <c r="G1966" s="19">
        <v>0.05</v>
      </c>
      <c r="H1966" s="5" t="s">
        <v>637</v>
      </c>
      <c r="I1966" s="10">
        <f>IF(OR(D1966="", F1966=""), "", F1966 * VLOOKUP(D1966, Products!A:E, 5, FALSE) * (1 - G1966))</f>
        <v>4663.5119999999997</v>
      </c>
      <c r="J1966" s="10"/>
    </row>
    <row r="1967" spans="1:10" ht="15.75" customHeight="1" x14ac:dyDescent="0.3">
      <c r="A1967" s="5" t="s">
        <v>2834</v>
      </c>
      <c r="B1967" s="11">
        <v>45342</v>
      </c>
      <c r="C1967" s="5" t="s">
        <v>766</v>
      </c>
      <c r="D1967" s="5" t="s">
        <v>47</v>
      </c>
      <c r="E1967" s="5" t="s">
        <v>33</v>
      </c>
      <c r="F1967" s="5">
        <v>1</v>
      </c>
      <c r="G1967" s="19">
        <v>0.05</v>
      </c>
      <c r="H1967" s="5" t="s">
        <v>776</v>
      </c>
      <c r="I1967" s="10">
        <f>IF(OR(D1967="", F1967=""), "", F1967 * VLOOKUP(D1967, Products!A:E, 5, FALSE) * (1 - G1967))</f>
        <v>777.822</v>
      </c>
      <c r="J1967" s="10"/>
    </row>
    <row r="1968" spans="1:10" ht="15.75" customHeight="1" x14ac:dyDescent="0.3">
      <c r="A1968" s="5" t="s">
        <v>2835</v>
      </c>
      <c r="B1968" s="11">
        <v>45208</v>
      </c>
      <c r="C1968" s="5" t="s">
        <v>729</v>
      </c>
      <c r="D1968" s="5" t="s">
        <v>193</v>
      </c>
      <c r="E1968" s="5" t="s">
        <v>21</v>
      </c>
      <c r="F1968" s="5">
        <v>4</v>
      </c>
      <c r="G1968" s="19">
        <v>0.15</v>
      </c>
      <c r="H1968" s="5" t="s">
        <v>776</v>
      </c>
      <c r="I1968" s="10">
        <f>IF(OR(D1968="", F1968=""), "", F1968 * VLOOKUP(D1968, Products!A:E, 5, FALSE) * (1 - G1968))</f>
        <v>99.415999999999997</v>
      </c>
      <c r="J1968" s="10"/>
    </row>
    <row r="1969" spans="1:10" ht="15.75" customHeight="1" x14ac:dyDescent="0.3">
      <c r="A1969" s="5" t="s">
        <v>2836</v>
      </c>
      <c r="B1969" s="11">
        <v>45370</v>
      </c>
      <c r="C1969" s="5" t="s">
        <v>245</v>
      </c>
      <c r="D1969" s="5" t="s">
        <v>193</v>
      </c>
      <c r="E1969" s="5" t="s">
        <v>21</v>
      </c>
      <c r="F1969" s="5">
        <v>1</v>
      </c>
      <c r="G1969" s="19">
        <v>0.05</v>
      </c>
      <c r="H1969" s="5" t="s">
        <v>697</v>
      </c>
      <c r="I1969" s="10">
        <f>IF(OR(D1969="", F1969=""), "", F1969 * VLOOKUP(D1969, Products!A:E, 5, FALSE) * (1 - G1969))</f>
        <v>27.777999999999999</v>
      </c>
      <c r="J1969" s="10"/>
    </row>
    <row r="1970" spans="1:10" ht="15.75" customHeight="1" x14ac:dyDescent="0.3">
      <c r="A1970" s="5" t="s">
        <v>2837</v>
      </c>
      <c r="B1970" s="11">
        <v>45709</v>
      </c>
      <c r="C1970" s="5" t="s">
        <v>872</v>
      </c>
      <c r="D1970" s="5" t="s">
        <v>70</v>
      </c>
      <c r="E1970" s="5" t="s">
        <v>21</v>
      </c>
      <c r="F1970" s="5">
        <v>3</v>
      </c>
      <c r="G1970" s="19">
        <v>0.05</v>
      </c>
      <c r="H1970" s="5" t="s">
        <v>776</v>
      </c>
      <c r="I1970" s="10">
        <f>IF(OR(D1970="", F1970=""), "", F1970 * VLOOKUP(D1970, Products!A:E, 5, FALSE) * (1 - G1970))</f>
        <v>351.0915</v>
      </c>
      <c r="J1970" s="10"/>
    </row>
    <row r="1971" spans="1:10" ht="15.75" customHeight="1" x14ac:dyDescent="0.3">
      <c r="A1971" s="5" t="s">
        <v>2838</v>
      </c>
      <c r="B1971" s="11">
        <v>45262</v>
      </c>
      <c r="C1971" s="5" t="s">
        <v>81</v>
      </c>
      <c r="D1971" s="5" t="s">
        <v>256</v>
      </c>
      <c r="E1971" s="5" t="s">
        <v>21</v>
      </c>
      <c r="F1971" s="5">
        <v>5</v>
      </c>
      <c r="G1971" s="19">
        <v>0.1</v>
      </c>
      <c r="H1971" s="5" t="s">
        <v>776</v>
      </c>
      <c r="I1971" s="10">
        <f>IF(OR(D1971="", F1971=""), "", F1971 * VLOOKUP(D1971, Products!A:E, 5, FALSE) * (1 - G1971))</f>
        <v>7357.5450000000001</v>
      </c>
      <c r="J1971" s="10"/>
    </row>
    <row r="1972" spans="1:10" ht="15.75" customHeight="1" x14ac:dyDescent="0.3">
      <c r="A1972" s="5" t="s">
        <v>2839</v>
      </c>
      <c r="B1972" s="11">
        <v>45525</v>
      </c>
      <c r="C1972" s="5" t="s">
        <v>357</v>
      </c>
      <c r="D1972" s="5" t="s">
        <v>77</v>
      </c>
      <c r="E1972" s="5" t="s">
        <v>25</v>
      </c>
      <c r="F1972" s="5">
        <v>4</v>
      </c>
      <c r="G1972" s="19">
        <v>0.15</v>
      </c>
      <c r="H1972" s="5" t="s">
        <v>697</v>
      </c>
      <c r="I1972" s="10">
        <f>IF(OR(D1972="", F1972=""), "", F1972 * VLOOKUP(D1972, Products!A:E, 5, FALSE) * (1 - G1972))</f>
        <v>845.13799999999992</v>
      </c>
      <c r="J1972" s="10"/>
    </row>
    <row r="1973" spans="1:10" ht="15.75" customHeight="1" x14ac:dyDescent="0.3">
      <c r="A1973" s="5" t="s">
        <v>2840</v>
      </c>
      <c r="B1973" s="11">
        <v>45792</v>
      </c>
      <c r="C1973" s="5" t="s">
        <v>462</v>
      </c>
      <c r="D1973" s="5" t="s">
        <v>272</v>
      </c>
      <c r="E1973" s="5" t="s">
        <v>29</v>
      </c>
      <c r="F1973" s="5">
        <v>4</v>
      </c>
      <c r="G1973" s="19">
        <v>0.05</v>
      </c>
      <c r="H1973" s="5" t="s">
        <v>697</v>
      </c>
      <c r="I1973" s="10">
        <f>IF(OR(D1973="", F1973=""), "", F1973 * VLOOKUP(D1973, Products!A:E, 5, FALSE) * (1 - G1973))</f>
        <v>4428.405999999999</v>
      </c>
      <c r="J1973" s="10"/>
    </row>
    <row r="1974" spans="1:10" ht="15.75" customHeight="1" x14ac:dyDescent="0.3">
      <c r="A1974" s="5" t="s">
        <v>2841</v>
      </c>
      <c r="B1974" s="11">
        <v>45495</v>
      </c>
      <c r="C1974" s="5" t="s">
        <v>165</v>
      </c>
      <c r="D1974" s="5" t="s">
        <v>43</v>
      </c>
      <c r="E1974" s="5" t="s">
        <v>37</v>
      </c>
      <c r="F1974" s="5">
        <v>3</v>
      </c>
      <c r="G1974" s="19">
        <v>0</v>
      </c>
      <c r="H1974" s="5" t="s">
        <v>776</v>
      </c>
      <c r="I1974" s="10">
        <f>IF(OR(D1974="", F1974=""), "", F1974 * VLOOKUP(D1974, Products!A:E, 5, FALSE) * (1 - G1974))</f>
        <v>5021.07</v>
      </c>
      <c r="J1974" s="10"/>
    </row>
    <row r="1975" spans="1:10" ht="15.75" customHeight="1" x14ac:dyDescent="0.3">
      <c r="A1975" s="5" t="s">
        <v>2842</v>
      </c>
      <c r="B1975" s="11">
        <v>45430</v>
      </c>
      <c r="C1975" s="5" t="s">
        <v>149</v>
      </c>
      <c r="D1975" s="5" t="s">
        <v>153</v>
      </c>
      <c r="E1975" s="5" t="s">
        <v>21</v>
      </c>
      <c r="F1975" s="5">
        <v>5</v>
      </c>
      <c r="G1975" s="19">
        <v>0.1</v>
      </c>
      <c r="H1975" s="5" t="s">
        <v>776</v>
      </c>
      <c r="I1975" s="10">
        <f>IF(OR(D1975="", F1975=""), "", F1975 * VLOOKUP(D1975, Products!A:E, 5, FALSE) * (1 - G1975))</f>
        <v>6693.3450000000003</v>
      </c>
      <c r="J1975" s="10"/>
    </row>
    <row r="1976" spans="1:10" ht="15.75" customHeight="1" x14ac:dyDescent="0.3">
      <c r="A1976" s="5" t="s">
        <v>2843</v>
      </c>
      <c r="B1976" s="11">
        <v>45246</v>
      </c>
      <c r="C1976" s="5" t="s">
        <v>649</v>
      </c>
      <c r="D1976" s="5" t="s">
        <v>206</v>
      </c>
      <c r="E1976" s="5" t="s">
        <v>33</v>
      </c>
      <c r="F1976" s="5">
        <v>2</v>
      </c>
      <c r="G1976" s="19">
        <v>0</v>
      </c>
      <c r="H1976" s="5" t="s">
        <v>697</v>
      </c>
      <c r="I1976" s="10">
        <f>IF(OR(D1976="", F1976=""), "", F1976 * VLOOKUP(D1976, Products!A:E, 5, FALSE) * (1 - G1976))</f>
        <v>609.41999999999996</v>
      </c>
      <c r="J1976" s="10"/>
    </row>
    <row r="1977" spans="1:10" ht="15.75" customHeight="1" x14ac:dyDescent="0.3">
      <c r="A1977" s="5" t="s">
        <v>2844</v>
      </c>
      <c r="B1977" s="11">
        <v>45567</v>
      </c>
      <c r="C1977" s="5" t="s">
        <v>113</v>
      </c>
      <c r="D1977" s="5" t="s">
        <v>89</v>
      </c>
      <c r="E1977" s="5" t="s">
        <v>25</v>
      </c>
      <c r="F1977" s="5">
        <v>4</v>
      </c>
      <c r="G1977" s="19">
        <v>0.15</v>
      </c>
      <c r="H1977" s="5" t="s">
        <v>697</v>
      </c>
      <c r="I1977" s="10">
        <f>IF(OR(D1977="", F1977=""), "", F1977 * VLOOKUP(D1977, Products!A:E, 5, FALSE) * (1 - G1977))</f>
        <v>3858.3199999999997</v>
      </c>
      <c r="J1977" s="10"/>
    </row>
    <row r="1978" spans="1:10" ht="15.75" customHeight="1" x14ac:dyDescent="0.3">
      <c r="A1978" s="5" t="s">
        <v>2845</v>
      </c>
      <c r="B1978" s="11">
        <v>45589</v>
      </c>
      <c r="C1978" s="5" t="s">
        <v>507</v>
      </c>
      <c r="D1978" s="5" t="s">
        <v>134</v>
      </c>
      <c r="E1978" s="5" t="s">
        <v>29</v>
      </c>
      <c r="F1978" s="5">
        <v>2</v>
      </c>
      <c r="G1978" s="19">
        <v>0.15</v>
      </c>
      <c r="H1978" s="5" t="s">
        <v>776</v>
      </c>
      <c r="I1978" s="10">
        <f>IF(OR(D1978="", F1978=""), "", F1978 * VLOOKUP(D1978, Products!A:E, 5, FALSE) * (1 - G1978))</f>
        <v>2086.308</v>
      </c>
      <c r="J1978" s="10"/>
    </row>
    <row r="1979" spans="1:10" ht="15.75" customHeight="1" x14ac:dyDescent="0.3">
      <c r="A1979" s="5" t="s">
        <v>2846</v>
      </c>
      <c r="B1979" s="11">
        <v>45190</v>
      </c>
      <c r="C1979" s="5" t="s">
        <v>631</v>
      </c>
      <c r="D1979" s="5" t="s">
        <v>82</v>
      </c>
      <c r="E1979" s="5" t="s">
        <v>25</v>
      </c>
      <c r="F1979" s="5">
        <v>1</v>
      </c>
      <c r="G1979" s="19">
        <v>0.05</v>
      </c>
      <c r="H1979" s="5" t="s">
        <v>776</v>
      </c>
      <c r="I1979" s="10">
        <f>IF(OR(D1979="", F1979=""), "", F1979 * VLOOKUP(D1979, Products!A:E, 5, FALSE) * (1 - G1979))</f>
        <v>1133.4354999999998</v>
      </c>
      <c r="J1979" s="10"/>
    </row>
    <row r="1980" spans="1:10" ht="15.75" customHeight="1" x14ac:dyDescent="0.3">
      <c r="A1980" s="5" t="s">
        <v>2847</v>
      </c>
      <c r="B1980" s="11">
        <v>45604</v>
      </c>
      <c r="C1980" s="5" t="s">
        <v>440</v>
      </c>
      <c r="D1980" s="5" t="s">
        <v>153</v>
      </c>
      <c r="E1980" s="5" t="s">
        <v>29</v>
      </c>
      <c r="F1980" s="5">
        <v>1</v>
      </c>
      <c r="G1980" s="19">
        <v>0.1</v>
      </c>
      <c r="H1980" s="5" t="s">
        <v>776</v>
      </c>
      <c r="I1980" s="10">
        <f>IF(OR(D1980="", F1980=""), "", F1980 * VLOOKUP(D1980, Products!A:E, 5, FALSE) * (1 - G1980))</f>
        <v>1338.6690000000001</v>
      </c>
      <c r="J1980" s="10"/>
    </row>
    <row r="1981" spans="1:10" ht="15.75" customHeight="1" x14ac:dyDescent="0.3">
      <c r="A1981" s="5" t="s">
        <v>2848</v>
      </c>
      <c r="B1981" s="11">
        <v>45685</v>
      </c>
      <c r="C1981" s="5" t="s">
        <v>515</v>
      </c>
      <c r="D1981" s="5" t="s">
        <v>119</v>
      </c>
      <c r="E1981" s="5" t="s">
        <v>21</v>
      </c>
      <c r="F1981" s="5">
        <v>1</v>
      </c>
      <c r="G1981" s="19">
        <v>0.05</v>
      </c>
      <c r="H1981" s="5" t="s">
        <v>697</v>
      </c>
      <c r="I1981" s="10">
        <f>IF(OR(D1981="", F1981=""), "", F1981 * VLOOKUP(D1981, Products!A:E, 5, FALSE) * (1 - G1981))</f>
        <v>1025.8955000000001</v>
      </c>
      <c r="J1981" s="10"/>
    </row>
    <row r="1982" spans="1:10" ht="15.75" customHeight="1" x14ac:dyDescent="0.3">
      <c r="A1982" s="5" t="s">
        <v>2849</v>
      </c>
      <c r="B1982" s="11">
        <v>45783</v>
      </c>
      <c r="C1982" s="5" t="s">
        <v>575</v>
      </c>
      <c r="D1982" s="5" t="s">
        <v>122</v>
      </c>
      <c r="E1982" s="5" t="s">
        <v>37</v>
      </c>
      <c r="F1982" s="5">
        <v>3</v>
      </c>
      <c r="G1982" s="19">
        <v>0.05</v>
      </c>
      <c r="H1982" s="5" t="s">
        <v>637</v>
      </c>
      <c r="I1982" s="10">
        <f>IF(OR(D1982="", F1982=""), "", F1982 * VLOOKUP(D1982, Products!A:E, 5, FALSE) * (1 - G1982))</f>
        <v>5024.3220000000001</v>
      </c>
      <c r="J1982" s="10"/>
    </row>
    <row r="1983" spans="1:10" ht="15.75" customHeight="1" x14ac:dyDescent="0.3">
      <c r="A1983" s="5" t="s">
        <v>2850</v>
      </c>
      <c r="B1983" s="11">
        <v>45217</v>
      </c>
      <c r="C1983" s="5" t="s">
        <v>304</v>
      </c>
      <c r="D1983" s="5" t="s">
        <v>180</v>
      </c>
      <c r="E1983" s="5" t="s">
        <v>29</v>
      </c>
      <c r="F1983" s="5">
        <v>5</v>
      </c>
      <c r="G1983" s="19">
        <v>0.1</v>
      </c>
      <c r="H1983" s="5" t="s">
        <v>454</v>
      </c>
      <c r="I1983" s="10">
        <f>IF(OR(D1983="", F1983=""), "", F1983 * VLOOKUP(D1983, Products!A:E, 5, FALSE) * (1 - G1983))</f>
        <v>3032.0099999999998</v>
      </c>
      <c r="J1983" s="10"/>
    </row>
    <row r="1984" spans="1:10" ht="15.75" customHeight="1" x14ac:dyDescent="0.3">
      <c r="A1984" s="5" t="s">
        <v>2851</v>
      </c>
      <c r="B1984" s="11">
        <v>45673</v>
      </c>
      <c r="C1984" s="5" t="s">
        <v>235</v>
      </c>
      <c r="D1984" s="5" t="s">
        <v>122</v>
      </c>
      <c r="E1984" s="5" t="s">
        <v>29</v>
      </c>
      <c r="F1984" s="5">
        <v>4</v>
      </c>
      <c r="G1984" s="19">
        <v>0.1</v>
      </c>
      <c r="H1984" s="5" t="s">
        <v>454</v>
      </c>
      <c r="I1984" s="10">
        <f>IF(OR(D1984="", F1984=""), "", F1984 * VLOOKUP(D1984, Products!A:E, 5, FALSE) * (1 - G1984))</f>
        <v>6346.5120000000006</v>
      </c>
      <c r="J1984" s="10"/>
    </row>
    <row r="1985" spans="1:10" ht="15.75" customHeight="1" x14ac:dyDescent="0.3">
      <c r="A1985" s="5" t="s">
        <v>2852</v>
      </c>
      <c r="B1985" s="11">
        <v>45719</v>
      </c>
      <c r="C1985" s="5" t="s">
        <v>823</v>
      </c>
      <c r="D1985" s="5" t="s">
        <v>153</v>
      </c>
      <c r="E1985" s="5" t="s">
        <v>21</v>
      </c>
      <c r="F1985" s="5">
        <v>1</v>
      </c>
      <c r="G1985" s="19">
        <v>0.05</v>
      </c>
      <c r="H1985" s="5" t="s">
        <v>697</v>
      </c>
      <c r="I1985" s="10">
        <f>IF(OR(D1985="", F1985=""), "", F1985 * VLOOKUP(D1985, Products!A:E, 5, FALSE) * (1 - G1985))</f>
        <v>1413.0395000000001</v>
      </c>
      <c r="J1985" s="10"/>
    </row>
    <row r="1986" spans="1:10" ht="15.75" customHeight="1" x14ac:dyDescent="0.3">
      <c r="A1986" s="5" t="s">
        <v>2853</v>
      </c>
      <c r="B1986" s="11">
        <v>45661</v>
      </c>
      <c r="C1986" s="5" t="s">
        <v>474</v>
      </c>
      <c r="D1986" s="5" t="s">
        <v>153</v>
      </c>
      <c r="E1986" s="5" t="s">
        <v>25</v>
      </c>
      <c r="F1986" s="5">
        <v>4</v>
      </c>
      <c r="G1986" s="19">
        <v>0.15</v>
      </c>
      <c r="H1986" s="5" t="s">
        <v>637</v>
      </c>
      <c r="I1986" s="10">
        <f>IF(OR(D1986="", F1986=""), "", F1986 * VLOOKUP(D1986, Products!A:E, 5, FALSE) * (1 - G1986))</f>
        <v>5057.1940000000004</v>
      </c>
      <c r="J1986" s="10"/>
    </row>
    <row r="1987" spans="1:10" ht="15.75" customHeight="1" x14ac:dyDescent="0.3">
      <c r="A1987" s="5" t="s">
        <v>2854</v>
      </c>
      <c r="B1987" s="11">
        <v>45690</v>
      </c>
      <c r="C1987" s="5" t="s">
        <v>181</v>
      </c>
      <c r="D1987" s="5" t="s">
        <v>206</v>
      </c>
      <c r="E1987" s="5" t="s">
        <v>21</v>
      </c>
      <c r="F1987" s="5">
        <v>5</v>
      </c>
      <c r="G1987" s="19">
        <v>0.15</v>
      </c>
      <c r="H1987" s="5" t="s">
        <v>454</v>
      </c>
      <c r="I1987" s="10">
        <f>IF(OR(D1987="", F1987=""), "", F1987 * VLOOKUP(D1987, Products!A:E, 5, FALSE) * (1 - G1987))</f>
        <v>1295.0174999999999</v>
      </c>
      <c r="J1987" s="10"/>
    </row>
    <row r="1988" spans="1:10" ht="15.75" customHeight="1" x14ac:dyDescent="0.3">
      <c r="A1988" s="5" t="s">
        <v>2855</v>
      </c>
      <c r="B1988" s="11">
        <v>45665</v>
      </c>
      <c r="C1988" s="5" t="s">
        <v>300</v>
      </c>
      <c r="D1988" s="5" t="s">
        <v>134</v>
      </c>
      <c r="E1988" s="5" t="s">
        <v>21</v>
      </c>
      <c r="F1988" s="5">
        <v>3</v>
      </c>
      <c r="G1988" s="19">
        <v>0.05</v>
      </c>
      <c r="H1988" s="5" t="s">
        <v>697</v>
      </c>
      <c r="I1988" s="10">
        <f>IF(OR(D1988="", F1988=""), "", F1988 * VLOOKUP(D1988, Products!A:E, 5, FALSE) * (1 - G1988))</f>
        <v>3497.634</v>
      </c>
      <c r="J1988" s="10"/>
    </row>
    <row r="1989" spans="1:10" ht="15.75" customHeight="1" x14ac:dyDescent="0.3">
      <c r="A1989" s="5" t="s">
        <v>2856</v>
      </c>
      <c r="B1989" s="11">
        <v>45386</v>
      </c>
      <c r="C1989" s="5" t="s">
        <v>869</v>
      </c>
      <c r="D1989" s="5" t="s">
        <v>285</v>
      </c>
      <c r="E1989" s="5" t="s">
        <v>33</v>
      </c>
      <c r="F1989" s="5">
        <v>3</v>
      </c>
      <c r="G1989" s="19">
        <v>0.1</v>
      </c>
      <c r="H1989" s="5" t="s">
        <v>637</v>
      </c>
      <c r="I1989" s="10">
        <f>IF(OR(D1989="", F1989=""), "", F1989 * VLOOKUP(D1989, Products!A:E, 5, FALSE) * (1 - G1989))</f>
        <v>1048.3019999999999</v>
      </c>
      <c r="J1989" s="10"/>
    </row>
    <row r="1990" spans="1:10" ht="15.75" customHeight="1" x14ac:dyDescent="0.3">
      <c r="A1990" s="5" t="s">
        <v>2857</v>
      </c>
      <c r="B1990" s="11">
        <v>45285</v>
      </c>
      <c r="C1990" s="5" t="s">
        <v>571</v>
      </c>
      <c r="D1990" s="5" t="s">
        <v>262</v>
      </c>
      <c r="E1990" s="5" t="s">
        <v>33</v>
      </c>
      <c r="F1990" s="5">
        <v>4</v>
      </c>
      <c r="G1990" s="19">
        <v>0.1</v>
      </c>
      <c r="H1990" s="5" t="s">
        <v>697</v>
      </c>
      <c r="I1990" s="10">
        <f>IF(OR(D1990="", F1990=""), "", F1990 * VLOOKUP(D1990, Products!A:E, 5, FALSE) * (1 - G1990))</f>
        <v>1633.0320000000002</v>
      </c>
      <c r="J1990" s="10"/>
    </row>
    <row r="1991" spans="1:10" ht="15.75" customHeight="1" x14ac:dyDescent="0.3">
      <c r="A1991" s="5" t="s">
        <v>2858</v>
      </c>
      <c r="B1991" s="11">
        <v>45667</v>
      </c>
      <c r="C1991" s="5" t="s">
        <v>774</v>
      </c>
      <c r="D1991" s="5" t="s">
        <v>226</v>
      </c>
      <c r="E1991" s="5" t="s">
        <v>25</v>
      </c>
      <c r="F1991" s="5">
        <v>4</v>
      </c>
      <c r="G1991" s="19">
        <v>0.15</v>
      </c>
      <c r="H1991" s="5" t="s">
        <v>637</v>
      </c>
      <c r="I1991" s="10">
        <f>IF(OR(D1991="", F1991=""), "", F1991 * VLOOKUP(D1991, Products!A:E, 5, FALSE) * (1 - G1991))</f>
        <v>5104.9639999999999</v>
      </c>
      <c r="J1991" s="10"/>
    </row>
    <row r="1992" spans="1:10" ht="15.75" customHeight="1" x14ac:dyDescent="0.3">
      <c r="A1992" s="5" t="s">
        <v>2859</v>
      </c>
      <c r="B1992" s="11">
        <v>45429</v>
      </c>
      <c r="C1992" s="5" t="s">
        <v>674</v>
      </c>
      <c r="D1992" s="5" t="s">
        <v>74</v>
      </c>
      <c r="E1992" s="5" t="s">
        <v>37</v>
      </c>
      <c r="F1992" s="5">
        <v>4</v>
      </c>
      <c r="G1992" s="19">
        <v>0.05</v>
      </c>
      <c r="H1992" s="5" t="s">
        <v>637</v>
      </c>
      <c r="I1992" s="10">
        <f>IF(OR(D1992="", F1992=""), "", F1992 * VLOOKUP(D1992, Products!A:E, 5, FALSE) * (1 - G1992))</f>
        <v>4537.655999999999</v>
      </c>
      <c r="J1992" s="10"/>
    </row>
    <row r="1993" spans="1:10" ht="15.75" customHeight="1" x14ac:dyDescent="0.3">
      <c r="A1993" s="5" t="s">
        <v>2860</v>
      </c>
      <c r="B1993" s="11">
        <v>45603</v>
      </c>
      <c r="C1993" s="5" t="s">
        <v>203</v>
      </c>
      <c r="D1993" s="5" t="s">
        <v>232</v>
      </c>
      <c r="E1993" s="5" t="s">
        <v>37</v>
      </c>
      <c r="F1993" s="5">
        <v>4</v>
      </c>
      <c r="G1993" s="19">
        <v>0.05</v>
      </c>
      <c r="H1993" s="5" t="s">
        <v>776</v>
      </c>
      <c r="I1993" s="10">
        <f>IF(OR(D1993="", F1993=""), "", F1993 * VLOOKUP(D1993, Products!A:E, 5, FALSE) * (1 - G1993))</f>
        <v>7420.07</v>
      </c>
      <c r="J1993" s="10"/>
    </row>
    <row r="1994" spans="1:10" ht="15.75" customHeight="1" x14ac:dyDescent="0.3">
      <c r="A1994" s="5" t="s">
        <v>2861</v>
      </c>
      <c r="B1994" s="11">
        <v>45184</v>
      </c>
      <c r="C1994" s="5" t="s">
        <v>393</v>
      </c>
      <c r="D1994" s="5" t="s">
        <v>89</v>
      </c>
      <c r="E1994" s="5" t="s">
        <v>29</v>
      </c>
      <c r="F1994" s="5">
        <v>1</v>
      </c>
      <c r="G1994" s="19">
        <v>0.05</v>
      </c>
      <c r="H1994" s="5" t="s">
        <v>776</v>
      </c>
      <c r="I1994" s="10">
        <f>IF(OR(D1994="", F1994=""), "", F1994 * VLOOKUP(D1994, Products!A:E, 5, FALSE) * (1 - G1994))</f>
        <v>1078.06</v>
      </c>
      <c r="J1994" s="10"/>
    </row>
    <row r="1995" spans="1:10" ht="15.75" customHeight="1" x14ac:dyDescent="0.3">
      <c r="A1995" s="5" t="s">
        <v>2862</v>
      </c>
      <c r="B1995" s="11">
        <v>45907</v>
      </c>
      <c r="C1995" s="5" t="s">
        <v>515</v>
      </c>
      <c r="D1995" s="5" t="s">
        <v>188</v>
      </c>
      <c r="E1995" s="5" t="s">
        <v>37</v>
      </c>
      <c r="F1995" s="5">
        <v>4</v>
      </c>
      <c r="G1995" s="19">
        <v>0.05</v>
      </c>
      <c r="H1995" s="5" t="s">
        <v>776</v>
      </c>
      <c r="I1995" s="10">
        <f>IF(OR(D1995="", F1995=""), "", F1995 * VLOOKUP(D1995, Products!A:E, 5, FALSE) * (1 - G1995))</f>
        <v>5643.19</v>
      </c>
      <c r="J1995" s="10"/>
    </row>
    <row r="1996" spans="1:10" ht="15.75" customHeight="1" x14ac:dyDescent="0.3">
      <c r="A1996" s="5" t="s">
        <v>2863</v>
      </c>
      <c r="B1996" s="11">
        <v>45386</v>
      </c>
      <c r="C1996" s="5" t="s">
        <v>171</v>
      </c>
      <c r="D1996" s="5" t="s">
        <v>265</v>
      </c>
      <c r="E1996" s="5" t="s">
        <v>29</v>
      </c>
      <c r="F1996" s="5">
        <v>3</v>
      </c>
      <c r="G1996" s="19">
        <v>0.05</v>
      </c>
      <c r="H1996" s="5" t="s">
        <v>454</v>
      </c>
      <c r="I1996" s="10">
        <f>IF(OR(D1996="", F1996=""), "", F1996 * VLOOKUP(D1996, Products!A:E, 5, FALSE) * (1 - G1996))</f>
        <v>1608.5969999999998</v>
      </c>
      <c r="J1996" s="10"/>
    </row>
    <row r="1997" spans="1:10" ht="15.75" customHeight="1" x14ac:dyDescent="0.3">
      <c r="A1997" s="5" t="s">
        <v>2864</v>
      </c>
      <c r="B1997" s="11">
        <v>45223</v>
      </c>
      <c r="C1997" s="5" t="s">
        <v>604</v>
      </c>
      <c r="D1997" s="5" t="s">
        <v>217</v>
      </c>
      <c r="E1997" s="5" t="s">
        <v>25</v>
      </c>
      <c r="F1997" s="5">
        <v>5</v>
      </c>
      <c r="G1997" s="19">
        <v>0.15</v>
      </c>
      <c r="H1997" s="5" t="s">
        <v>697</v>
      </c>
      <c r="I1997" s="10">
        <f>IF(OR(D1997="", F1997=""), "", F1997 * VLOOKUP(D1997, Products!A:E, 5, FALSE) * (1 - G1997))</f>
        <v>1819.2124999999999</v>
      </c>
      <c r="J1997" s="10"/>
    </row>
    <row r="1998" spans="1:10" ht="15.75" customHeight="1" x14ac:dyDescent="0.3">
      <c r="A1998" s="5" t="s">
        <v>2865</v>
      </c>
      <c r="B1998" s="11">
        <v>45289</v>
      </c>
      <c r="C1998" s="5" t="s">
        <v>365</v>
      </c>
      <c r="D1998" s="5" t="s">
        <v>175</v>
      </c>
      <c r="E1998" s="5" t="s">
        <v>25</v>
      </c>
      <c r="F1998" s="5">
        <v>1</v>
      </c>
      <c r="G1998" s="19">
        <v>0.05</v>
      </c>
      <c r="H1998" s="5" t="s">
        <v>776</v>
      </c>
      <c r="I1998" s="10">
        <f>IF(OR(D1998="", F1998=""), "", F1998 * VLOOKUP(D1998, Products!A:E, 5, FALSE) * (1 - G1998))</f>
        <v>1208.6185</v>
      </c>
      <c r="J1998" s="10"/>
    </row>
    <row r="1999" spans="1:10" ht="15.75" customHeight="1" x14ac:dyDescent="0.3">
      <c r="A1999" s="5" t="s">
        <v>2866</v>
      </c>
      <c r="B1999" s="11">
        <v>45296</v>
      </c>
      <c r="C1999" s="5" t="s">
        <v>808</v>
      </c>
      <c r="D1999" s="5" t="s">
        <v>70</v>
      </c>
      <c r="E1999" s="5" t="s">
        <v>25</v>
      </c>
      <c r="F1999" s="5">
        <v>4</v>
      </c>
      <c r="G1999" s="19">
        <v>0</v>
      </c>
      <c r="H1999" s="5" t="s">
        <v>637</v>
      </c>
      <c r="I1999" s="10">
        <f>IF(OR(D1999="", F1999=""), "", F1999 * VLOOKUP(D1999, Products!A:E, 5, FALSE) * (1 - G1999))</f>
        <v>492.76</v>
      </c>
      <c r="J1999" s="10"/>
    </row>
    <row r="2000" spans="1:10" ht="15.75" customHeight="1" x14ac:dyDescent="0.3">
      <c r="A2000" s="5" t="s">
        <v>2867</v>
      </c>
      <c r="B2000" s="11">
        <v>45406</v>
      </c>
      <c r="C2000" s="5" t="s">
        <v>526</v>
      </c>
      <c r="D2000" s="5" t="s">
        <v>128</v>
      </c>
      <c r="E2000" s="5" t="s">
        <v>21</v>
      </c>
      <c r="F2000" s="5">
        <v>1</v>
      </c>
      <c r="G2000" s="19">
        <v>0</v>
      </c>
      <c r="H2000" s="5" t="s">
        <v>637</v>
      </c>
      <c r="I2000" s="10">
        <f>IF(OR(D2000="", F2000=""), "", F2000 * VLOOKUP(D2000, Products!A:E, 5, FALSE) * (1 - G2000))</f>
        <v>323.92</v>
      </c>
      <c r="J2000" s="10"/>
    </row>
    <row r="2001" spans="1:10" ht="15.75" customHeight="1" x14ac:dyDescent="0.3">
      <c r="A2001" s="5" t="s">
        <v>2868</v>
      </c>
      <c r="B2001" s="11">
        <v>45663</v>
      </c>
      <c r="C2001" s="5" t="s">
        <v>724</v>
      </c>
      <c r="D2001" s="5" t="s">
        <v>74</v>
      </c>
      <c r="E2001" s="5" t="s">
        <v>25</v>
      </c>
      <c r="F2001" s="5">
        <v>1</v>
      </c>
      <c r="G2001" s="19">
        <v>0.05</v>
      </c>
      <c r="H2001" s="5" t="s">
        <v>454</v>
      </c>
      <c r="I2001" s="10">
        <f>IF(OR(D2001="", F2001=""), "", F2001 * VLOOKUP(D2001, Products!A:E, 5, FALSE) * (1 - G2001))</f>
        <v>1134.4139999999998</v>
      </c>
      <c r="J2001" s="10"/>
    </row>
    <row r="2002" spans="1:10" ht="15.75" customHeight="1" x14ac:dyDescent="0.3">
      <c r="A2002" s="5" t="s">
        <v>2869</v>
      </c>
      <c r="B2002" s="11">
        <v>45511</v>
      </c>
      <c r="C2002" s="5" t="s">
        <v>296</v>
      </c>
      <c r="D2002" s="5" t="s">
        <v>43</v>
      </c>
      <c r="E2002" s="5" t="s">
        <v>21</v>
      </c>
      <c r="F2002" s="5">
        <v>2</v>
      </c>
      <c r="G2002" s="19">
        <v>0</v>
      </c>
      <c r="H2002" s="5" t="s">
        <v>776</v>
      </c>
      <c r="I2002" s="10">
        <f>IF(OR(D2002="", F2002=""), "", F2002 * VLOOKUP(D2002, Products!A:E, 5, FALSE) * (1 - G2002))</f>
        <v>3347.38</v>
      </c>
      <c r="J2002" s="10"/>
    </row>
    <row r="2003" spans="1:10" ht="15.75" customHeight="1" x14ac:dyDescent="0.3">
      <c r="A2003" s="5" t="s">
        <v>2870</v>
      </c>
      <c r="B2003" s="11">
        <v>45655</v>
      </c>
      <c r="C2003" s="5" t="s">
        <v>703</v>
      </c>
      <c r="D2003" s="5" t="s">
        <v>237</v>
      </c>
      <c r="E2003" s="5" t="s">
        <v>33</v>
      </c>
      <c r="F2003" s="5">
        <v>2</v>
      </c>
      <c r="G2003" s="19">
        <v>0.05</v>
      </c>
      <c r="H2003" s="5" t="s">
        <v>637</v>
      </c>
      <c r="I2003" s="10">
        <f>IF(OR(D2003="", F2003=""), "", F2003 * VLOOKUP(D2003, Products!A:E, 5, FALSE) * (1 - G2003))</f>
        <v>697.16700000000003</v>
      </c>
      <c r="J2003" s="10"/>
    </row>
    <row r="2004" spans="1:10" ht="15.75" customHeight="1" x14ac:dyDescent="0.3">
      <c r="A2004" s="5" t="s">
        <v>2871</v>
      </c>
      <c r="B2004" s="11">
        <v>45186</v>
      </c>
      <c r="C2004" s="5" t="s">
        <v>850</v>
      </c>
      <c r="D2004" s="5" t="s">
        <v>280</v>
      </c>
      <c r="E2004" s="5" t="s">
        <v>25</v>
      </c>
      <c r="F2004" s="5">
        <v>5</v>
      </c>
      <c r="G2004" s="19">
        <v>0.1</v>
      </c>
      <c r="H2004" s="5" t="s">
        <v>637</v>
      </c>
      <c r="I2004" s="10">
        <f>IF(OR(D2004="", F2004=""), "", F2004 * VLOOKUP(D2004, Products!A:E, 5, FALSE) * (1 - G2004))</f>
        <v>5473.62</v>
      </c>
      <c r="J2004" s="10"/>
    </row>
    <row r="2005" spans="1:10" ht="15.75" customHeight="1" x14ac:dyDescent="0.3">
      <c r="A2005" s="5" t="s">
        <v>2872</v>
      </c>
      <c r="B2005" s="11">
        <v>45833</v>
      </c>
      <c r="C2005" s="5" t="s">
        <v>560</v>
      </c>
      <c r="D2005" s="5" t="s">
        <v>243</v>
      </c>
      <c r="E2005" s="5" t="s">
        <v>29</v>
      </c>
      <c r="F2005" s="5">
        <v>4</v>
      </c>
      <c r="G2005" s="19">
        <v>0</v>
      </c>
      <c r="H2005" s="5" t="s">
        <v>454</v>
      </c>
      <c r="I2005" s="10">
        <f>IF(OR(D2005="", F2005=""), "", F2005 * VLOOKUP(D2005, Products!A:E, 5, FALSE) * (1 - G2005))</f>
        <v>2163.7600000000002</v>
      </c>
      <c r="J2005" s="10"/>
    </row>
    <row r="2006" spans="1:10" ht="15.75" customHeight="1" x14ac:dyDescent="0.3">
      <c r="A2006" s="5" t="s">
        <v>2873</v>
      </c>
      <c r="B2006" s="11">
        <v>45875</v>
      </c>
      <c r="C2006" s="5" t="s">
        <v>245</v>
      </c>
      <c r="D2006" s="5" t="s">
        <v>276</v>
      </c>
      <c r="E2006" s="5" t="s">
        <v>25</v>
      </c>
      <c r="F2006" s="5">
        <v>1</v>
      </c>
      <c r="G2006" s="19">
        <v>0</v>
      </c>
      <c r="H2006" s="5" t="s">
        <v>697</v>
      </c>
      <c r="I2006" s="10">
        <f>IF(OR(D2006="", F2006=""), "", F2006 * VLOOKUP(D2006, Products!A:E, 5, FALSE) * (1 - G2006))</f>
        <v>1197.18</v>
      </c>
      <c r="J2006" s="10"/>
    </row>
    <row r="2007" spans="1:10" ht="15.75" customHeight="1" x14ac:dyDescent="0.3">
      <c r="A2007" s="5" t="s">
        <v>2874</v>
      </c>
      <c r="B2007" s="11">
        <v>45364</v>
      </c>
      <c r="C2007" s="5" t="s">
        <v>641</v>
      </c>
      <c r="D2007" s="5" t="s">
        <v>249</v>
      </c>
      <c r="E2007" s="5" t="s">
        <v>25</v>
      </c>
      <c r="F2007" s="5">
        <v>1</v>
      </c>
      <c r="G2007" s="19">
        <v>0.15</v>
      </c>
      <c r="H2007" s="5" t="s">
        <v>637</v>
      </c>
      <c r="I2007" s="10">
        <f>IF(OR(D2007="", F2007=""), "", F2007 * VLOOKUP(D2007, Products!A:E, 5, FALSE) * (1 - G2007))</f>
        <v>1483.7684999999999</v>
      </c>
      <c r="J2007" s="10"/>
    </row>
    <row r="2008" spans="1:10" ht="15.75" customHeight="1" x14ac:dyDescent="0.3">
      <c r="A2008" s="5" t="s">
        <v>2875</v>
      </c>
      <c r="B2008" s="11">
        <v>45578</v>
      </c>
      <c r="C2008" s="5" t="s">
        <v>795</v>
      </c>
      <c r="D2008" s="5" t="s">
        <v>77</v>
      </c>
      <c r="E2008" s="5" t="s">
        <v>33</v>
      </c>
      <c r="F2008" s="5">
        <v>5</v>
      </c>
      <c r="G2008" s="19">
        <v>0.1</v>
      </c>
      <c r="H2008" s="5" t="s">
        <v>454</v>
      </c>
      <c r="I2008" s="10">
        <f>IF(OR(D2008="", F2008=""), "", F2008 * VLOOKUP(D2008, Products!A:E, 5, FALSE) * (1 - G2008))</f>
        <v>1118.5650000000001</v>
      </c>
      <c r="J2008" s="10"/>
    </row>
    <row r="2009" spans="1:10" ht="15.75" customHeight="1" x14ac:dyDescent="0.3">
      <c r="A2009" s="5" t="s">
        <v>2876</v>
      </c>
      <c r="B2009" s="11">
        <v>45377</v>
      </c>
      <c r="C2009" s="5" t="s">
        <v>819</v>
      </c>
      <c r="D2009" s="5" t="s">
        <v>153</v>
      </c>
      <c r="E2009" s="5" t="s">
        <v>25</v>
      </c>
      <c r="F2009" s="5">
        <v>4</v>
      </c>
      <c r="G2009" s="19">
        <v>0.05</v>
      </c>
      <c r="H2009" s="5" t="s">
        <v>454</v>
      </c>
      <c r="I2009" s="10">
        <f>IF(OR(D2009="", F2009=""), "", F2009 * VLOOKUP(D2009, Products!A:E, 5, FALSE) * (1 - G2009))</f>
        <v>5652.1580000000004</v>
      </c>
      <c r="J2009" s="10"/>
    </row>
    <row r="2010" spans="1:10" ht="15.75" customHeight="1" x14ac:dyDescent="0.3">
      <c r="A2010" s="5" t="s">
        <v>2877</v>
      </c>
      <c r="B2010" s="11">
        <v>45379</v>
      </c>
      <c r="C2010" s="5" t="s">
        <v>215</v>
      </c>
      <c r="D2010" s="5" t="s">
        <v>67</v>
      </c>
      <c r="E2010" s="5" t="s">
        <v>37</v>
      </c>
      <c r="F2010" s="5">
        <v>4</v>
      </c>
      <c r="G2010" s="19">
        <v>0.05</v>
      </c>
      <c r="H2010" s="5" t="s">
        <v>697</v>
      </c>
      <c r="I2010" s="10">
        <f>IF(OR(D2010="", F2010=""), "", F2010 * VLOOKUP(D2010, Products!A:E, 5, FALSE) * (1 - G2010))</f>
        <v>417.16399999999999</v>
      </c>
      <c r="J2010" s="10"/>
    </row>
    <row r="2011" spans="1:10" ht="15.75" customHeight="1" x14ac:dyDescent="0.3">
      <c r="A2011" s="5" t="s">
        <v>2878</v>
      </c>
      <c r="B2011" s="11">
        <v>45751</v>
      </c>
      <c r="C2011" s="5" t="s">
        <v>550</v>
      </c>
      <c r="D2011" s="5" t="s">
        <v>162</v>
      </c>
      <c r="E2011" s="5" t="s">
        <v>37</v>
      </c>
      <c r="F2011" s="5">
        <v>1</v>
      </c>
      <c r="G2011" s="19">
        <v>0.05</v>
      </c>
      <c r="H2011" s="5" t="s">
        <v>637</v>
      </c>
      <c r="I2011" s="10">
        <f>IF(OR(D2011="", F2011=""), "", F2011 * VLOOKUP(D2011, Products!A:E, 5, FALSE) * (1 - G2011))</f>
        <v>407.69249999999994</v>
      </c>
      <c r="J2011" s="10"/>
    </row>
    <row r="2012" spans="1:10" ht="15.75" customHeight="1" x14ac:dyDescent="0.3">
      <c r="A2012" s="5" t="s">
        <v>2879</v>
      </c>
      <c r="B2012" s="11">
        <v>45568</v>
      </c>
      <c r="C2012" s="5" t="s">
        <v>342</v>
      </c>
      <c r="D2012" s="5" t="s">
        <v>50</v>
      </c>
      <c r="E2012" s="5" t="s">
        <v>37</v>
      </c>
      <c r="F2012" s="5">
        <v>5</v>
      </c>
      <c r="G2012" s="19">
        <v>0</v>
      </c>
      <c r="H2012" s="5" t="s">
        <v>637</v>
      </c>
      <c r="I2012" s="10">
        <f>IF(OR(D2012="", F2012=""), "", F2012 * VLOOKUP(D2012, Products!A:E, 5, FALSE) * (1 - G2012))</f>
        <v>1688.15</v>
      </c>
      <c r="J2012" s="10"/>
    </row>
    <row r="2013" spans="1:10" ht="15.75" customHeight="1" x14ac:dyDescent="0.3">
      <c r="A2013" s="5" t="s">
        <v>2880</v>
      </c>
      <c r="B2013" s="11">
        <v>45275</v>
      </c>
      <c r="C2013" s="5" t="s">
        <v>620</v>
      </c>
      <c r="D2013" s="5" t="s">
        <v>276</v>
      </c>
      <c r="E2013" s="5" t="s">
        <v>29</v>
      </c>
      <c r="F2013" s="5">
        <v>4</v>
      </c>
      <c r="G2013" s="19">
        <v>0.15</v>
      </c>
      <c r="H2013" s="5" t="s">
        <v>697</v>
      </c>
      <c r="I2013" s="10">
        <f>IF(OR(D2013="", F2013=""), "", F2013 * VLOOKUP(D2013, Products!A:E, 5, FALSE) * (1 - G2013))</f>
        <v>4070.4120000000003</v>
      </c>
      <c r="J2013" s="10"/>
    </row>
    <row r="2014" spans="1:10" ht="15.75" customHeight="1" x14ac:dyDescent="0.3">
      <c r="A2014" s="5" t="s">
        <v>2881</v>
      </c>
      <c r="B2014" s="11">
        <v>45389</v>
      </c>
      <c r="C2014" s="5" t="s">
        <v>159</v>
      </c>
      <c r="D2014" s="5" t="s">
        <v>109</v>
      </c>
      <c r="E2014" s="5" t="s">
        <v>29</v>
      </c>
      <c r="F2014" s="5">
        <v>4</v>
      </c>
      <c r="G2014" s="19">
        <v>0.05</v>
      </c>
      <c r="H2014" s="5" t="s">
        <v>454</v>
      </c>
      <c r="I2014" s="10">
        <f>IF(OR(D2014="", F2014=""), "", F2014 * VLOOKUP(D2014, Products!A:E, 5, FALSE) * (1 - G2014))</f>
        <v>7063.25</v>
      </c>
      <c r="J2014" s="10"/>
    </row>
    <row r="2015" spans="1:10" ht="15.75" customHeight="1" x14ac:dyDescent="0.3">
      <c r="A2015" s="5" t="s">
        <v>2882</v>
      </c>
      <c r="B2015" s="11">
        <v>45279</v>
      </c>
      <c r="C2015" s="5" t="s">
        <v>240</v>
      </c>
      <c r="D2015" s="5" t="s">
        <v>291</v>
      </c>
      <c r="E2015" s="5" t="s">
        <v>21</v>
      </c>
      <c r="F2015" s="5">
        <v>1</v>
      </c>
      <c r="G2015" s="19">
        <v>0.1</v>
      </c>
      <c r="H2015" s="5" t="s">
        <v>454</v>
      </c>
      <c r="I2015" s="10">
        <f>IF(OR(D2015="", F2015=""), "", F2015 * VLOOKUP(D2015, Products!A:E, 5, FALSE) * (1 - G2015))</f>
        <v>940.17600000000016</v>
      </c>
      <c r="J2015" s="10"/>
    </row>
    <row r="2016" spans="1:10" ht="15.75" customHeight="1" x14ac:dyDescent="0.3">
      <c r="A2016" s="5" t="s">
        <v>2883</v>
      </c>
      <c r="B2016" s="11">
        <v>45699</v>
      </c>
      <c r="C2016" s="5" t="s">
        <v>121</v>
      </c>
      <c r="D2016" s="5" t="s">
        <v>162</v>
      </c>
      <c r="E2016" s="5" t="s">
        <v>25</v>
      </c>
      <c r="F2016" s="5">
        <v>3</v>
      </c>
      <c r="G2016" s="19">
        <v>0.05</v>
      </c>
      <c r="H2016" s="5" t="s">
        <v>776</v>
      </c>
      <c r="I2016" s="10">
        <f>IF(OR(D2016="", F2016=""), "", F2016 * VLOOKUP(D2016, Products!A:E, 5, FALSE) * (1 - G2016))</f>
        <v>1223.0774999999999</v>
      </c>
      <c r="J2016" s="10"/>
    </row>
    <row r="2017" spans="1:10" ht="15.75" customHeight="1" x14ac:dyDescent="0.3">
      <c r="A2017" s="5" t="s">
        <v>2884</v>
      </c>
      <c r="B2017" s="11">
        <v>45342</v>
      </c>
      <c r="C2017" s="5" t="s">
        <v>177</v>
      </c>
      <c r="D2017" s="5" t="s">
        <v>226</v>
      </c>
      <c r="E2017" s="5" t="s">
        <v>25</v>
      </c>
      <c r="F2017" s="5">
        <v>5</v>
      </c>
      <c r="G2017" s="19">
        <v>0</v>
      </c>
      <c r="H2017" s="5" t="s">
        <v>454</v>
      </c>
      <c r="I2017" s="10">
        <f>IF(OR(D2017="", F2017=""), "", F2017 * VLOOKUP(D2017, Products!A:E, 5, FALSE) * (1 - G2017))</f>
        <v>7507.3</v>
      </c>
      <c r="J2017" s="10"/>
    </row>
    <row r="2018" spans="1:10" ht="15.75" customHeight="1" x14ac:dyDescent="0.3">
      <c r="A2018" s="5" t="s">
        <v>2885</v>
      </c>
      <c r="B2018" s="11">
        <v>45199</v>
      </c>
      <c r="C2018" s="5" t="s">
        <v>346</v>
      </c>
      <c r="D2018" s="5" t="s">
        <v>57</v>
      </c>
      <c r="E2018" s="5" t="s">
        <v>37</v>
      </c>
      <c r="F2018" s="5">
        <v>2</v>
      </c>
      <c r="G2018" s="19">
        <v>0</v>
      </c>
      <c r="H2018" s="5" t="s">
        <v>697</v>
      </c>
      <c r="I2018" s="10">
        <f>IF(OR(D2018="", F2018=""), "", F2018 * VLOOKUP(D2018, Products!A:E, 5, FALSE) * (1 - G2018))</f>
        <v>2792.44</v>
      </c>
      <c r="J2018" s="10"/>
    </row>
    <row r="2019" spans="1:10" ht="15.75" customHeight="1" x14ac:dyDescent="0.3">
      <c r="A2019" s="5" t="s">
        <v>2886</v>
      </c>
      <c r="B2019" s="11">
        <v>45641</v>
      </c>
      <c r="C2019" s="5" t="s">
        <v>425</v>
      </c>
      <c r="D2019" s="5" t="s">
        <v>272</v>
      </c>
      <c r="E2019" s="5" t="s">
        <v>21</v>
      </c>
      <c r="F2019" s="5">
        <v>5</v>
      </c>
      <c r="G2019" s="19">
        <v>0</v>
      </c>
      <c r="H2019" s="5" t="s">
        <v>637</v>
      </c>
      <c r="I2019" s="10">
        <f>IF(OR(D2019="", F2019=""), "", F2019 * VLOOKUP(D2019, Products!A:E, 5, FALSE) * (1 - G2019))</f>
        <v>5826.8499999999995</v>
      </c>
      <c r="J2019" s="10"/>
    </row>
    <row r="2020" spans="1:10" ht="15.75" customHeight="1" x14ac:dyDescent="0.3">
      <c r="A2020" s="5" t="s">
        <v>2887</v>
      </c>
      <c r="B2020" s="11">
        <v>45268</v>
      </c>
      <c r="C2020" s="5" t="s">
        <v>149</v>
      </c>
      <c r="D2020" s="5" t="s">
        <v>188</v>
      </c>
      <c r="E2020" s="5" t="s">
        <v>21</v>
      </c>
      <c r="F2020" s="5">
        <v>3</v>
      </c>
      <c r="G2020" s="19">
        <v>0</v>
      </c>
      <c r="H2020" s="5" t="s">
        <v>454</v>
      </c>
      <c r="I2020" s="10">
        <f>IF(OR(D2020="", F2020=""), "", F2020 * VLOOKUP(D2020, Products!A:E, 5, FALSE) * (1 - G2020))</f>
        <v>4455.1499999999996</v>
      </c>
      <c r="J2020" s="10"/>
    </row>
    <row r="2021" spans="1:10" ht="15.75" customHeight="1" x14ac:dyDescent="0.3">
      <c r="A2021" s="5" t="s">
        <v>2888</v>
      </c>
      <c r="B2021" s="11">
        <v>45736</v>
      </c>
      <c r="C2021" s="5" t="s">
        <v>81</v>
      </c>
      <c r="D2021" s="5" t="s">
        <v>269</v>
      </c>
      <c r="E2021" s="5" t="s">
        <v>29</v>
      </c>
      <c r="F2021" s="5">
        <v>3</v>
      </c>
      <c r="G2021" s="19">
        <v>0.15</v>
      </c>
      <c r="H2021" s="5" t="s">
        <v>697</v>
      </c>
      <c r="I2021" s="10">
        <f>IF(OR(D2021="", F2021=""), "", F2021 * VLOOKUP(D2021, Products!A:E, 5, FALSE) * (1 - G2021))</f>
        <v>4791.6539999999995</v>
      </c>
      <c r="J2021" s="10"/>
    </row>
    <row r="2022" spans="1:10" ht="15.75" customHeight="1" x14ac:dyDescent="0.3">
      <c r="A2022" s="5" t="s">
        <v>2889</v>
      </c>
      <c r="B2022" s="11">
        <v>45245</v>
      </c>
      <c r="C2022" s="5" t="s">
        <v>470</v>
      </c>
      <c r="D2022" s="5" t="s">
        <v>115</v>
      </c>
      <c r="E2022" s="5" t="s">
        <v>33</v>
      </c>
      <c r="F2022" s="5">
        <v>3</v>
      </c>
      <c r="G2022" s="19">
        <v>0.05</v>
      </c>
      <c r="H2022" s="5" t="s">
        <v>776</v>
      </c>
      <c r="I2022" s="10">
        <f>IF(OR(D2022="", F2022=""), "", F2022 * VLOOKUP(D2022, Products!A:E, 5, FALSE) * (1 - G2022))</f>
        <v>3551.4134999999997</v>
      </c>
      <c r="J2022" s="10"/>
    </row>
    <row r="2023" spans="1:10" ht="15.75" customHeight="1" x14ac:dyDescent="0.3">
      <c r="A2023" s="5" t="s">
        <v>2890</v>
      </c>
      <c r="B2023" s="11">
        <v>45347</v>
      </c>
      <c r="C2023" s="5" t="s">
        <v>484</v>
      </c>
      <c r="D2023" s="5" t="s">
        <v>276</v>
      </c>
      <c r="E2023" s="5" t="s">
        <v>33</v>
      </c>
      <c r="F2023" s="5">
        <v>5</v>
      </c>
      <c r="G2023" s="19">
        <v>0</v>
      </c>
      <c r="H2023" s="5" t="s">
        <v>697</v>
      </c>
      <c r="I2023" s="10">
        <f>IF(OR(D2023="", F2023=""), "", F2023 * VLOOKUP(D2023, Products!A:E, 5, FALSE) * (1 - G2023))</f>
        <v>5985.9000000000005</v>
      </c>
      <c r="J2023" s="10"/>
    </row>
    <row r="2024" spans="1:10" ht="15.75" customHeight="1" x14ac:dyDescent="0.3">
      <c r="A2024" s="5" t="s">
        <v>2891</v>
      </c>
      <c r="B2024" s="11">
        <v>45478</v>
      </c>
      <c r="C2024" s="5" t="s">
        <v>113</v>
      </c>
      <c r="D2024" s="5" t="s">
        <v>57</v>
      </c>
      <c r="E2024" s="5" t="s">
        <v>37</v>
      </c>
      <c r="F2024" s="5">
        <v>4</v>
      </c>
      <c r="G2024" s="19">
        <v>0.15</v>
      </c>
      <c r="H2024" s="5" t="s">
        <v>776</v>
      </c>
      <c r="I2024" s="10">
        <f>IF(OR(D2024="", F2024=""), "", F2024 * VLOOKUP(D2024, Products!A:E, 5, FALSE) * (1 - G2024))</f>
        <v>4747.1480000000001</v>
      </c>
      <c r="J2024" s="10"/>
    </row>
    <row r="2025" spans="1:10" ht="15.75" customHeight="1" x14ac:dyDescent="0.3">
      <c r="A2025" s="5" t="s">
        <v>2892</v>
      </c>
      <c r="B2025" s="11">
        <v>45261</v>
      </c>
      <c r="C2025" s="5" t="s">
        <v>447</v>
      </c>
      <c r="D2025" s="5" t="s">
        <v>180</v>
      </c>
      <c r="E2025" s="5" t="s">
        <v>25</v>
      </c>
      <c r="F2025" s="5">
        <v>2</v>
      </c>
      <c r="G2025" s="19">
        <v>0.15</v>
      </c>
      <c r="H2025" s="5" t="s">
        <v>776</v>
      </c>
      <c r="I2025" s="10">
        <f>IF(OR(D2025="", F2025=""), "", F2025 * VLOOKUP(D2025, Products!A:E, 5, FALSE) * (1 - G2025))</f>
        <v>1145.4259999999999</v>
      </c>
      <c r="J2025" s="10"/>
    </row>
    <row r="2026" spans="1:10" ht="15.75" customHeight="1" x14ac:dyDescent="0.3">
      <c r="A2026" s="5" t="s">
        <v>2893</v>
      </c>
      <c r="B2026" s="11">
        <v>45571</v>
      </c>
      <c r="C2026" s="5" t="s">
        <v>750</v>
      </c>
      <c r="D2026" s="5" t="s">
        <v>134</v>
      </c>
      <c r="E2026" s="5" t="s">
        <v>21</v>
      </c>
      <c r="F2026" s="5">
        <v>2</v>
      </c>
      <c r="G2026" s="19">
        <v>0.05</v>
      </c>
      <c r="H2026" s="5" t="s">
        <v>697</v>
      </c>
      <c r="I2026" s="10">
        <f>IF(OR(D2026="", F2026=""), "", F2026 * VLOOKUP(D2026, Products!A:E, 5, FALSE) * (1 - G2026))</f>
        <v>2331.7559999999999</v>
      </c>
      <c r="J2026" s="10"/>
    </row>
    <row r="2027" spans="1:10" ht="15.75" customHeight="1" x14ac:dyDescent="0.3">
      <c r="A2027" s="5" t="s">
        <v>2894</v>
      </c>
      <c r="B2027" s="11">
        <v>45268</v>
      </c>
      <c r="C2027" s="5" t="s">
        <v>869</v>
      </c>
      <c r="D2027" s="5" t="s">
        <v>67</v>
      </c>
      <c r="E2027" s="5" t="s">
        <v>25</v>
      </c>
      <c r="F2027" s="5">
        <v>5</v>
      </c>
      <c r="G2027" s="19">
        <v>0.1</v>
      </c>
      <c r="H2027" s="5" t="s">
        <v>637</v>
      </c>
      <c r="I2027" s="10">
        <f>IF(OR(D2027="", F2027=""), "", F2027 * VLOOKUP(D2027, Products!A:E, 5, FALSE) * (1 - G2027))</f>
        <v>494.01</v>
      </c>
      <c r="J2027" s="10"/>
    </row>
    <row r="2028" spans="1:10" ht="15.75" customHeight="1" x14ac:dyDescent="0.3">
      <c r="A2028" s="5" t="s">
        <v>2895</v>
      </c>
      <c r="B2028" s="11">
        <v>45638</v>
      </c>
      <c r="C2028" s="5" t="s">
        <v>281</v>
      </c>
      <c r="D2028" s="5" t="s">
        <v>153</v>
      </c>
      <c r="E2028" s="5" t="s">
        <v>29</v>
      </c>
      <c r="F2028" s="5">
        <v>3</v>
      </c>
      <c r="G2028" s="19">
        <v>0.1</v>
      </c>
      <c r="H2028" s="5" t="s">
        <v>637</v>
      </c>
      <c r="I2028" s="10">
        <f>IF(OR(D2028="", F2028=""), "", F2028 * VLOOKUP(D2028, Products!A:E, 5, FALSE) * (1 - G2028))</f>
        <v>4016.0070000000005</v>
      </c>
      <c r="J2028" s="10"/>
    </row>
    <row r="2029" spans="1:10" ht="15.75" customHeight="1" x14ac:dyDescent="0.3">
      <c r="A2029" s="5" t="s">
        <v>2896</v>
      </c>
      <c r="B2029" s="11">
        <v>45474</v>
      </c>
      <c r="C2029" s="5" t="s">
        <v>144</v>
      </c>
      <c r="D2029" s="5" t="s">
        <v>77</v>
      </c>
      <c r="E2029" s="5" t="s">
        <v>33</v>
      </c>
      <c r="F2029" s="5">
        <v>2</v>
      </c>
      <c r="G2029" s="19">
        <v>0.05</v>
      </c>
      <c r="H2029" s="5" t="s">
        <v>776</v>
      </c>
      <c r="I2029" s="10">
        <f>IF(OR(D2029="", F2029=""), "", F2029 * VLOOKUP(D2029, Products!A:E, 5, FALSE) * (1 - G2029))</f>
        <v>472.28299999999996</v>
      </c>
      <c r="J2029" s="10"/>
    </row>
    <row r="2030" spans="1:10" ht="15.75" customHeight="1" x14ac:dyDescent="0.3">
      <c r="A2030" s="5" t="s">
        <v>2897</v>
      </c>
      <c r="B2030" s="11">
        <v>45687</v>
      </c>
      <c r="C2030" s="5" t="s">
        <v>308</v>
      </c>
      <c r="D2030" s="5" t="s">
        <v>206</v>
      </c>
      <c r="E2030" s="5" t="s">
        <v>37</v>
      </c>
      <c r="F2030" s="5">
        <v>4</v>
      </c>
      <c r="G2030" s="19">
        <v>0</v>
      </c>
      <c r="H2030" s="5" t="s">
        <v>776</v>
      </c>
      <c r="I2030" s="10">
        <f>IF(OR(D2030="", F2030=""), "", F2030 * VLOOKUP(D2030, Products!A:E, 5, FALSE) * (1 - G2030))</f>
        <v>1218.8399999999999</v>
      </c>
      <c r="J2030" s="10"/>
    </row>
    <row r="2031" spans="1:10" ht="15.75" customHeight="1" x14ac:dyDescent="0.3">
      <c r="A2031" s="5" t="s">
        <v>2898</v>
      </c>
      <c r="B2031" s="11">
        <v>45704</v>
      </c>
      <c r="C2031" s="5" t="s">
        <v>296</v>
      </c>
      <c r="D2031" s="5" t="s">
        <v>162</v>
      </c>
      <c r="E2031" s="5" t="s">
        <v>29</v>
      </c>
      <c r="F2031" s="5">
        <v>5</v>
      </c>
      <c r="G2031" s="19">
        <v>0</v>
      </c>
      <c r="H2031" s="5" t="s">
        <v>637</v>
      </c>
      <c r="I2031" s="10">
        <f>IF(OR(D2031="", F2031=""), "", F2031 * VLOOKUP(D2031, Products!A:E, 5, FALSE) * (1 - G2031))</f>
        <v>2145.75</v>
      </c>
      <c r="J2031" s="10"/>
    </row>
    <row r="2032" spans="1:10" ht="15.75" customHeight="1" x14ac:dyDescent="0.3">
      <c r="A2032" s="5" t="s">
        <v>2899</v>
      </c>
      <c r="B2032" s="11">
        <v>45380</v>
      </c>
      <c r="C2032" s="5" t="s">
        <v>223</v>
      </c>
      <c r="D2032" s="5" t="s">
        <v>226</v>
      </c>
      <c r="E2032" s="5" t="s">
        <v>33</v>
      </c>
      <c r="F2032" s="5">
        <v>3</v>
      </c>
      <c r="G2032" s="19">
        <v>0.05</v>
      </c>
      <c r="H2032" s="5" t="s">
        <v>454</v>
      </c>
      <c r="I2032" s="10">
        <f>IF(OR(D2032="", F2032=""), "", F2032 * VLOOKUP(D2032, Products!A:E, 5, FALSE) * (1 - G2032))</f>
        <v>4279.1610000000001</v>
      </c>
      <c r="J2032" s="10"/>
    </row>
    <row r="2033" spans="1:10" ht="15.75" customHeight="1" x14ac:dyDescent="0.3">
      <c r="A2033" s="5" t="s">
        <v>2900</v>
      </c>
      <c r="B2033" s="11">
        <v>45291</v>
      </c>
      <c r="C2033" s="5" t="s">
        <v>317</v>
      </c>
      <c r="D2033" s="5" t="s">
        <v>74</v>
      </c>
      <c r="E2033" s="5" t="s">
        <v>21</v>
      </c>
      <c r="F2033" s="5">
        <v>3</v>
      </c>
      <c r="G2033" s="19">
        <v>0.1</v>
      </c>
      <c r="H2033" s="5" t="s">
        <v>454</v>
      </c>
      <c r="I2033" s="10">
        <f>IF(OR(D2033="", F2033=""), "", F2033 * VLOOKUP(D2033, Products!A:E, 5, FALSE) * (1 - G2033))</f>
        <v>3224.1239999999998</v>
      </c>
      <c r="J2033" s="10"/>
    </row>
    <row r="2034" spans="1:10" ht="15.75" customHeight="1" x14ac:dyDescent="0.3">
      <c r="A2034" s="5" t="s">
        <v>2901</v>
      </c>
      <c r="B2034" s="11">
        <v>45379</v>
      </c>
      <c r="C2034" s="5" t="s">
        <v>209</v>
      </c>
      <c r="D2034" s="5" t="s">
        <v>162</v>
      </c>
      <c r="E2034" s="5" t="s">
        <v>21</v>
      </c>
      <c r="F2034" s="5">
        <v>2</v>
      </c>
      <c r="G2034" s="19">
        <v>0.15</v>
      </c>
      <c r="H2034" s="5" t="s">
        <v>454</v>
      </c>
      <c r="I2034" s="10">
        <f>IF(OR(D2034="", F2034=""), "", F2034 * VLOOKUP(D2034, Products!A:E, 5, FALSE) * (1 - G2034))</f>
        <v>729.55499999999995</v>
      </c>
      <c r="J2034" s="10"/>
    </row>
    <row r="2035" spans="1:10" ht="15.75" customHeight="1" x14ac:dyDescent="0.3">
      <c r="A2035" s="5" t="s">
        <v>2902</v>
      </c>
      <c r="B2035" s="11">
        <v>45795</v>
      </c>
      <c r="C2035" s="5" t="s">
        <v>618</v>
      </c>
      <c r="D2035" s="5" t="s">
        <v>256</v>
      </c>
      <c r="E2035" s="5" t="s">
        <v>29</v>
      </c>
      <c r="F2035" s="5">
        <v>4</v>
      </c>
      <c r="G2035" s="19">
        <v>0.05</v>
      </c>
      <c r="H2035" s="5" t="s">
        <v>776</v>
      </c>
      <c r="I2035" s="10">
        <f>IF(OR(D2035="", F2035=""), "", F2035 * VLOOKUP(D2035, Products!A:E, 5, FALSE) * (1 - G2035))</f>
        <v>6213.0379999999996</v>
      </c>
      <c r="J2035" s="10"/>
    </row>
    <row r="2036" spans="1:10" ht="15.75" customHeight="1" x14ac:dyDescent="0.3">
      <c r="A2036" s="5" t="s">
        <v>2903</v>
      </c>
      <c r="B2036" s="11">
        <v>45334</v>
      </c>
      <c r="C2036" s="5" t="s">
        <v>703</v>
      </c>
      <c r="D2036" s="5" t="s">
        <v>280</v>
      </c>
      <c r="E2036" s="5" t="s">
        <v>33</v>
      </c>
      <c r="F2036" s="5">
        <v>1</v>
      </c>
      <c r="G2036" s="19">
        <v>0.1</v>
      </c>
      <c r="H2036" s="5" t="s">
        <v>454</v>
      </c>
      <c r="I2036" s="10">
        <f>IF(OR(D2036="", F2036=""), "", F2036 * VLOOKUP(D2036, Products!A:E, 5, FALSE) * (1 - G2036))</f>
        <v>1094.7239999999999</v>
      </c>
      <c r="J2036" s="10"/>
    </row>
    <row r="2037" spans="1:10" ht="15.75" customHeight="1" x14ac:dyDescent="0.3">
      <c r="A2037" s="5" t="s">
        <v>2904</v>
      </c>
      <c r="B2037" s="11">
        <v>45493</v>
      </c>
      <c r="C2037" s="5" t="s">
        <v>550</v>
      </c>
      <c r="D2037" s="5" t="s">
        <v>140</v>
      </c>
      <c r="E2037" s="5" t="s">
        <v>33</v>
      </c>
      <c r="F2037" s="5">
        <v>5</v>
      </c>
      <c r="G2037" s="19">
        <v>0.05</v>
      </c>
      <c r="H2037" s="5" t="s">
        <v>637</v>
      </c>
      <c r="I2037" s="10">
        <f>IF(OR(D2037="", F2037=""), "", F2037 * VLOOKUP(D2037, Products!A:E, 5, FALSE) * (1 - G2037))</f>
        <v>121.4575</v>
      </c>
      <c r="J2037" s="10"/>
    </row>
    <row r="2038" spans="1:10" ht="15.75" customHeight="1" x14ac:dyDescent="0.3">
      <c r="A2038" s="5" t="s">
        <v>2905</v>
      </c>
      <c r="B2038" s="11">
        <v>45739</v>
      </c>
      <c r="C2038" s="5" t="s">
        <v>519</v>
      </c>
      <c r="D2038" s="5" t="s">
        <v>175</v>
      </c>
      <c r="E2038" s="5" t="s">
        <v>37</v>
      </c>
      <c r="F2038" s="5">
        <v>5</v>
      </c>
      <c r="G2038" s="19">
        <v>0.1</v>
      </c>
      <c r="H2038" s="5" t="s">
        <v>454</v>
      </c>
      <c r="I2038" s="10">
        <f>IF(OR(D2038="", F2038=""), "", F2038 * VLOOKUP(D2038, Products!A:E, 5, FALSE) * (1 - G2038))</f>
        <v>5725.0349999999999</v>
      </c>
      <c r="J2038" s="10"/>
    </row>
    <row r="2039" spans="1:10" ht="15.75" customHeight="1" x14ac:dyDescent="0.3">
      <c r="A2039" s="5" t="s">
        <v>2906</v>
      </c>
      <c r="B2039" s="11">
        <v>45783</v>
      </c>
      <c r="C2039" s="5" t="s">
        <v>203</v>
      </c>
      <c r="D2039" s="5" t="s">
        <v>140</v>
      </c>
      <c r="E2039" s="5" t="s">
        <v>33</v>
      </c>
      <c r="F2039" s="5">
        <v>5</v>
      </c>
      <c r="G2039" s="19">
        <v>0.15</v>
      </c>
      <c r="H2039" s="5" t="s">
        <v>454</v>
      </c>
      <c r="I2039" s="10">
        <f>IF(OR(D2039="", F2039=""), "", F2039 * VLOOKUP(D2039, Products!A:E, 5, FALSE) * (1 - G2039))</f>
        <v>108.67249999999999</v>
      </c>
      <c r="J2039" s="10"/>
    </row>
    <row r="2040" spans="1:10" ht="15.75" customHeight="1" x14ac:dyDescent="0.3">
      <c r="A2040" s="5" t="s">
        <v>2907</v>
      </c>
      <c r="B2040" s="11">
        <v>45207</v>
      </c>
      <c r="C2040" s="5" t="s">
        <v>795</v>
      </c>
      <c r="D2040" s="5" t="s">
        <v>140</v>
      </c>
      <c r="E2040" s="5" t="s">
        <v>21</v>
      </c>
      <c r="F2040" s="5">
        <v>5</v>
      </c>
      <c r="G2040" s="19">
        <v>0</v>
      </c>
      <c r="H2040" s="5" t="s">
        <v>697</v>
      </c>
      <c r="I2040" s="10">
        <f>IF(OR(D2040="", F2040=""), "", F2040 * VLOOKUP(D2040, Products!A:E, 5, FALSE) * (1 - G2040))</f>
        <v>127.85</v>
      </c>
      <c r="J2040" s="10"/>
    </row>
    <row r="2041" spans="1:10" ht="15.75" customHeight="1" x14ac:dyDescent="0.3">
      <c r="A2041" s="5" t="s">
        <v>2908</v>
      </c>
      <c r="B2041" s="11">
        <v>45845</v>
      </c>
      <c r="C2041" s="5" t="s">
        <v>811</v>
      </c>
      <c r="D2041" s="5" t="s">
        <v>119</v>
      </c>
      <c r="E2041" s="5" t="s">
        <v>37</v>
      </c>
      <c r="F2041" s="5">
        <v>1</v>
      </c>
      <c r="G2041" s="19">
        <v>0.05</v>
      </c>
      <c r="H2041" s="5" t="s">
        <v>776</v>
      </c>
      <c r="I2041" s="10">
        <f>IF(OR(D2041="", F2041=""), "", F2041 * VLOOKUP(D2041, Products!A:E, 5, FALSE) * (1 - G2041))</f>
        <v>1025.8955000000001</v>
      </c>
      <c r="J2041" s="10"/>
    </row>
    <row r="2042" spans="1:10" ht="15.75" customHeight="1" x14ac:dyDescent="0.3">
      <c r="A2042" s="5" t="s">
        <v>2909</v>
      </c>
      <c r="B2042" s="11">
        <v>45251</v>
      </c>
      <c r="C2042" s="5" t="s">
        <v>447</v>
      </c>
      <c r="D2042" s="5" t="s">
        <v>153</v>
      </c>
      <c r="E2042" s="5" t="s">
        <v>33</v>
      </c>
      <c r="F2042" s="5">
        <v>2</v>
      </c>
      <c r="G2042" s="19">
        <v>0.15</v>
      </c>
      <c r="H2042" s="5" t="s">
        <v>776</v>
      </c>
      <c r="I2042" s="10">
        <f>IF(OR(D2042="", F2042=""), "", F2042 * VLOOKUP(D2042, Products!A:E, 5, FALSE) * (1 - G2042))</f>
        <v>2528.5970000000002</v>
      </c>
      <c r="J2042" s="10"/>
    </row>
    <row r="2043" spans="1:10" ht="15.75" customHeight="1" x14ac:dyDescent="0.3">
      <c r="A2043" s="5" t="s">
        <v>2910</v>
      </c>
      <c r="B2043" s="11">
        <v>45511</v>
      </c>
      <c r="C2043" s="5" t="s">
        <v>380</v>
      </c>
      <c r="D2043" s="5" t="s">
        <v>272</v>
      </c>
      <c r="E2043" s="5" t="s">
        <v>33</v>
      </c>
      <c r="F2043" s="5">
        <v>4</v>
      </c>
      <c r="G2043" s="19">
        <v>0</v>
      </c>
      <c r="H2043" s="5" t="s">
        <v>454</v>
      </c>
      <c r="I2043" s="10">
        <f>IF(OR(D2043="", F2043=""), "", F2043 * VLOOKUP(D2043, Products!A:E, 5, FALSE) * (1 - G2043))</f>
        <v>4661.4799999999996</v>
      </c>
      <c r="J2043" s="10"/>
    </row>
    <row r="2044" spans="1:10" ht="15.75" customHeight="1" x14ac:dyDescent="0.3">
      <c r="A2044" s="5" t="s">
        <v>2911</v>
      </c>
      <c r="B2044" s="11">
        <v>45564</v>
      </c>
      <c r="C2044" s="5" t="s">
        <v>611</v>
      </c>
      <c r="D2044" s="5" t="s">
        <v>103</v>
      </c>
      <c r="E2044" s="5" t="s">
        <v>33</v>
      </c>
      <c r="F2044" s="5">
        <v>5</v>
      </c>
      <c r="G2044" s="19">
        <v>0.15</v>
      </c>
      <c r="H2044" s="5" t="s">
        <v>776</v>
      </c>
      <c r="I2044" s="10">
        <f>IF(OR(D2044="", F2044=""), "", F2044 * VLOOKUP(D2044, Products!A:E, 5, FALSE) * (1 - G2044))</f>
        <v>1149.4124999999999</v>
      </c>
      <c r="J2044" s="10"/>
    </row>
    <row r="2045" spans="1:10" ht="15.75" customHeight="1" x14ac:dyDescent="0.3">
      <c r="A2045" s="5" t="s">
        <v>2912</v>
      </c>
      <c r="B2045" s="11">
        <v>45743</v>
      </c>
      <c r="C2045" s="5" t="s">
        <v>203</v>
      </c>
      <c r="D2045" s="5" t="s">
        <v>89</v>
      </c>
      <c r="E2045" s="5" t="s">
        <v>25</v>
      </c>
      <c r="F2045" s="5">
        <v>1</v>
      </c>
      <c r="G2045" s="19">
        <v>0.15</v>
      </c>
      <c r="H2045" s="5" t="s">
        <v>637</v>
      </c>
      <c r="I2045" s="10">
        <f>IF(OR(D2045="", F2045=""), "", F2045 * VLOOKUP(D2045, Products!A:E, 5, FALSE) * (1 - G2045))</f>
        <v>964.57999999999993</v>
      </c>
      <c r="J2045" s="10"/>
    </row>
    <row r="2046" spans="1:10" ht="15.75" customHeight="1" x14ac:dyDescent="0.3">
      <c r="A2046" s="5" t="s">
        <v>2913</v>
      </c>
      <c r="B2046" s="11">
        <v>45555</v>
      </c>
      <c r="C2046" s="5" t="s">
        <v>357</v>
      </c>
      <c r="D2046" s="5" t="s">
        <v>267</v>
      </c>
      <c r="E2046" s="5" t="s">
        <v>33</v>
      </c>
      <c r="F2046" s="5">
        <v>3</v>
      </c>
      <c r="G2046" s="19">
        <v>0</v>
      </c>
      <c r="H2046" s="5" t="s">
        <v>454</v>
      </c>
      <c r="I2046" s="10">
        <f>IF(OR(D2046="", F2046=""), "", F2046 * VLOOKUP(D2046, Products!A:E, 5, FALSE) * (1 - G2046))</f>
        <v>3859.6499999999996</v>
      </c>
      <c r="J2046" s="10"/>
    </row>
    <row r="2047" spans="1:10" ht="15.75" customHeight="1" x14ac:dyDescent="0.3">
      <c r="A2047" s="5" t="s">
        <v>2914</v>
      </c>
      <c r="B2047" s="11">
        <v>45484</v>
      </c>
      <c r="C2047" s="5" t="s">
        <v>495</v>
      </c>
      <c r="D2047" s="5" t="s">
        <v>212</v>
      </c>
      <c r="E2047" s="5" t="s">
        <v>37</v>
      </c>
      <c r="F2047" s="5">
        <v>4</v>
      </c>
      <c r="G2047" s="19">
        <v>0.05</v>
      </c>
      <c r="H2047" s="5" t="s">
        <v>637</v>
      </c>
      <c r="I2047" s="10">
        <f>IF(OR(D2047="", F2047=""), "", F2047 * VLOOKUP(D2047, Products!A:E, 5, FALSE) * (1 - G2047))</f>
        <v>6836.0859999999993</v>
      </c>
      <c r="J2047" s="10"/>
    </row>
    <row r="2048" spans="1:10" ht="15.75" customHeight="1" x14ac:dyDescent="0.3">
      <c r="A2048" s="5" t="s">
        <v>2915</v>
      </c>
      <c r="B2048" s="11">
        <v>45851</v>
      </c>
      <c r="C2048" s="5" t="s">
        <v>250</v>
      </c>
      <c r="D2048" s="5" t="s">
        <v>140</v>
      </c>
      <c r="E2048" s="5" t="s">
        <v>29</v>
      </c>
      <c r="F2048" s="5">
        <v>4</v>
      </c>
      <c r="G2048" s="19">
        <v>0</v>
      </c>
      <c r="H2048" s="5" t="s">
        <v>697</v>
      </c>
      <c r="I2048" s="10">
        <f>IF(OR(D2048="", F2048=""), "", F2048 * VLOOKUP(D2048, Products!A:E, 5, FALSE) * (1 - G2048))</f>
        <v>102.28</v>
      </c>
      <c r="J2048" s="10"/>
    </row>
    <row r="2049" spans="1:10" ht="15.75" customHeight="1" x14ac:dyDescent="0.3">
      <c r="A2049" s="5" t="s">
        <v>2916</v>
      </c>
      <c r="B2049" s="11">
        <v>45385</v>
      </c>
      <c r="C2049" s="5" t="s">
        <v>615</v>
      </c>
      <c r="D2049" s="5" t="s">
        <v>291</v>
      </c>
      <c r="E2049" s="5" t="s">
        <v>25</v>
      </c>
      <c r="F2049" s="5">
        <v>2</v>
      </c>
      <c r="G2049" s="19">
        <v>0.1</v>
      </c>
      <c r="H2049" s="5" t="s">
        <v>776</v>
      </c>
      <c r="I2049" s="10">
        <f>IF(OR(D2049="", F2049=""), "", F2049 * VLOOKUP(D2049, Products!A:E, 5, FALSE) * (1 - G2049))</f>
        <v>1880.3520000000003</v>
      </c>
      <c r="J2049" s="10"/>
    </row>
    <row r="2050" spans="1:10" ht="15.75" customHeight="1" x14ac:dyDescent="0.3">
      <c r="A2050" s="5" t="s">
        <v>2917</v>
      </c>
      <c r="B2050" s="11">
        <v>45467</v>
      </c>
      <c r="C2050" s="5" t="s">
        <v>727</v>
      </c>
      <c r="D2050" s="5" t="s">
        <v>280</v>
      </c>
      <c r="E2050" s="5" t="s">
        <v>33</v>
      </c>
      <c r="F2050" s="5">
        <v>1</v>
      </c>
      <c r="G2050" s="19">
        <v>0.1</v>
      </c>
      <c r="H2050" s="5" t="s">
        <v>637</v>
      </c>
      <c r="I2050" s="10">
        <f>IF(OR(D2050="", F2050=""), "", F2050 * VLOOKUP(D2050, Products!A:E, 5, FALSE) * (1 - G2050))</f>
        <v>1094.7239999999999</v>
      </c>
      <c r="J2050" s="10"/>
    </row>
    <row r="2051" spans="1:10" ht="15.75" customHeight="1" x14ac:dyDescent="0.3">
      <c r="A2051" s="5" t="s">
        <v>2918</v>
      </c>
      <c r="B2051" s="11">
        <v>45659</v>
      </c>
      <c r="C2051" s="5" t="s">
        <v>618</v>
      </c>
      <c r="D2051" s="5" t="s">
        <v>61</v>
      </c>
      <c r="E2051" s="5" t="s">
        <v>25</v>
      </c>
      <c r="F2051" s="5">
        <v>1</v>
      </c>
      <c r="G2051" s="19">
        <v>0.05</v>
      </c>
      <c r="H2051" s="5" t="s">
        <v>776</v>
      </c>
      <c r="I2051" s="10">
        <f>IF(OR(D2051="", F2051=""), "", F2051 * VLOOKUP(D2051, Products!A:E, 5, FALSE) * (1 - G2051))</f>
        <v>302.14749999999998</v>
      </c>
      <c r="J2051" s="10"/>
    </row>
    <row r="2052" spans="1:10" ht="15.75" customHeight="1" x14ac:dyDescent="0.3">
      <c r="A2052" s="5" t="s">
        <v>2919</v>
      </c>
      <c r="B2052" s="11">
        <v>45296</v>
      </c>
      <c r="C2052" s="5" t="s">
        <v>862</v>
      </c>
      <c r="D2052" s="5" t="s">
        <v>265</v>
      </c>
      <c r="E2052" s="5" t="s">
        <v>33</v>
      </c>
      <c r="F2052" s="5">
        <v>3</v>
      </c>
      <c r="G2052" s="19">
        <v>0.1</v>
      </c>
      <c r="H2052" s="5" t="s">
        <v>697</v>
      </c>
      <c r="I2052" s="10">
        <f>IF(OR(D2052="", F2052=""), "", F2052 * VLOOKUP(D2052, Products!A:E, 5, FALSE) * (1 - G2052))</f>
        <v>1523.9339999999997</v>
      </c>
      <c r="J2052" s="10"/>
    </row>
    <row r="2053" spans="1:10" ht="15.75" customHeight="1" x14ac:dyDescent="0.3">
      <c r="A2053" s="5" t="s">
        <v>2920</v>
      </c>
      <c r="B2053" s="11">
        <v>45803</v>
      </c>
      <c r="C2053" s="5" t="s">
        <v>203</v>
      </c>
      <c r="D2053" s="5" t="s">
        <v>226</v>
      </c>
      <c r="E2053" s="5" t="s">
        <v>25</v>
      </c>
      <c r="F2053" s="5">
        <v>1</v>
      </c>
      <c r="G2053" s="19">
        <v>0.1</v>
      </c>
      <c r="H2053" s="5" t="s">
        <v>637</v>
      </c>
      <c r="I2053" s="10">
        <f>IF(OR(D2053="", F2053=""), "", F2053 * VLOOKUP(D2053, Products!A:E, 5, FALSE) * (1 - G2053))</f>
        <v>1351.3140000000001</v>
      </c>
      <c r="J2053" s="10"/>
    </row>
    <row r="2054" spans="1:10" ht="15.75" customHeight="1" x14ac:dyDescent="0.3">
      <c r="A2054" s="5" t="s">
        <v>2921</v>
      </c>
      <c r="B2054" s="11">
        <v>45681</v>
      </c>
      <c r="C2054" s="5" t="s">
        <v>197</v>
      </c>
      <c r="D2054" s="5" t="s">
        <v>122</v>
      </c>
      <c r="E2054" s="5" t="s">
        <v>29</v>
      </c>
      <c r="F2054" s="5">
        <v>4</v>
      </c>
      <c r="G2054" s="19">
        <v>0.15</v>
      </c>
      <c r="H2054" s="5" t="s">
        <v>697</v>
      </c>
      <c r="I2054" s="10">
        <f>IF(OR(D2054="", F2054=""), "", F2054 * VLOOKUP(D2054, Products!A:E, 5, FALSE) * (1 - G2054))</f>
        <v>5993.9279999999999</v>
      </c>
      <c r="J2054" s="10"/>
    </row>
    <row r="2055" spans="1:10" ht="15.75" customHeight="1" x14ac:dyDescent="0.3">
      <c r="A2055" s="5" t="s">
        <v>2922</v>
      </c>
      <c r="B2055" s="11">
        <v>45627</v>
      </c>
      <c r="C2055" s="5" t="s">
        <v>786</v>
      </c>
      <c r="D2055" s="5" t="s">
        <v>221</v>
      </c>
      <c r="E2055" s="5" t="s">
        <v>29</v>
      </c>
      <c r="F2055" s="5">
        <v>2</v>
      </c>
      <c r="G2055" s="19">
        <v>0</v>
      </c>
      <c r="H2055" s="5" t="s">
        <v>776</v>
      </c>
      <c r="I2055" s="10">
        <f>IF(OR(D2055="", F2055=""), "", F2055 * VLOOKUP(D2055, Products!A:E, 5, FALSE) * (1 - G2055))</f>
        <v>3124.86</v>
      </c>
      <c r="J2055" s="10"/>
    </row>
    <row r="2056" spans="1:10" ht="15.75" customHeight="1" x14ac:dyDescent="0.3">
      <c r="A2056" s="5" t="s">
        <v>2923</v>
      </c>
      <c r="B2056" s="11">
        <v>45522</v>
      </c>
      <c r="C2056" s="5" t="s">
        <v>575</v>
      </c>
      <c r="D2056" s="5" t="s">
        <v>262</v>
      </c>
      <c r="E2056" s="5" t="s">
        <v>29</v>
      </c>
      <c r="F2056" s="5">
        <v>3</v>
      </c>
      <c r="G2056" s="19">
        <v>0.05</v>
      </c>
      <c r="H2056" s="5" t="s">
        <v>697</v>
      </c>
      <c r="I2056" s="10">
        <f>IF(OR(D2056="", F2056=""), "", F2056 * VLOOKUP(D2056, Products!A:E, 5, FALSE) * (1 - G2056))</f>
        <v>1292.817</v>
      </c>
      <c r="J2056" s="10"/>
    </row>
    <row r="2057" spans="1:10" ht="15.75" customHeight="1" x14ac:dyDescent="0.3">
      <c r="A2057" s="5" t="s">
        <v>2924</v>
      </c>
      <c r="B2057" s="11">
        <v>45636</v>
      </c>
      <c r="C2057" s="5" t="s">
        <v>503</v>
      </c>
      <c r="D2057" s="5" t="s">
        <v>168</v>
      </c>
      <c r="E2057" s="5" t="s">
        <v>33</v>
      </c>
      <c r="F2057" s="5">
        <v>4</v>
      </c>
      <c r="G2057" s="19">
        <v>0.15</v>
      </c>
      <c r="H2057" s="5" t="s">
        <v>697</v>
      </c>
      <c r="I2057" s="10">
        <f>IF(OR(D2057="", F2057=""), "", F2057 * VLOOKUP(D2057, Products!A:E, 5, FALSE) * (1 - G2057))</f>
        <v>3453.5839999999998</v>
      </c>
      <c r="J2057" s="10"/>
    </row>
    <row r="2058" spans="1:10" ht="15.75" customHeight="1" x14ac:dyDescent="0.3">
      <c r="A2058" s="5" t="s">
        <v>2925</v>
      </c>
      <c r="B2058" s="11">
        <v>45635</v>
      </c>
      <c r="C2058" s="5" t="s">
        <v>808</v>
      </c>
      <c r="D2058" s="5" t="s">
        <v>206</v>
      </c>
      <c r="E2058" s="5" t="s">
        <v>33</v>
      </c>
      <c r="F2058" s="5">
        <v>3</v>
      </c>
      <c r="G2058" s="19">
        <v>0.15</v>
      </c>
      <c r="H2058" s="5" t="s">
        <v>776</v>
      </c>
      <c r="I2058" s="10">
        <f>IF(OR(D2058="", F2058=""), "", F2058 * VLOOKUP(D2058, Products!A:E, 5, FALSE) * (1 - G2058))</f>
        <v>777.01049999999987</v>
      </c>
      <c r="J2058" s="10"/>
    </row>
    <row r="2059" spans="1:10" ht="15.75" customHeight="1" x14ac:dyDescent="0.3">
      <c r="A2059" s="5" t="s">
        <v>2926</v>
      </c>
      <c r="B2059" s="11">
        <v>45841</v>
      </c>
      <c r="C2059" s="5" t="s">
        <v>695</v>
      </c>
      <c r="D2059" s="5" t="s">
        <v>89</v>
      </c>
      <c r="E2059" s="5" t="s">
        <v>37</v>
      </c>
      <c r="F2059" s="5">
        <v>2</v>
      </c>
      <c r="G2059" s="19">
        <v>0</v>
      </c>
      <c r="H2059" s="5" t="s">
        <v>697</v>
      </c>
      <c r="I2059" s="10">
        <f>IF(OR(D2059="", F2059=""), "", F2059 * VLOOKUP(D2059, Products!A:E, 5, FALSE) * (1 - G2059))</f>
        <v>2269.6</v>
      </c>
      <c r="J2059" s="10"/>
    </row>
    <row r="2060" spans="1:10" ht="15.75" customHeight="1" x14ac:dyDescent="0.3">
      <c r="A2060" s="5" t="s">
        <v>2927</v>
      </c>
      <c r="B2060" s="11">
        <v>45787</v>
      </c>
      <c r="C2060" s="5" t="s">
        <v>477</v>
      </c>
      <c r="D2060" s="5" t="s">
        <v>122</v>
      </c>
      <c r="E2060" s="5" t="s">
        <v>29</v>
      </c>
      <c r="F2060" s="5">
        <v>1</v>
      </c>
      <c r="G2060" s="19">
        <v>0.05</v>
      </c>
      <c r="H2060" s="5" t="s">
        <v>637</v>
      </c>
      <c r="I2060" s="10">
        <f>IF(OR(D2060="", F2060=""), "", F2060 * VLOOKUP(D2060, Products!A:E, 5, FALSE) * (1 - G2060))</f>
        <v>1674.7739999999999</v>
      </c>
      <c r="J2060" s="10"/>
    </row>
    <row r="2061" spans="1:10" ht="15.75" customHeight="1" x14ac:dyDescent="0.3">
      <c r="A2061" s="5" t="s">
        <v>2928</v>
      </c>
      <c r="B2061" s="11">
        <v>45478</v>
      </c>
      <c r="C2061" s="5" t="s">
        <v>300</v>
      </c>
      <c r="D2061" s="5" t="s">
        <v>175</v>
      </c>
      <c r="E2061" s="5" t="s">
        <v>33</v>
      </c>
      <c r="F2061" s="5">
        <v>3</v>
      </c>
      <c r="G2061" s="19">
        <v>0</v>
      </c>
      <c r="H2061" s="5" t="s">
        <v>637</v>
      </c>
      <c r="I2061" s="10">
        <f>IF(OR(D2061="", F2061=""), "", F2061 * VLOOKUP(D2061, Products!A:E, 5, FALSE) * (1 - G2061))</f>
        <v>3816.69</v>
      </c>
      <c r="J2061" s="10"/>
    </row>
    <row r="2062" spans="1:10" ht="15.75" customHeight="1" x14ac:dyDescent="0.3">
      <c r="A2062" s="5" t="s">
        <v>2929</v>
      </c>
      <c r="B2062" s="11">
        <v>45283</v>
      </c>
      <c r="C2062" s="5" t="s">
        <v>420</v>
      </c>
      <c r="D2062" s="5" t="s">
        <v>249</v>
      </c>
      <c r="E2062" s="5" t="s">
        <v>37</v>
      </c>
      <c r="F2062" s="5">
        <v>1</v>
      </c>
      <c r="G2062" s="19">
        <v>0.15</v>
      </c>
      <c r="H2062" s="5" t="s">
        <v>697</v>
      </c>
      <c r="I2062" s="10">
        <f>IF(OR(D2062="", F2062=""), "", F2062 * VLOOKUP(D2062, Products!A:E, 5, FALSE) * (1 - G2062))</f>
        <v>1483.7684999999999</v>
      </c>
      <c r="J2062" s="10"/>
    </row>
    <row r="2063" spans="1:10" ht="15.75" customHeight="1" x14ac:dyDescent="0.3">
      <c r="A2063" s="5" t="s">
        <v>2930</v>
      </c>
      <c r="B2063" s="11">
        <v>45629</v>
      </c>
      <c r="C2063" s="5" t="s">
        <v>755</v>
      </c>
      <c r="D2063" s="5" t="s">
        <v>180</v>
      </c>
      <c r="E2063" s="5" t="s">
        <v>33</v>
      </c>
      <c r="F2063" s="5">
        <v>5</v>
      </c>
      <c r="G2063" s="19">
        <v>0</v>
      </c>
      <c r="H2063" s="5" t="s">
        <v>776</v>
      </c>
      <c r="I2063" s="10">
        <f>IF(OR(D2063="", F2063=""), "", F2063 * VLOOKUP(D2063, Products!A:E, 5, FALSE) * (1 - G2063))</f>
        <v>3368.8999999999996</v>
      </c>
      <c r="J2063" s="10"/>
    </row>
    <row r="2064" spans="1:10" ht="15.75" customHeight="1" x14ac:dyDescent="0.3">
      <c r="A2064" s="5" t="s">
        <v>2931</v>
      </c>
      <c r="B2064" s="11">
        <v>45511</v>
      </c>
      <c r="C2064" s="5" t="s">
        <v>372</v>
      </c>
      <c r="D2064" s="5" t="s">
        <v>262</v>
      </c>
      <c r="E2064" s="5" t="s">
        <v>25</v>
      </c>
      <c r="F2064" s="5">
        <v>4</v>
      </c>
      <c r="G2064" s="19">
        <v>0.05</v>
      </c>
      <c r="H2064" s="5" t="s">
        <v>637</v>
      </c>
      <c r="I2064" s="10">
        <f>IF(OR(D2064="", F2064=""), "", F2064 * VLOOKUP(D2064, Products!A:E, 5, FALSE) * (1 - G2064))</f>
        <v>1723.7559999999999</v>
      </c>
      <c r="J2064" s="10"/>
    </row>
    <row r="2065" spans="1:10" ht="15.75" customHeight="1" x14ac:dyDescent="0.3">
      <c r="A2065" s="5" t="s">
        <v>2932</v>
      </c>
      <c r="B2065" s="11">
        <v>45333</v>
      </c>
      <c r="C2065" s="5" t="s">
        <v>372</v>
      </c>
      <c r="D2065" s="5" t="s">
        <v>269</v>
      </c>
      <c r="E2065" s="5" t="s">
        <v>29</v>
      </c>
      <c r="F2065" s="5">
        <v>2</v>
      </c>
      <c r="G2065" s="19">
        <v>0.05</v>
      </c>
      <c r="H2065" s="5" t="s">
        <v>776</v>
      </c>
      <c r="I2065" s="10">
        <f>IF(OR(D2065="", F2065=""), "", F2065 * VLOOKUP(D2065, Products!A:E, 5, FALSE) * (1 - G2065))</f>
        <v>3570.2519999999995</v>
      </c>
      <c r="J2065" s="10"/>
    </row>
    <row r="2066" spans="1:10" ht="15.75" customHeight="1" x14ac:dyDescent="0.3">
      <c r="A2066" s="5" t="s">
        <v>2933</v>
      </c>
      <c r="B2066" s="11">
        <v>45834</v>
      </c>
      <c r="C2066" s="5" t="s">
        <v>522</v>
      </c>
      <c r="D2066" s="5" t="s">
        <v>65</v>
      </c>
      <c r="E2066" s="5" t="s">
        <v>29</v>
      </c>
      <c r="F2066" s="5">
        <v>1</v>
      </c>
      <c r="G2066" s="19">
        <v>0.1</v>
      </c>
      <c r="H2066" s="5" t="s">
        <v>454</v>
      </c>
      <c r="I2066" s="10">
        <f>IF(OR(D2066="", F2066=""), "", F2066 * VLOOKUP(D2066, Products!A:E, 5, FALSE) * (1 - G2066))</f>
        <v>1326.7079999999999</v>
      </c>
      <c r="J2066" s="10"/>
    </row>
    <row r="2067" spans="1:10" ht="15.75" customHeight="1" x14ac:dyDescent="0.3">
      <c r="A2067" s="5" t="s">
        <v>2934</v>
      </c>
      <c r="B2067" s="11">
        <v>45345</v>
      </c>
      <c r="C2067" s="5" t="s">
        <v>641</v>
      </c>
      <c r="D2067" s="5" t="s">
        <v>74</v>
      </c>
      <c r="E2067" s="5" t="s">
        <v>21</v>
      </c>
      <c r="F2067" s="5">
        <v>4</v>
      </c>
      <c r="G2067" s="19">
        <v>0.15</v>
      </c>
      <c r="H2067" s="5" t="s">
        <v>637</v>
      </c>
      <c r="I2067" s="10">
        <f>IF(OR(D2067="", F2067=""), "", F2067 * VLOOKUP(D2067, Products!A:E, 5, FALSE) * (1 - G2067))</f>
        <v>4060.0079999999994</v>
      </c>
      <c r="J2067" s="10"/>
    </row>
    <row r="2068" spans="1:10" ht="15.75" customHeight="1" x14ac:dyDescent="0.3">
      <c r="A2068" s="5" t="s">
        <v>2935</v>
      </c>
      <c r="B2068" s="11">
        <v>45288</v>
      </c>
      <c r="C2068" s="5" t="s">
        <v>560</v>
      </c>
      <c r="D2068" s="5" t="s">
        <v>61</v>
      </c>
      <c r="E2068" s="5" t="s">
        <v>29</v>
      </c>
      <c r="F2068" s="5">
        <v>3</v>
      </c>
      <c r="G2068" s="19">
        <v>0.15</v>
      </c>
      <c r="H2068" s="5" t="s">
        <v>454</v>
      </c>
      <c r="I2068" s="10">
        <f>IF(OR(D2068="", F2068=""), "", F2068 * VLOOKUP(D2068, Products!A:E, 5, FALSE) * (1 - G2068))</f>
        <v>811.02750000000003</v>
      </c>
      <c r="J2068" s="10"/>
    </row>
    <row r="2069" spans="1:10" ht="15.75" customHeight="1" x14ac:dyDescent="0.3">
      <c r="A2069" s="5" t="s">
        <v>2936</v>
      </c>
      <c r="B2069" s="11">
        <v>45610</v>
      </c>
      <c r="C2069" s="5" t="s">
        <v>250</v>
      </c>
      <c r="D2069" s="5" t="s">
        <v>47</v>
      </c>
      <c r="E2069" s="5" t="s">
        <v>25</v>
      </c>
      <c r="F2069" s="5">
        <v>4</v>
      </c>
      <c r="G2069" s="19">
        <v>0.15</v>
      </c>
      <c r="H2069" s="5" t="s">
        <v>454</v>
      </c>
      <c r="I2069" s="10">
        <f>IF(OR(D2069="", F2069=""), "", F2069 * VLOOKUP(D2069, Products!A:E, 5, FALSE) * (1 - G2069))</f>
        <v>2783.7840000000001</v>
      </c>
      <c r="J2069" s="10"/>
    </row>
    <row r="2070" spans="1:10" ht="15.75" customHeight="1" x14ac:dyDescent="0.3">
      <c r="A2070" s="5" t="s">
        <v>2937</v>
      </c>
      <c r="B2070" s="11">
        <v>45860</v>
      </c>
      <c r="C2070" s="5" t="s">
        <v>334</v>
      </c>
      <c r="D2070" s="5" t="s">
        <v>256</v>
      </c>
      <c r="E2070" s="5" t="s">
        <v>37</v>
      </c>
      <c r="F2070" s="5">
        <v>5</v>
      </c>
      <c r="G2070" s="19">
        <v>0.05</v>
      </c>
      <c r="H2070" s="5" t="s">
        <v>637</v>
      </c>
      <c r="I2070" s="10">
        <f>IF(OR(D2070="", F2070=""), "", F2070 * VLOOKUP(D2070, Products!A:E, 5, FALSE) * (1 - G2070))</f>
        <v>7766.2974999999997</v>
      </c>
      <c r="J2070" s="10"/>
    </row>
    <row r="2071" spans="1:10" ht="15.75" customHeight="1" x14ac:dyDescent="0.3">
      <c r="A2071" s="5" t="s">
        <v>2938</v>
      </c>
      <c r="B2071" s="11">
        <v>45746</v>
      </c>
      <c r="C2071" s="5" t="s">
        <v>532</v>
      </c>
      <c r="D2071" s="5" t="s">
        <v>89</v>
      </c>
      <c r="E2071" s="5" t="s">
        <v>29</v>
      </c>
      <c r="F2071" s="5">
        <v>4</v>
      </c>
      <c r="G2071" s="19">
        <v>0.1</v>
      </c>
      <c r="H2071" s="5" t="s">
        <v>776</v>
      </c>
      <c r="I2071" s="10">
        <f>IF(OR(D2071="", F2071=""), "", F2071 * VLOOKUP(D2071, Products!A:E, 5, FALSE) * (1 - G2071))</f>
        <v>4085.2799999999997</v>
      </c>
      <c r="J2071" s="10"/>
    </row>
    <row r="2072" spans="1:10" ht="15.75" customHeight="1" x14ac:dyDescent="0.3">
      <c r="A2072" s="5" t="s">
        <v>2939</v>
      </c>
      <c r="B2072" s="11">
        <v>45395</v>
      </c>
      <c r="C2072" s="5" t="s">
        <v>209</v>
      </c>
      <c r="D2072" s="5" t="s">
        <v>54</v>
      </c>
      <c r="E2072" s="5" t="s">
        <v>21</v>
      </c>
      <c r="F2072" s="5">
        <v>1</v>
      </c>
      <c r="G2072" s="19">
        <v>0</v>
      </c>
      <c r="H2072" s="5" t="s">
        <v>637</v>
      </c>
      <c r="I2072" s="10">
        <f>IF(OR(D2072="", F2072=""), "", F2072 * VLOOKUP(D2072, Products!A:E, 5, FALSE) * (1 - G2072))</f>
        <v>1853.77</v>
      </c>
      <c r="J2072" s="10"/>
    </row>
    <row r="2073" spans="1:10" ht="15.75" customHeight="1" x14ac:dyDescent="0.3">
      <c r="A2073" s="5" t="s">
        <v>2940</v>
      </c>
      <c r="B2073" s="11">
        <v>45837</v>
      </c>
      <c r="C2073" s="5" t="s">
        <v>235</v>
      </c>
      <c r="D2073" s="5" t="s">
        <v>237</v>
      </c>
      <c r="E2073" s="5" t="s">
        <v>33</v>
      </c>
      <c r="F2073" s="5">
        <v>5</v>
      </c>
      <c r="G2073" s="19">
        <v>0</v>
      </c>
      <c r="H2073" s="5" t="s">
        <v>637</v>
      </c>
      <c r="I2073" s="10">
        <f>IF(OR(D2073="", F2073=""), "", F2073 * VLOOKUP(D2073, Products!A:E, 5, FALSE) * (1 - G2073))</f>
        <v>1834.65</v>
      </c>
      <c r="J2073" s="10"/>
    </row>
    <row r="2074" spans="1:10" ht="15.75" customHeight="1" x14ac:dyDescent="0.3">
      <c r="A2074" s="5" t="s">
        <v>2941</v>
      </c>
      <c r="B2074" s="11">
        <v>45271</v>
      </c>
      <c r="C2074" s="5" t="s">
        <v>641</v>
      </c>
      <c r="D2074" s="5" t="s">
        <v>188</v>
      </c>
      <c r="E2074" s="5" t="s">
        <v>37</v>
      </c>
      <c r="F2074" s="5">
        <v>1</v>
      </c>
      <c r="G2074" s="19">
        <v>0.1</v>
      </c>
      <c r="H2074" s="5" t="s">
        <v>637</v>
      </c>
      <c r="I2074" s="10">
        <f>IF(OR(D2074="", F2074=""), "", F2074 * VLOOKUP(D2074, Products!A:E, 5, FALSE) * (1 - G2074))</f>
        <v>1336.5450000000001</v>
      </c>
      <c r="J2074" s="10"/>
    </row>
    <row r="2075" spans="1:10" ht="15.75" customHeight="1" x14ac:dyDescent="0.3">
      <c r="A2075" s="5" t="s">
        <v>2942</v>
      </c>
      <c r="B2075" s="11">
        <v>45345</v>
      </c>
      <c r="C2075" s="5" t="s">
        <v>368</v>
      </c>
      <c r="D2075" s="5" t="s">
        <v>119</v>
      </c>
      <c r="E2075" s="5" t="s">
        <v>25</v>
      </c>
      <c r="F2075" s="5">
        <v>4</v>
      </c>
      <c r="G2075" s="19">
        <v>0.15</v>
      </c>
      <c r="H2075" s="5" t="s">
        <v>776</v>
      </c>
      <c r="I2075" s="10">
        <f>IF(OR(D2075="", F2075=""), "", F2075 * VLOOKUP(D2075, Products!A:E, 5, FALSE) * (1 - G2075))</f>
        <v>3671.6260000000002</v>
      </c>
      <c r="J2075" s="10"/>
    </row>
    <row r="2076" spans="1:10" ht="15.75" customHeight="1" x14ac:dyDescent="0.3">
      <c r="A2076" s="5" t="s">
        <v>2943</v>
      </c>
      <c r="B2076" s="11">
        <v>45328</v>
      </c>
      <c r="C2076" s="5" t="s">
        <v>353</v>
      </c>
      <c r="D2076" s="5" t="s">
        <v>67</v>
      </c>
      <c r="E2076" s="5" t="s">
        <v>33</v>
      </c>
      <c r="F2076" s="5">
        <v>1</v>
      </c>
      <c r="G2076" s="19">
        <v>0.1</v>
      </c>
      <c r="H2076" s="5" t="s">
        <v>637</v>
      </c>
      <c r="I2076" s="10">
        <f>IF(OR(D2076="", F2076=""), "", F2076 * VLOOKUP(D2076, Products!A:E, 5, FALSE) * (1 - G2076))</f>
        <v>98.802000000000007</v>
      </c>
      <c r="J2076" s="10"/>
    </row>
    <row r="2077" spans="1:10" ht="15.75" customHeight="1" x14ac:dyDescent="0.3">
      <c r="A2077" s="5" t="s">
        <v>2944</v>
      </c>
      <c r="B2077" s="11">
        <v>45295</v>
      </c>
      <c r="C2077" s="5" t="s">
        <v>560</v>
      </c>
      <c r="D2077" s="5" t="s">
        <v>74</v>
      </c>
      <c r="E2077" s="5" t="s">
        <v>33</v>
      </c>
      <c r="F2077" s="5">
        <v>1</v>
      </c>
      <c r="G2077" s="19">
        <v>0.1</v>
      </c>
      <c r="H2077" s="5" t="s">
        <v>697</v>
      </c>
      <c r="I2077" s="10">
        <f>IF(OR(D2077="", F2077=""), "", F2077 * VLOOKUP(D2077, Products!A:E, 5, FALSE) * (1 - G2077))</f>
        <v>1074.7079999999999</v>
      </c>
      <c r="J2077" s="10"/>
    </row>
    <row r="2078" spans="1:10" ht="15.75" customHeight="1" x14ac:dyDescent="0.3">
      <c r="A2078" s="5" t="s">
        <v>2945</v>
      </c>
      <c r="B2078" s="11">
        <v>45591</v>
      </c>
      <c r="C2078" s="5" t="s">
        <v>645</v>
      </c>
      <c r="D2078" s="5" t="s">
        <v>153</v>
      </c>
      <c r="E2078" s="5" t="s">
        <v>29</v>
      </c>
      <c r="F2078" s="5">
        <v>3</v>
      </c>
      <c r="G2078" s="19">
        <v>0.1</v>
      </c>
      <c r="H2078" s="5" t="s">
        <v>454</v>
      </c>
      <c r="I2078" s="10">
        <f>IF(OR(D2078="", F2078=""), "", F2078 * VLOOKUP(D2078, Products!A:E, 5, FALSE) * (1 - G2078))</f>
        <v>4016.0070000000005</v>
      </c>
      <c r="J2078" s="10"/>
    </row>
    <row r="2079" spans="1:10" ht="15.75" customHeight="1" x14ac:dyDescent="0.3">
      <c r="A2079" s="5" t="s">
        <v>2946</v>
      </c>
      <c r="B2079" s="11">
        <v>45458</v>
      </c>
      <c r="C2079" s="5" t="s">
        <v>563</v>
      </c>
      <c r="D2079" s="5" t="s">
        <v>70</v>
      </c>
      <c r="E2079" s="5" t="s">
        <v>25</v>
      </c>
      <c r="F2079" s="5">
        <v>1</v>
      </c>
      <c r="G2079" s="19">
        <v>0.15</v>
      </c>
      <c r="H2079" s="5" t="s">
        <v>776</v>
      </c>
      <c r="I2079" s="10">
        <f>IF(OR(D2079="", F2079=""), "", F2079 * VLOOKUP(D2079, Products!A:E, 5, FALSE) * (1 - G2079))</f>
        <v>104.7115</v>
      </c>
      <c r="J2079" s="10"/>
    </row>
    <row r="2080" spans="1:10" ht="15.75" customHeight="1" x14ac:dyDescent="0.3">
      <c r="A2080" s="5" t="s">
        <v>2947</v>
      </c>
      <c r="B2080" s="11">
        <v>45872</v>
      </c>
      <c r="C2080" s="5" t="s">
        <v>91</v>
      </c>
      <c r="D2080" s="5" t="s">
        <v>128</v>
      </c>
      <c r="E2080" s="5" t="s">
        <v>21</v>
      </c>
      <c r="F2080" s="5">
        <v>2</v>
      </c>
      <c r="G2080" s="19">
        <v>0.1</v>
      </c>
      <c r="H2080" s="5" t="s">
        <v>454</v>
      </c>
      <c r="I2080" s="10">
        <f>IF(OR(D2080="", F2080=""), "", F2080 * VLOOKUP(D2080, Products!A:E, 5, FALSE) * (1 - G2080))</f>
        <v>583.05600000000004</v>
      </c>
      <c r="J2080" s="10"/>
    </row>
    <row r="2081" spans="1:10" ht="15.75" customHeight="1" x14ac:dyDescent="0.3">
      <c r="A2081" s="5" t="s">
        <v>2948</v>
      </c>
      <c r="B2081" s="11">
        <v>45790</v>
      </c>
      <c r="C2081" s="5" t="s">
        <v>488</v>
      </c>
      <c r="D2081" s="5" t="s">
        <v>82</v>
      </c>
      <c r="E2081" s="5" t="s">
        <v>25</v>
      </c>
      <c r="F2081" s="5">
        <v>5</v>
      </c>
      <c r="G2081" s="19">
        <v>0.15</v>
      </c>
      <c r="H2081" s="5" t="s">
        <v>697</v>
      </c>
      <c r="I2081" s="10">
        <f>IF(OR(D2081="", F2081=""), "", F2081 * VLOOKUP(D2081, Products!A:E, 5, FALSE) * (1 - G2081))</f>
        <v>5070.6324999999997</v>
      </c>
      <c r="J2081" s="10"/>
    </row>
    <row r="2082" spans="1:10" ht="15.75" customHeight="1" x14ac:dyDescent="0.3">
      <c r="A2082" s="5" t="s">
        <v>2949</v>
      </c>
      <c r="B2082" s="11">
        <v>45591</v>
      </c>
      <c r="C2082" s="5" t="s">
        <v>691</v>
      </c>
      <c r="D2082" s="5" t="s">
        <v>291</v>
      </c>
      <c r="E2082" s="5" t="s">
        <v>33</v>
      </c>
      <c r="F2082" s="5">
        <v>2</v>
      </c>
      <c r="G2082" s="19">
        <v>0.15</v>
      </c>
      <c r="H2082" s="5" t="s">
        <v>776</v>
      </c>
      <c r="I2082" s="10">
        <f>IF(OR(D2082="", F2082=""), "", F2082 * VLOOKUP(D2082, Products!A:E, 5, FALSE) * (1 - G2082))</f>
        <v>1775.8880000000001</v>
      </c>
      <c r="J2082" s="10"/>
    </row>
    <row r="2083" spans="1:10" ht="15.75" customHeight="1" x14ac:dyDescent="0.3">
      <c r="A2083" s="5" t="s">
        <v>2950</v>
      </c>
      <c r="B2083" s="11">
        <v>45185</v>
      </c>
      <c r="C2083" s="5" t="s">
        <v>708</v>
      </c>
      <c r="D2083" s="5" t="s">
        <v>89</v>
      </c>
      <c r="E2083" s="5" t="s">
        <v>33</v>
      </c>
      <c r="F2083" s="5">
        <v>2</v>
      </c>
      <c r="G2083" s="19">
        <v>0.15</v>
      </c>
      <c r="H2083" s="5" t="s">
        <v>697</v>
      </c>
      <c r="I2083" s="10">
        <f>IF(OR(D2083="", F2083=""), "", F2083 * VLOOKUP(D2083, Products!A:E, 5, FALSE) * (1 - G2083))</f>
        <v>1929.1599999999999</v>
      </c>
      <c r="J2083" s="10"/>
    </row>
    <row r="2084" spans="1:10" ht="15.75" customHeight="1" x14ac:dyDescent="0.3">
      <c r="A2084" s="5" t="s">
        <v>2951</v>
      </c>
      <c r="B2084" s="11">
        <v>45816</v>
      </c>
      <c r="C2084" s="5" t="s">
        <v>554</v>
      </c>
      <c r="D2084" s="5" t="s">
        <v>180</v>
      </c>
      <c r="E2084" s="5" t="s">
        <v>29</v>
      </c>
      <c r="F2084" s="5">
        <v>5</v>
      </c>
      <c r="G2084" s="19">
        <v>0.05</v>
      </c>
      <c r="H2084" s="5" t="s">
        <v>637</v>
      </c>
      <c r="I2084" s="10">
        <f>IF(OR(D2084="", F2084=""), "", F2084 * VLOOKUP(D2084, Products!A:E, 5, FALSE) * (1 - G2084))</f>
        <v>3200.4549999999995</v>
      </c>
      <c r="J2084" s="10"/>
    </row>
    <row r="2085" spans="1:10" ht="15.75" customHeight="1" x14ac:dyDescent="0.3">
      <c r="A2085" s="5" t="s">
        <v>2952</v>
      </c>
      <c r="B2085" s="11">
        <v>45313</v>
      </c>
      <c r="C2085" s="5" t="s">
        <v>389</v>
      </c>
      <c r="D2085" s="5" t="s">
        <v>109</v>
      </c>
      <c r="E2085" s="5" t="s">
        <v>21</v>
      </c>
      <c r="F2085" s="5">
        <v>2</v>
      </c>
      <c r="G2085" s="19">
        <v>0</v>
      </c>
      <c r="H2085" s="5" t="s">
        <v>637</v>
      </c>
      <c r="I2085" s="10">
        <f>IF(OR(D2085="", F2085=""), "", F2085 * VLOOKUP(D2085, Products!A:E, 5, FALSE) * (1 - G2085))</f>
        <v>3717.5</v>
      </c>
      <c r="J2085" s="10"/>
    </row>
    <row r="2086" spans="1:10" ht="15.75" customHeight="1" x14ac:dyDescent="0.3">
      <c r="A2086" s="5" t="s">
        <v>2953</v>
      </c>
      <c r="B2086" s="11">
        <v>45723</v>
      </c>
      <c r="C2086" s="5" t="s">
        <v>865</v>
      </c>
      <c r="D2086" s="5" t="s">
        <v>285</v>
      </c>
      <c r="E2086" s="5" t="s">
        <v>29</v>
      </c>
      <c r="F2086" s="5">
        <v>5</v>
      </c>
      <c r="G2086" s="19">
        <v>0.05</v>
      </c>
      <c r="H2086" s="5" t="s">
        <v>454</v>
      </c>
      <c r="I2086" s="10">
        <f>IF(OR(D2086="", F2086=""), "", F2086 * VLOOKUP(D2086, Products!A:E, 5, FALSE) * (1 - G2086))</f>
        <v>1844.2349999999999</v>
      </c>
      <c r="J2086" s="10"/>
    </row>
    <row r="2087" spans="1:10" ht="15.75" customHeight="1" x14ac:dyDescent="0.3">
      <c r="A2087" s="5" t="s">
        <v>2954</v>
      </c>
      <c r="B2087" s="11">
        <v>45337</v>
      </c>
      <c r="C2087" s="5" t="s">
        <v>361</v>
      </c>
      <c r="D2087" s="5" t="s">
        <v>262</v>
      </c>
      <c r="E2087" s="5" t="s">
        <v>21</v>
      </c>
      <c r="F2087" s="5">
        <v>1</v>
      </c>
      <c r="G2087" s="19">
        <v>0</v>
      </c>
      <c r="H2087" s="5" t="s">
        <v>637</v>
      </c>
      <c r="I2087" s="10">
        <f>IF(OR(D2087="", F2087=""), "", F2087 * VLOOKUP(D2087, Products!A:E, 5, FALSE) * (1 - G2087))</f>
        <v>453.62</v>
      </c>
      <c r="J2087" s="10"/>
    </row>
    <row r="2088" spans="1:10" ht="15.75" customHeight="1" x14ac:dyDescent="0.3">
      <c r="A2088" s="5" t="s">
        <v>2955</v>
      </c>
      <c r="B2088" s="11">
        <v>45507</v>
      </c>
      <c r="C2088" s="5" t="s">
        <v>81</v>
      </c>
      <c r="D2088" s="5" t="s">
        <v>103</v>
      </c>
      <c r="E2088" s="5" t="s">
        <v>37</v>
      </c>
      <c r="F2088" s="5">
        <v>2</v>
      </c>
      <c r="G2088" s="19">
        <v>0</v>
      </c>
      <c r="H2088" s="5" t="s">
        <v>776</v>
      </c>
      <c r="I2088" s="10">
        <f>IF(OR(D2088="", F2088=""), "", F2088 * VLOOKUP(D2088, Products!A:E, 5, FALSE) * (1 - G2088))</f>
        <v>540.9</v>
      </c>
      <c r="J2088" s="10"/>
    </row>
    <row r="2089" spans="1:10" ht="15.75" customHeight="1" x14ac:dyDescent="0.3">
      <c r="A2089" s="5" t="s">
        <v>2956</v>
      </c>
      <c r="B2089" s="11">
        <v>45522</v>
      </c>
      <c r="C2089" s="5" t="s">
        <v>705</v>
      </c>
      <c r="D2089" s="5" t="s">
        <v>122</v>
      </c>
      <c r="E2089" s="5" t="s">
        <v>33</v>
      </c>
      <c r="F2089" s="5">
        <v>1</v>
      </c>
      <c r="G2089" s="19">
        <v>0.05</v>
      </c>
      <c r="H2089" s="5" t="s">
        <v>637</v>
      </c>
      <c r="I2089" s="10">
        <f>IF(OR(D2089="", F2089=""), "", F2089 * VLOOKUP(D2089, Products!A:E, 5, FALSE) * (1 - G2089))</f>
        <v>1674.7739999999999</v>
      </c>
      <c r="J2089" s="10"/>
    </row>
    <row r="2090" spans="1:10" ht="15.75" customHeight="1" x14ac:dyDescent="0.3">
      <c r="A2090" s="5" t="s">
        <v>2957</v>
      </c>
      <c r="B2090" s="11">
        <v>45596</v>
      </c>
      <c r="C2090" s="5" t="s">
        <v>755</v>
      </c>
      <c r="D2090" s="5" t="s">
        <v>200</v>
      </c>
      <c r="E2090" s="5" t="s">
        <v>29</v>
      </c>
      <c r="F2090" s="5">
        <v>2</v>
      </c>
      <c r="G2090" s="19">
        <v>0.05</v>
      </c>
      <c r="H2090" s="5" t="s">
        <v>697</v>
      </c>
      <c r="I2090" s="10">
        <f>IF(OR(D2090="", F2090=""), "", F2090 * VLOOKUP(D2090, Products!A:E, 5, FALSE) * (1 - G2090))</f>
        <v>2081.8679999999999</v>
      </c>
      <c r="J2090" s="10"/>
    </row>
    <row r="2091" spans="1:10" ht="15.75" customHeight="1" x14ac:dyDescent="0.3">
      <c r="A2091" s="5" t="s">
        <v>2958</v>
      </c>
      <c r="B2091" s="11">
        <v>45695</v>
      </c>
      <c r="C2091" s="5" t="s">
        <v>455</v>
      </c>
      <c r="D2091" s="5" t="s">
        <v>269</v>
      </c>
      <c r="E2091" s="5" t="s">
        <v>25</v>
      </c>
      <c r="F2091" s="5">
        <v>5</v>
      </c>
      <c r="G2091" s="19">
        <v>0.05</v>
      </c>
      <c r="H2091" s="5" t="s">
        <v>637</v>
      </c>
      <c r="I2091" s="10">
        <f>IF(OR(D2091="", F2091=""), "", F2091 * VLOOKUP(D2091, Products!A:E, 5, FALSE) * (1 - G2091))</f>
        <v>8925.6299999999992</v>
      </c>
      <c r="J2091" s="10"/>
    </row>
    <row r="2092" spans="1:10" ht="15.75" customHeight="1" x14ac:dyDescent="0.3">
      <c r="A2092" s="5" t="s">
        <v>2959</v>
      </c>
      <c r="B2092" s="11">
        <v>45787</v>
      </c>
      <c r="C2092" s="5" t="s">
        <v>872</v>
      </c>
      <c r="D2092" s="5" t="s">
        <v>237</v>
      </c>
      <c r="E2092" s="5" t="s">
        <v>29</v>
      </c>
      <c r="F2092" s="5">
        <v>1</v>
      </c>
      <c r="G2092" s="19">
        <v>0.1</v>
      </c>
      <c r="H2092" s="5" t="s">
        <v>776</v>
      </c>
      <c r="I2092" s="10">
        <f>IF(OR(D2092="", F2092=""), "", F2092 * VLOOKUP(D2092, Products!A:E, 5, FALSE) * (1 - G2092))</f>
        <v>330.23700000000002</v>
      </c>
      <c r="J2092" s="10"/>
    </row>
    <row r="2093" spans="1:10" ht="15.75" customHeight="1" x14ac:dyDescent="0.3">
      <c r="A2093" s="5" t="s">
        <v>2960</v>
      </c>
      <c r="B2093" s="11">
        <v>45877</v>
      </c>
      <c r="C2093" s="5" t="s">
        <v>296</v>
      </c>
      <c r="D2093" s="5" t="s">
        <v>291</v>
      </c>
      <c r="E2093" s="5" t="s">
        <v>21</v>
      </c>
      <c r="F2093" s="5">
        <v>5</v>
      </c>
      <c r="G2093" s="19">
        <v>0</v>
      </c>
      <c r="H2093" s="5" t="s">
        <v>776</v>
      </c>
      <c r="I2093" s="10">
        <f>IF(OR(D2093="", F2093=""), "", F2093 * VLOOKUP(D2093, Products!A:E, 5, FALSE) * (1 - G2093))</f>
        <v>5223.2000000000007</v>
      </c>
      <c r="J2093" s="10"/>
    </row>
    <row r="2094" spans="1:10" ht="15.75" customHeight="1" x14ac:dyDescent="0.3">
      <c r="A2094" s="5" t="s">
        <v>2961</v>
      </c>
      <c r="B2094" s="11">
        <v>45858</v>
      </c>
      <c r="C2094" s="5" t="s">
        <v>604</v>
      </c>
      <c r="D2094" s="5" t="s">
        <v>285</v>
      </c>
      <c r="E2094" s="5" t="s">
        <v>37</v>
      </c>
      <c r="F2094" s="5">
        <v>1</v>
      </c>
      <c r="G2094" s="19">
        <v>0</v>
      </c>
      <c r="H2094" s="5" t="s">
        <v>697</v>
      </c>
      <c r="I2094" s="10">
        <f>IF(OR(D2094="", F2094=""), "", F2094 * VLOOKUP(D2094, Products!A:E, 5, FALSE) * (1 - G2094))</f>
        <v>388.26</v>
      </c>
      <c r="J2094" s="10"/>
    </row>
    <row r="2095" spans="1:10" ht="15.75" customHeight="1" x14ac:dyDescent="0.3">
      <c r="A2095" s="5" t="s">
        <v>2962</v>
      </c>
      <c r="B2095" s="11">
        <v>45339</v>
      </c>
      <c r="C2095" s="5" t="s">
        <v>440</v>
      </c>
      <c r="D2095" s="5" t="s">
        <v>50</v>
      </c>
      <c r="E2095" s="5" t="s">
        <v>29</v>
      </c>
      <c r="F2095" s="5">
        <v>2</v>
      </c>
      <c r="G2095" s="19">
        <v>0</v>
      </c>
      <c r="H2095" s="5" t="s">
        <v>776</v>
      </c>
      <c r="I2095" s="10">
        <f>IF(OR(D2095="", F2095=""), "", F2095 * VLOOKUP(D2095, Products!A:E, 5, FALSE) * (1 - G2095))</f>
        <v>675.26</v>
      </c>
      <c r="J2095" s="10"/>
    </row>
    <row r="2096" spans="1:10" ht="15.75" customHeight="1" x14ac:dyDescent="0.3">
      <c r="A2096" s="5" t="s">
        <v>2963</v>
      </c>
      <c r="B2096" s="11">
        <v>45488</v>
      </c>
      <c r="C2096" s="5" t="s">
        <v>634</v>
      </c>
      <c r="D2096" s="5" t="s">
        <v>77</v>
      </c>
      <c r="E2096" s="5" t="s">
        <v>29</v>
      </c>
      <c r="F2096" s="5">
        <v>2</v>
      </c>
      <c r="G2096" s="19">
        <v>0.15</v>
      </c>
      <c r="H2096" s="5" t="s">
        <v>776</v>
      </c>
      <c r="I2096" s="10">
        <f>IF(OR(D2096="", F2096=""), "", F2096 * VLOOKUP(D2096, Products!A:E, 5, FALSE) * (1 - G2096))</f>
        <v>422.56899999999996</v>
      </c>
      <c r="J2096" s="10"/>
    </row>
    <row r="2097" spans="1:10" ht="15.75" customHeight="1" x14ac:dyDescent="0.3">
      <c r="A2097" s="5" t="s">
        <v>2964</v>
      </c>
      <c r="B2097" s="11">
        <v>45798</v>
      </c>
      <c r="C2097" s="5" t="s">
        <v>631</v>
      </c>
      <c r="D2097" s="5" t="s">
        <v>193</v>
      </c>
      <c r="E2097" s="5" t="s">
        <v>21</v>
      </c>
      <c r="F2097" s="5">
        <v>4</v>
      </c>
      <c r="G2097" s="19">
        <v>0</v>
      </c>
      <c r="H2097" s="5" t="s">
        <v>637</v>
      </c>
      <c r="I2097" s="10">
        <f>IF(OR(D2097="", F2097=""), "", F2097 * VLOOKUP(D2097, Products!A:E, 5, FALSE) * (1 - G2097))</f>
        <v>116.96</v>
      </c>
      <c r="J2097" s="10"/>
    </row>
    <row r="2098" spans="1:10" ht="15.75" customHeight="1" x14ac:dyDescent="0.3">
      <c r="A2098" s="5" t="s">
        <v>2965</v>
      </c>
      <c r="B2098" s="11">
        <v>45189</v>
      </c>
      <c r="C2098" s="5" t="s">
        <v>750</v>
      </c>
      <c r="D2098" s="5" t="s">
        <v>256</v>
      </c>
      <c r="E2098" s="5" t="s">
        <v>21</v>
      </c>
      <c r="F2098" s="5">
        <v>2</v>
      </c>
      <c r="G2098" s="19">
        <v>0.15</v>
      </c>
      <c r="H2098" s="5" t="s">
        <v>637</v>
      </c>
      <c r="I2098" s="10">
        <f>IF(OR(D2098="", F2098=""), "", F2098 * VLOOKUP(D2098, Products!A:E, 5, FALSE) * (1 - G2098))</f>
        <v>2779.5169999999998</v>
      </c>
      <c r="J2098" s="10"/>
    </row>
    <row r="2099" spans="1:10" ht="15.75" customHeight="1" x14ac:dyDescent="0.3">
      <c r="A2099" s="5" t="s">
        <v>2966</v>
      </c>
      <c r="B2099" s="11">
        <v>45240</v>
      </c>
      <c r="C2099" s="5" t="s">
        <v>470</v>
      </c>
      <c r="D2099" s="5" t="s">
        <v>140</v>
      </c>
      <c r="E2099" s="5" t="s">
        <v>33</v>
      </c>
      <c r="F2099" s="5">
        <v>2</v>
      </c>
      <c r="G2099" s="19">
        <v>0.05</v>
      </c>
      <c r="H2099" s="5" t="s">
        <v>454</v>
      </c>
      <c r="I2099" s="10">
        <f>IF(OR(D2099="", F2099=""), "", F2099 * VLOOKUP(D2099, Products!A:E, 5, FALSE) * (1 - G2099))</f>
        <v>48.582999999999998</v>
      </c>
      <c r="J2099" s="10"/>
    </row>
    <row r="2100" spans="1:10" ht="15.75" customHeight="1" x14ac:dyDescent="0.3">
      <c r="A2100" s="5" t="s">
        <v>2967</v>
      </c>
      <c r="B2100" s="11">
        <v>45546</v>
      </c>
      <c r="C2100" s="5" t="s">
        <v>81</v>
      </c>
      <c r="D2100" s="5" t="s">
        <v>272</v>
      </c>
      <c r="E2100" s="5" t="s">
        <v>25</v>
      </c>
      <c r="F2100" s="5">
        <v>5</v>
      </c>
      <c r="G2100" s="19">
        <v>0</v>
      </c>
      <c r="H2100" s="5" t="s">
        <v>776</v>
      </c>
      <c r="I2100" s="10">
        <f>IF(OR(D2100="", F2100=""), "", F2100 * VLOOKUP(D2100, Products!A:E, 5, FALSE) * (1 - G2100))</f>
        <v>5826.8499999999995</v>
      </c>
      <c r="J2100" s="10"/>
    </row>
    <row r="2101" spans="1:10" ht="15.75" customHeight="1" x14ac:dyDescent="0.3">
      <c r="A2101" s="5" t="s">
        <v>2968</v>
      </c>
      <c r="B2101" s="11">
        <v>45637</v>
      </c>
      <c r="C2101" s="5" t="s">
        <v>495</v>
      </c>
      <c r="D2101" s="5" t="s">
        <v>67</v>
      </c>
      <c r="E2101" s="5" t="s">
        <v>29</v>
      </c>
      <c r="F2101" s="5">
        <v>4</v>
      </c>
      <c r="G2101" s="19">
        <v>0</v>
      </c>
      <c r="H2101" s="5" t="s">
        <v>697</v>
      </c>
      <c r="I2101" s="10">
        <f>IF(OR(D2101="", F2101=""), "", F2101 * VLOOKUP(D2101, Products!A:E, 5, FALSE) * (1 - G2101))</f>
        <v>439.12</v>
      </c>
      <c r="J2101" s="10"/>
    </row>
    <row r="2102" spans="1:10" ht="15.75" customHeight="1" x14ac:dyDescent="0.3">
      <c r="A2102" s="5" t="s">
        <v>2969</v>
      </c>
      <c r="B2102" s="11">
        <v>45744</v>
      </c>
      <c r="C2102" s="5" t="s">
        <v>661</v>
      </c>
      <c r="D2102" s="5" t="s">
        <v>103</v>
      </c>
      <c r="E2102" s="5" t="s">
        <v>29</v>
      </c>
      <c r="F2102" s="5">
        <v>1</v>
      </c>
      <c r="G2102" s="19">
        <v>0.05</v>
      </c>
      <c r="H2102" s="5" t="s">
        <v>776</v>
      </c>
      <c r="I2102" s="10">
        <f>IF(OR(D2102="", F2102=""), "", F2102 * VLOOKUP(D2102, Products!A:E, 5, FALSE) * (1 - G2102))</f>
        <v>256.92749999999995</v>
      </c>
      <c r="J2102" s="10"/>
    </row>
    <row r="2103" spans="1:10" ht="15.75" customHeight="1" x14ac:dyDescent="0.3">
      <c r="A2103" s="5" t="s">
        <v>2970</v>
      </c>
      <c r="B2103" s="11">
        <v>45300</v>
      </c>
      <c r="C2103" s="5" t="s">
        <v>674</v>
      </c>
      <c r="D2103" s="5" t="s">
        <v>70</v>
      </c>
      <c r="E2103" s="5" t="s">
        <v>21</v>
      </c>
      <c r="F2103" s="5">
        <v>5</v>
      </c>
      <c r="G2103" s="19">
        <v>0.05</v>
      </c>
      <c r="H2103" s="5" t="s">
        <v>697</v>
      </c>
      <c r="I2103" s="10">
        <f>IF(OR(D2103="", F2103=""), "", F2103 * VLOOKUP(D2103, Products!A:E, 5, FALSE) * (1 - G2103))</f>
        <v>585.15250000000003</v>
      </c>
      <c r="J2103" s="10"/>
    </row>
    <row r="2104" spans="1:10" ht="15.75" customHeight="1" x14ac:dyDescent="0.3">
      <c r="A2104" s="5" t="s">
        <v>2971</v>
      </c>
      <c r="B2104" s="11">
        <v>45605</v>
      </c>
      <c r="C2104" s="5" t="s">
        <v>519</v>
      </c>
      <c r="D2104" s="5" t="s">
        <v>50</v>
      </c>
      <c r="E2104" s="5" t="s">
        <v>21</v>
      </c>
      <c r="F2104" s="5">
        <v>2</v>
      </c>
      <c r="G2104" s="19">
        <v>0</v>
      </c>
      <c r="H2104" s="5" t="s">
        <v>454</v>
      </c>
      <c r="I2104" s="10">
        <f>IF(OR(D2104="", F2104=""), "", F2104 * VLOOKUP(D2104, Products!A:E, 5, FALSE) * (1 - G2104))</f>
        <v>675.26</v>
      </c>
      <c r="J2104" s="10"/>
    </row>
    <row r="2105" spans="1:10" ht="15.75" customHeight="1" x14ac:dyDescent="0.3">
      <c r="A2105" s="5" t="s">
        <v>2972</v>
      </c>
      <c r="B2105" s="11">
        <v>45530</v>
      </c>
      <c r="C2105" s="5" t="s">
        <v>292</v>
      </c>
      <c r="D2105" s="5" t="s">
        <v>134</v>
      </c>
      <c r="E2105" s="5" t="s">
        <v>25</v>
      </c>
      <c r="F2105" s="5">
        <v>1</v>
      </c>
      <c r="G2105" s="19">
        <v>0.05</v>
      </c>
      <c r="H2105" s="5" t="s">
        <v>454</v>
      </c>
      <c r="I2105" s="10">
        <f>IF(OR(D2105="", F2105=""), "", F2105 * VLOOKUP(D2105, Products!A:E, 5, FALSE) * (1 - G2105))</f>
        <v>1165.8779999999999</v>
      </c>
      <c r="J2105" s="10"/>
    </row>
    <row r="2106" spans="1:10" ht="15.75" customHeight="1" x14ac:dyDescent="0.3">
      <c r="A2106" s="5" t="s">
        <v>2973</v>
      </c>
      <c r="B2106" s="11">
        <v>45761</v>
      </c>
      <c r="C2106" s="5" t="s">
        <v>433</v>
      </c>
      <c r="D2106" s="5" t="s">
        <v>249</v>
      </c>
      <c r="E2106" s="5" t="s">
        <v>33</v>
      </c>
      <c r="F2106" s="5">
        <v>2</v>
      </c>
      <c r="G2106" s="19">
        <v>0</v>
      </c>
      <c r="H2106" s="5" t="s">
        <v>454</v>
      </c>
      <c r="I2106" s="10">
        <f>IF(OR(D2106="", F2106=""), "", F2106 * VLOOKUP(D2106, Products!A:E, 5, FALSE) * (1 - G2106))</f>
        <v>3491.22</v>
      </c>
      <c r="J2106" s="10"/>
    </row>
    <row r="2107" spans="1:10" ht="15.75" customHeight="1" x14ac:dyDescent="0.3">
      <c r="A2107" s="5" t="s">
        <v>2974</v>
      </c>
      <c r="B2107" s="11">
        <v>45429</v>
      </c>
      <c r="C2107" s="5" t="s">
        <v>819</v>
      </c>
      <c r="D2107" s="5" t="s">
        <v>269</v>
      </c>
      <c r="E2107" s="5" t="s">
        <v>37</v>
      </c>
      <c r="F2107" s="5">
        <v>3</v>
      </c>
      <c r="G2107" s="19">
        <v>0.15</v>
      </c>
      <c r="H2107" s="5" t="s">
        <v>637</v>
      </c>
      <c r="I2107" s="10">
        <f>IF(OR(D2107="", F2107=""), "", F2107 * VLOOKUP(D2107, Products!A:E, 5, FALSE) * (1 - G2107))</f>
        <v>4791.6539999999995</v>
      </c>
      <c r="J2107" s="10"/>
    </row>
    <row r="2108" spans="1:10" ht="15.75" customHeight="1" x14ac:dyDescent="0.3">
      <c r="A2108" s="5" t="s">
        <v>2975</v>
      </c>
      <c r="B2108" s="11">
        <v>45642</v>
      </c>
      <c r="C2108" s="5" t="s">
        <v>583</v>
      </c>
      <c r="D2108" s="5" t="s">
        <v>140</v>
      </c>
      <c r="E2108" s="5" t="s">
        <v>37</v>
      </c>
      <c r="F2108" s="5">
        <v>4</v>
      </c>
      <c r="G2108" s="19">
        <v>0.05</v>
      </c>
      <c r="H2108" s="5" t="s">
        <v>454</v>
      </c>
      <c r="I2108" s="10">
        <f>IF(OR(D2108="", F2108=""), "", F2108 * VLOOKUP(D2108, Products!A:E, 5, FALSE) * (1 - G2108))</f>
        <v>97.165999999999997</v>
      </c>
      <c r="J2108" s="10"/>
    </row>
    <row r="2109" spans="1:10" ht="15.75" customHeight="1" x14ac:dyDescent="0.3">
      <c r="A2109" s="5" t="s">
        <v>2976</v>
      </c>
      <c r="B2109" s="11">
        <v>45832</v>
      </c>
      <c r="C2109" s="5" t="s">
        <v>330</v>
      </c>
      <c r="D2109" s="5" t="s">
        <v>206</v>
      </c>
      <c r="E2109" s="5" t="s">
        <v>25</v>
      </c>
      <c r="F2109" s="5">
        <v>3</v>
      </c>
      <c r="G2109" s="19">
        <v>0.15</v>
      </c>
      <c r="H2109" s="5" t="s">
        <v>776</v>
      </c>
      <c r="I2109" s="10">
        <f>IF(OR(D2109="", F2109=""), "", F2109 * VLOOKUP(D2109, Products!A:E, 5, FALSE) * (1 - G2109))</f>
        <v>777.01049999999987</v>
      </c>
      <c r="J2109" s="10"/>
    </row>
    <row r="2110" spans="1:10" ht="15.75" customHeight="1" x14ac:dyDescent="0.3">
      <c r="A2110" s="5" t="s">
        <v>2977</v>
      </c>
      <c r="B2110" s="11">
        <v>45625</v>
      </c>
      <c r="C2110" s="5" t="s">
        <v>715</v>
      </c>
      <c r="D2110" s="5" t="s">
        <v>140</v>
      </c>
      <c r="E2110" s="5" t="s">
        <v>37</v>
      </c>
      <c r="F2110" s="5">
        <v>3</v>
      </c>
      <c r="G2110" s="19">
        <v>0.05</v>
      </c>
      <c r="H2110" s="5" t="s">
        <v>697</v>
      </c>
      <c r="I2110" s="10">
        <f>IF(OR(D2110="", F2110=""), "", F2110 * VLOOKUP(D2110, Products!A:E, 5, FALSE) * (1 - G2110))</f>
        <v>72.874499999999998</v>
      </c>
      <c r="J2110" s="10"/>
    </row>
    <row r="2111" spans="1:10" ht="15.75" customHeight="1" x14ac:dyDescent="0.3">
      <c r="A2111" s="5" t="s">
        <v>2978</v>
      </c>
      <c r="B2111" s="11">
        <v>45765</v>
      </c>
      <c r="C2111" s="5" t="s">
        <v>829</v>
      </c>
      <c r="D2111" s="5" t="s">
        <v>70</v>
      </c>
      <c r="E2111" s="5" t="s">
        <v>33</v>
      </c>
      <c r="F2111" s="5">
        <v>4</v>
      </c>
      <c r="G2111" s="19">
        <v>0.15</v>
      </c>
      <c r="H2111" s="5" t="s">
        <v>637</v>
      </c>
      <c r="I2111" s="10">
        <f>IF(OR(D2111="", F2111=""), "", F2111 * VLOOKUP(D2111, Products!A:E, 5, FALSE) * (1 - G2111))</f>
        <v>418.846</v>
      </c>
      <c r="J2111" s="10"/>
    </row>
    <row r="2112" spans="1:10" ht="15.75" customHeight="1" x14ac:dyDescent="0.3">
      <c r="A2112" s="5" t="s">
        <v>2979</v>
      </c>
      <c r="B2112" s="11">
        <v>45669</v>
      </c>
      <c r="C2112" s="5" t="s">
        <v>724</v>
      </c>
      <c r="D2112" s="5" t="s">
        <v>82</v>
      </c>
      <c r="E2112" s="5" t="s">
        <v>29</v>
      </c>
      <c r="F2112" s="5">
        <v>3</v>
      </c>
      <c r="G2112" s="19">
        <v>0</v>
      </c>
      <c r="H2112" s="5" t="s">
        <v>637</v>
      </c>
      <c r="I2112" s="10">
        <f>IF(OR(D2112="", F2112=""), "", F2112 * VLOOKUP(D2112, Products!A:E, 5, FALSE) * (1 - G2112))</f>
        <v>3579.2699999999995</v>
      </c>
      <c r="J2112" s="10"/>
    </row>
    <row r="2113" spans="1:10" ht="15.75" customHeight="1" x14ac:dyDescent="0.3">
      <c r="A2113" s="5" t="s">
        <v>2980</v>
      </c>
      <c r="B2113" s="11">
        <v>45373</v>
      </c>
      <c r="C2113" s="5" t="s">
        <v>575</v>
      </c>
      <c r="D2113" s="5" t="s">
        <v>200</v>
      </c>
      <c r="E2113" s="5" t="s">
        <v>25</v>
      </c>
      <c r="F2113" s="5">
        <v>5</v>
      </c>
      <c r="G2113" s="19">
        <v>0.1</v>
      </c>
      <c r="H2113" s="5" t="s">
        <v>454</v>
      </c>
      <c r="I2113" s="10">
        <f>IF(OR(D2113="", F2113=""), "", F2113 * VLOOKUP(D2113, Products!A:E, 5, FALSE) * (1 - G2113))</f>
        <v>4930.7400000000007</v>
      </c>
      <c r="J2113" s="10"/>
    </row>
    <row r="2114" spans="1:10" ht="15.75" customHeight="1" x14ac:dyDescent="0.3">
      <c r="A2114" s="5" t="s">
        <v>2981</v>
      </c>
      <c r="B2114" s="11">
        <v>45759</v>
      </c>
      <c r="C2114" s="5" t="s">
        <v>752</v>
      </c>
      <c r="D2114" s="5" t="s">
        <v>67</v>
      </c>
      <c r="E2114" s="5" t="s">
        <v>21</v>
      </c>
      <c r="F2114" s="5">
        <v>4</v>
      </c>
      <c r="G2114" s="19">
        <v>0.05</v>
      </c>
      <c r="H2114" s="5" t="s">
        <v>776</v>
      </c>
      <c r="I2114" s="10">
        <f>IF(OR(D2114="", F2114=""), "", F2114 * VLOOKUP(D2114, Products!A:E, 5, FALSE) * (1 - G2114))</f>
        <v>417.16399999999999</v>
      </c>
      <c r="J2114" s="10"/>
    </row>
    <row r="2115" spans="1:10" ht="15.75" customHeight="1" x14ac:dyDescent="0.3">
      <c r="A2115" s="5" t="s">
        <v>2982</v>
      </c>
      <c r="B2115" s="11">
        <v>45249</v>
      </c>
      <c r="C2115" s="5" t="s">
        <v>649</v>
      </c>
      <c r="D2115" s="5" t="s">
        <v>217</v>
      </c>
      <c r="E2115" s="5" t="s">
        <v>29</v>
      </c>
      <c r="F2115" s="5">
        <v>5</v>
      </c>
      <c r="G2115" s="19">
        <v>0.15</v>
      </c>
      <c r="H2115" s="5" t="s">
        <v>454</v>
      </c>
      <c r="I2115" s="10">
        <f>IF(OR(D2115="", F2115=""), "", F2115 * VLOOKUP(D2115, Products!A:E, 5, FALSE) * (1 - G2115))</f>
        <v>1819.2124999999999</v>
      </c>
      <c r="J2115" s="10"/>
    </row>
    <row r="2116" spans="1:10" ht="15.75" customHeight="1" x14ac:dyDescent="0.3">
      <c r="A2116" s="5" t="s">
        <v>2983</v>
      </c>
      <c r="B2116" s="11">
        <v>45804</v>
      </c>
      <c r="C2116" s="5" t="s">
        <v>729</v>
      </c>
      <c r="D2116" s="5" t="s">
        <v>272</v>
      </c>
      <c r="E2116" s="5" t="s">
        <v>37</v>
      </c>
      <c r="F2116" s="5">
        <v>3</v>
      </c>
      <c r="G2116" s="19">
        <v>0.15</v>
      </c>
      <c r="H2116" s="5" t="s">
        <v>776</v>
      </c>
      <c r="I2116" s="10">
        <f>IF(OR(D2116="", F2116=""), "", F2116 * VLOOKUP(D2116, Products!A:E, 5, FALSE) * (1 - G2116))</f>
        <v>2971.6934999999999</v>
      </c>
      <c r="J2116" s="10"/>
    </row>
    <row r="2117" spans="1:10" ht="15.75" customHeight="1" x14ac:dyDescent="0.3">
      <c r="A2117" s="5" t="s">
        <v>2984</v>
      </c>
      <c r="B2117" s="11">
        <v>45441</v>
      </c>
      <c r="C2117" s="5" t="s">
        <v>250</v>
      </c>
      <c r="D2117" s="5" t="s">
        <v>82</v>
      </c>
      <c r="E2117" s="5" t="s">
        <v>25</v>
      </c>
      <c r="F2117" s="5">
        <v>3</v>
      </c>
      <c r="G2117" s="19">
        <v>0.15</v>
      </c>
      <c r="H2117" s="5" t="s">
        <v>697</v>
      </c>
      <c r="I2117" s="10">
        <f>IF(OR(D2117="", F2117=""), "", F2117 * VLOOKUP(D2117, Products!A:E, 5, FALSE) * (1 - G2117))</f>
        <v>3042.3794999999996</v>
      </c>
      <c r="J2117" s="10"/>
    </row>
    <row r="2118" spans="1:10" ht="15.75" customHeight="1" x14ac:dyDescent="0.3">
      <c r="A2118" s="5" t="s">
        <v>2985</v>
      </c>
      <c r="B2118" s="11">
        <v>45781</v>
      </c>
      <c r="C2118" s="5" t="s">
        <v>511</v>
      </c>
      <c r="D2118" s="5" t="s">
        <v>67</v>
      </c>
      <c r="E2118" s="5" t="s">
        <v>25</v>
      </c>
      <c r="F2118" s="5">
        <v>1</v>
      </c>
      <c r="G2118" s="19">
        <v>0.05</v>
      </c>
      <c r="H2118" s="5" t="s">
        <v>454</v>
      </c>
      <c r="I2118" s="10">
        <f>IF(OR(D2118="", F2118=""), "", F2118 * VLOOKUP(D2118, Products!A:E, 5, FALSE) * (1 - G2118))</f>
        <v>104.291</v>
      </c>
      <c r="J2118" s="10"/>
    </row>
    <row r="2119" spans="1:10" ht="15.75" customHeight="1" x14ac:dyDescent="0.3">
      <c r="A2119" s="5" t="s">
        <v>2986</v>
      </c>
      <c r="B2119" s="11">
        <v>45306</v>
      </c>
      <c r="C2119" s="5" t="s">
        <v>526</v>
      </c>
      <c r="D2119" s="5" t="s">
        <v>103</v>
      </c>
      <c r="E2119" s="5" t="s">
        <v>25</v>
      </c>
      <c r="F2119" s="5">
        <v>3</v>
      </c>
      <c r="G2119" s="19">
        <v>0</v>
      </c>
      <c r="H2119" s="5" t="s">
        <v>776</v>
      </c>
      <c r="I2119" s="10">
        <f>IF(OR(D2119="", F2119=""), "", F2119 * VLOOKUP(D2119, Products!A:E, 5, FALSE) * (1 - G2119))</f>
        <v>811.34999999999991</v>
      </c>
      <c r="J2119" s="10"/>
    </row>
    <row r="2120" spans="1:10" ht="15.75" customHeight="1" x14ac:dyDescent="0.3">
      <c r="A2120" s="5" t="s">
        <v>2987</v>
      </c>
      <c r="B2120" s="11">
        <v>45511</v>
      </c>
      <c r="C2120" s="5" t="s">
        <v>474</v>
      </c>
      <c r="D2120" s="5" t="s">
        <v>193</v>
      </c>
      <c r="E2120" s="5" t="s">
        <v>21</v>
      </c>
      <c r="F2120" s="5">
        <v>3</v>
      </c>
      <c r="G2120" s="19">
        <v>0.05</v>
      </c>
      <c r="H2120" s="5" t="s">
        <v>637</v>
      </c>
      <c r="I2120" s="10">
        <f>IF(OR(D2120="", F2120=""), "", F2120 * VLOOKUP(D2120, Products!A:E, 5, FALSE) * (1 - G2120))</f>
        <v>83.333999999999989</v>
      </c>
      <c r="J2120" s="10"/>
    </row>
    <row r="2121" spans="1:10" ht="15.75" customHeight="1" x14ac:dyDescent="0.3">
      <c r="A2121" s="5" t="s">
        <v>2988</v>
      </c>
      <c r="B2121" s="11">
        <v>45186</v>
      </c>
      <c r="C2121" s="5" t="s">
        <v>703</v>
      </c>
      <c r="D2121" s="5" t="s">
        <v>291</v>
      </c>
      <c r="E2121" s="5" t="s">
        <v>29</v>
      </c>
      <c r="F2121" s="5">
        <v>2</v>
      </c>
      <c r="G2121" s="19">
        <v>0</v>
      </c>
      <c r="H2121" s="5" t="s">
        <v>637</v>
      </c>
      <c r="I2121" s="10">
        <f>IF(OR(D2121="", F2121=""), "", F2121 * VLOOKUP(D2121, Products!A:E, 5, FALSE) * (1 - G2121))</f>
        <v>2089.2800000000002</v>
      </c>
      <c r="J2121" s="10"/>
    </row>
    <row r="2122" spans="1:10" ht="15.75" customHeight="1" x14ac:dyDescent="0.3">
      <c r="A2122" s="5" t="s">
        <v>2989</v>
      </c>
      <c r="B2122" s="11">
        <v>45222</v>
      </c>
      <c r="C2122" s="5" t="s">
        <v>440</v>
      </c>
      <c r="D2122" s="5" t="s">
        <v>262</v>
      </c>
      <c r="E2122" s="5" t="s">
        <v>37</v>
      </c>
      <c r="F2122" s="5">
        <v>2</v>
      </c>
      <c r="G2122" s="19">
        <v>0.05</v>
      </c>
      <c r="H2122" s="5" t="s">
        <v>776</v>
      </c>
      <c r="I2122" s="10">
        <f>IF(OR(D2122="", F2122=""), "", F2122 * VLOOKUP(D2122, Products!A:E, 5, FALSE) * (1 - G2122))</f>
        <v>861.87799999999993</v>
      </c>
      <c r="J2122" s="10"/>
    </row>
    <row r="2123" spans="1:10" ht="15.75" customHeight="1" x14ac:dyDescent="0.3">
      <c r="A2123" s="5" t="s">
        <v>2990</v>
      </c>
      <c r="B2123" s="11">
        <v>45396</v>
      </c>
      <c r="C2123" s="5" t="s">
        <v>695</v>
      </c>
      <c r="D2123" s="5" t="s">
        <v>237</v>
      </c>
      <c r="E2123" s="5" t="s">
        <v>29</v>
      </c>
      <c r="F2123" s="5">
        <v>5</v>
      </c>
      <c r="G2123" s="19">
        <v>0</v>
      </c>
      <c r="H2123" s="5" t="s">
        <v>637</v>
      </c>
      <c r="I2123" s="10">
        <f>IF(OR(D2123="", F2123=""), "", F2123 * VLOOKUP(D2123, Products!A:E, 5, FALSE) * (1 - G2123))</f>
        <v>1834.65</v>
      </c>
      <c r="J2123" s="10"/>
    </row>
    <row r="2124" spans="1:10" ht="15.75" customHeight="1" x14ac:dyDescent="0.3">
      <c r="A2124" s="5" t="s">
        <v>2991</v>
      </c>
      <c r="B2124" s="11">
        <v>45846</v>
      </c>
      <c r="C2124" s="5" t="s">
        <v>795</v>
      </c>
      <c r="D2124" s="5" t="s">
        <v>54</v>
      </c>
      <c r="E2124" s="5" t="s">
        <v>33</v>
      </c>
      <c r="F2124" s="5">
        <v>3</v>
      </c>
      <c r="G2124" s="19">
        <v>0.1</v>
      </c>
      <c r="H2124" s="5" t="s">
        <v>697</v>
      </c>
      <c r="I2124" s="10">
        <f>IF(OR(D2124="", F2124=""), "", F2124 * VLOOKUP(D2124, Products!A:E, 5, FALSE) * (1 - G2124))</f>
        <v>5005.1790000000001</v>
      </c>
      <c r="J2124" s="10"/>
    </row>
    <row r="2125" spans="1:10" ht="15.75" customHeight="1" x14ac:dyDescent="0.3">
      <c r="A2125" s="5" t="s">
        <v>2992</v>
      </c>
      <c r="B2125" s="11">
        <v>45592</v>
      </c>
      <c r="C2125" s="5" t="s">
        <v>353</v>
      </c>
      <c r="D2125" s="5" t="s">
        <v>103</v>
      </c>
      <c r="E2125" s="5" t="s">
        <v>21</v>
      </c>
      <c r="F2125" s="5">
        <v>4</v>
      </c>
      <c r="G2125" s="19">
        <v>0.15</v>
      </c>
      <c r="H2125" s="5" t="s">
        <v>776</v>
      </c>
      <c r="I2125" s="10">
        <f>IF(OR(D2125="", F2125=""), "", F2125 * VLOOKUP(D2125, Products!A:E, 5, FALSE) * (1 - G2125))</f>
        <v>919.53</v>
      </c>
      <c r="J2125" s="10"/>
    </row>
    <row r="2126" spans="1:10" ht="15.75" customHeight="1" x14ac:dyDescent="0.3">
      <c r="A2126" s="5" t="s">
        <v>2993</v>
      </c>
      <c r="B2126" s="11">
        <v>45325</v>
      </c>
      <c r="C2126" s="5" t="s">
        <v>433</v>
      </c>
      <c r="D2126" s="5" t="s">
        <v>119</v>
      </c>
      <c r="E2126" s="5" t="s">
        <v>33</v>
      </c>
      <c r="F2126" s="5">
        <v>1</v>
      </c>
      <c r="G2126" s="19">
        <v>0</v>
      </c>
      <c r="H2126" s="5" t="s">
        <v>637</v>
      </c>
      <c r="I2126" s="10">
        <f>IF(OR(D2126="", F2126=""), "", F2126 * VLOOKUP(D2126, Products!A:E, 5, FALSE) * (1 - G2126))</f>
        <v>1079.8900000000001</v>
      </c>
      <c r="J2126" s="10"/>
    </row>
    <row r="2127" spans="1:10" ht="15.75" customHeight="1" x14ac:dyDescent="0.3">
      <c r="A2127" s="5" t="s">
        <v>2994</v>
      </c>
      <c r="B2127" s="11">
        <v>45794</v>
      </c>
      <c r="C2127" s="5" t="s">
        <v>326</v>
      </c>
      <c r="D2127" s="5" t="s">
        <v>61</v>
      </c>
      <c r="E2127" s="5" t="s">
        <v>37</v>
      </c>
      <c r="F2127" s="5">
        <v>3</v>
      </c>
      <c r="G2127" s="19">
        <v>0.15</v>
      </c>
      <c r="H2127" s="5" t="s">
        <v>697</v>
      </c>
      <c r="I2127" s="10">
        <f>IF(OR(D2127="", F2127=""), "", F2127 * VLOOKUP(D2127, Products!A:E, 5, FALSE) * (1 - G2127))</f>
        <v>811.02750000000003</v>
      </c>
      <c r="J2127" s="10"/>
    </row>
    <row r="2128" spans="1:10" ht="15.75" customHeight="1" x14ac:dyDescent="0.3">
      <c r="A2128" s="5" t="s">
        <v>2995</v>
      </c>
      <c r="B2128" s="11">
        <v>45766</v>
      </c>
      <c r="C2128" s="5" t="s">
        <v>708</v>
      </c>
      <c r="D2128" s="5" t="s">
        <v>103</v>
      </c>
      <c r="E2128" s="5" t="s">
        <v>21</v>
      </c>
      <c r="F2128" s="5">
        <v>3</v>
      </c>
      <c r="G2128" s="19">
        <v>0</v>
      </c>
      <c r="H2128" s="5" t="s">
        <v>776</v>
      </c>
      <c r="I2128" s="10">
        <f>IF(OR(D2128="", F2128=""), "", F2128 * VLOOKUP(D2128, Products!A:E, 5, FALSE) * (1 - G2128))</f>
        <v>811.34999999999991</v>
      </c>
      <c r="J2128" s="10"/>
    </row>
    <row r="2129" spans="1:10" ht="15.75" customHeight="1" x14ac:dyDescent="0.3">
      <c r="A2129" s="5" t="s">
        <v>2996</v>
      </c>
      <c r="B2129" s="11">
        <v>45646</v>
      </c>
      <c r="C2129" s="5" t="s">
        <v>608</v>
      </c>
      <c r="D2129" s="5" t="s">
        <v>232</v>
      </c>
      <c r="E2129" s="5" t="s">
        <v>29</v>
      </c>
      <c r="F2129" s="5">
        <v>2</v>
      </c>
      <c r="G2129" s="19">
        <v>0.15</v>
      </c>
      <c r="H2129" s="5" t="s">
        <v>776</v>
      </c>
      <c r="I2129" s="10">
        <f>IF(OR(D2129="", F2129=""), "", F2129 * VLOOKUP(D2129, Products!A:E, 5, FALSE) * (1 - G2129))</f>
        <v>3319.5050000000001</v>
      </c>
      <c r="J2129" s="10"/>
    </row>
    <row r="2130" spans="1:10" ht="15.75" customHeight="1" x14ac:dyDescent="0.3">
      <c r="A2130" s="5" t="s">
        <v>2997</v>
      </c>
      <c r="B2130" s="11">
        <v>45778</v>
      </c>
      <c r="C2130" s="5" t="s">
        <v>671</v>
      </c>
      <c r="D2130" s="5" t="s">
        <v>61</v>
      </c>
      <c r="E2130" s="5" t="s">
        <v>37</v>
      </c>
      <c r="F2130" s="5">
        <v>1</v>
      </c>
      <c r="G2130" s="19">
        <v>0.1</v>
      </c>
      <c r="H2130" s="5" t="s">
        <v>776</v>
      </c>
      <c r="I2130" s="10">
        <f>IF(OR(D2130="", F2130=""), "", F2130 * VLOOKUP(D2130, Products!A:E, 5, FALSE) * (1 - G2130))</f>
        <v>286.245</v>
      </c>
      <c r="J2130" s="10"/>
    </row>
    <row r="2131" spans="1:10" ht="15.75" customHeight="1" x14ac:dyDescent="0.3">
      <c r="A2131" s="5" t="s">
        <v>2998</v>
      </c>
      <c r="B2131" s="11">
        <v>45741</v>
      </c>
      <c r="C2131" s="5" t="s">
        <v>181</v>
      </c>
      <c r="D2131" s="5" t="s">
        <v>122</v>
      </c>
      <c r="E2131" s="5" t="s">
        <v>33</v>
      </c>
      <c r="F2131" s="5">
        <v>1</v>
      </c>
      <c r="G2131" s="19">
        <v>0.15</v>
      </c>
      <c r="H2131" s="5" t="s">
        <v>454</v>
      </c>
      <c r="I2131" s="10">
        <f>IF(OR(D2131="", F2131=""), "", F2131 * VLOOKUP(D2131, Products!A:E, 5, FALSE) * (1 - G2131))</f>
        <v>1498.482</v>
      </c>
      <c r="J2131" s="10"/>
    </row>
    <row r="2132" spans="1:10" ht="15.75" customHeight="1" x14ac:dyDescent="0.3">
      <c r="A2132" s="5" t="s">
        <v>2999</v>
      </c>
      <c r="B2132" s="11">
        <v>45895</v>
      </c>
      <c r="C2132" s="5" t="s">
        <v>433</v>
      </c>
      <c r="D2132" s="5" t="s">
        <v>272</v>
      </c>
      <c r="E2132" s="5" t="s">
        <v>29</v>
      </c>
      <c r="F2132" s="5">
        <v>3</v>
      </c>
      <c r="G2132" s="19">
        <v>0.15</v>
      </c>
      <c r="H2132" s="5" t="s">
        <v>776</v>
      </c>
      <c r="I2132" s="10">
        <f>IF(OR(D2132="", F2132=""), "", F2132 * VLOOKUP(D2132, Products!A:E, 5, FALSE) * (1 - G2132))</f>
        <v>2971.6934999999999</v>
      </c>
      <c r="J2132" s="10"/>
    </row>
    <row r="2133" spans="1:10" ht="15.75" customHeight="1" x14ac:dyDescent="0.3">
      <c r="A2133" s="5" t="s">
        <v>3000</v>
      </c>
      <c r="B2133" s="11">
        <v>45458</v>
      </c>
      <c r="C2133" s="5" t="s">
        <v>691</v>
      </c>
      <c r="D2133" s="5" t="s">
        <v>221</v>
      </c>
      <c r="E2133" s="5" t="s">
        <v>29</v>
      </c>
      <c r="F2133" s="5">
        <v>4</v>
      </c>
      <c r="G2133" s="19">
        <v>0</v>
      </c>
      <c r="H2133" s="5" t="s">
        <v>637</v>
      </c>
      <c r="I2133" s="10">
        <f>IF(OR(D2133="", F2133=""), "", F2133 * VLOOKUP(D2133, Products!A:E, 5, FALSE) * (1 - G2133))</f>
        <v>6249.72</v>
      </c>
      <c r="J2133" s="10"/>
    </row>
    <row r="2134" spans="1:10" ht="15.75" customHeight="1" x14ac:dyDescent="0.3">
      <c r="A2134" s="5" t="s">
        <v>3001</v>
      </c>
      <c r="B2134" s="11">
        <v>45596</v>
      </c>
      <c r="C2134" s="5" t="s">
        <v>455</v>
      </c>
      <c r="D2134" s="5" t="s">
        <v>226</v>
      </c>
      <c r="E2134" s="5" t="s">
        <v>33</v>
      </c>
      <c r="F2134" s="5">
        <v>4</v>
      </c>
      <c r="G2134" s="19">
        <v>0</v>
      </c>
      <c r="H2134" s="5" t="s">
        <v>454</v>
      </c>
      <c r="I2134" s="10">
        <f>IF(OR(D2134="", F2134=""), "", F2134 * VLOOKUP(D2134, Products!A:E, 5, FALSE) * (1 - G2134))</f>
        <v>6005.84</v>
      </c>
      <c r="J2134" s="10"/>
    </row>
    <row r="2135" spans="1:10" ht="15.75" customHeight="1" x14ac:dyDescent="0.3">
      <c r="A2135" s="5" t="s">
        <v>3002</v>
      </c>
      <c r="B2135" s="11">
        <v>45419</v>
      </c>
      <c r="C2135" s="5" t="s">
        <v>744</v>
      </c>
      <c r="D2135" s="5" t="s">
        <v>285</v>
      </c>
      <c r="E2135" s="5" t="s">
        <v>21</v>
      </c>
      <c r="F2135" s="5">
        <v>1</v>
      </c>
      <c r="G2135" s="19">
        <v>0.05</v>
      </c>
      <c r="H2135" s="5" t="s">
        <v>776</v>
      </c>
      <c r="I2135" s="10">
        <f>IF(OR(D2135="", F2135=""), "", F2135 * VLOOKUP(D2135, Products!A:E, 5, FALSE) * (1 - G2135))</f>
        <v>368.84699999999998</v>
      </c>
      <c r="J2135" s="10"/>
    </row>
    <row r="2136" spans="1:10" ht="15.75" customHeight="1" x14ac:dyDescent="0.3">
      <c r="A2136" s="5" t="s">
        <v>3003</v>
      </c>
      <c r="B2136" s="11">
        <v>45594</v>
      </c>
      <c r="C2136" s="5" t="s">
        <v>81</v>
      </c>
      <c r="D2136" s="5" t="s">
        <v>206</v>
      </c>
      <c r="E2136" s="5" t="s">
        <v>25</v>
      </c>
      <c r="F2136" s="5">
        <v>1</v>
      </c>
      <c r="G2136" s="19">
        <v>0.1</v>
      </c>
      <c r="H2136" s="5" t="s">
        <v>637</v>
      </c>
      <c r="I2136" s="10">
        <f>IF(OR(D2136="", F2136=""), "", F2136 * VLOOKUP(D2136, Products!A:E, 5, FALSE) * (1 - G2136))</f>
        <v>274.23899999999998</v>
      </c>
      <c r="J2136" s="10"/>
    </row>
    <row r="2137" spans="1:10" ht="15.75" customHeight="1" x14ac:dyDescent="0.3">
      <c r="A2137" s="5" t="s">
        <v>3004</v>
      </c>
      <c r="B2137" s="11">
        <v>45329</v>
      </c>
      <c r="C2137" s="5" t="s">
        <v>380</v>
      </c>
      <c r="D2137" s="5" t="s">
        <v>119</v>
      </c>
      <c r="E2137" s="5" t="s">
        <v>25</v>
      </c>
      <c r="F2137" s="5">
        <v>1</v>
      </c>
      <c r="G2137" s="19">
        <v>0.05</v>
      </c>
      <c r="H2137" s="5" t="s">
        <v>454</v>
      </c>
      <c r="I2137" s="10">
        <f>IF(OR(D2137="", F2137=""), "", F2137 * VLOOKUP(D2137, Products!A:E, 5, FALSE) * (1 - G2137))</f>
        <v>1025.8955000000001</v>
      </c>
      <c r="J2137" s="10"/>
    </row>
    <row r="2138" spans="1:10" ht="15.75" customHeight="1" x14ac:dyDescent="0.3">
      <c r="A2138" s="5" t="s">
        <v>3005</v>
      </c>
      <c r="B2138" s="11">
        <v>45471</v>
      </c>
      <c r="C2138" s="5" t="s">
        <v>674</v>
      </c>
      <c r="D2138" s="5" t="s">
        <v>128</v>
      </c>
      <c r="E2138" s="5" t="s">
        <v>21</v>
      </c>
      <c r="F2138" s="5">
        <v>1</v>
      </c>
      <c r="G2138" s="19">
        <v>0.1</v>
      </c>
      <c r="H2138" s="5" t="s">
        <v>776</v>
      </c>
      <c r="I2138" s="10">
        <f>IF(OR(D2138="", F2138=""), "", F2138 * VLOOKUP(D2138, Products!A:E, 5, FALSE) * (1 - G2138))</f>
        <v>291.52800000000002</v>
      </c>
      <c r="J2138" s="10"/>
    </row>
    <row r="2139" spans="1:10" ht="15.75" customHeight="1" x14ac:dyDescent="0.3">
      <c r="A2139" s="5" t="s">
        <v>3006</v>
      </c>
      <c r="B2139" s="11">
        <v>45311</v>
      </c>
      <c r="C2139" s="5" t="s">
        <v>245</v>
      </c>
      <c r="D2139" s="5" t="s">
        <v>232</v>
      </c>
      <c r="E2139" s="5" t="s">
        <v>21</v>
      </c>
      <c r="F2139" s="5">
        <v>3</v>
      </c>
      <c r="G2139" s="19">
        <v>0</v>
      </c>
      <c r="H2139" s="5" t="s">
        <v>454</v>
      </c>
      <c r="I2139" s="10">
        <f>IF(OR(D2139="", F2139=""), "", F2139 * VLOOKUP(D2139, Products!A:E, 5, FALSE) * (1 - G2139))</f>
        <v>5857.9500000000007</v>
      </c>
      <c r="J2139" s="10"/>
    </row>
    <row r="2140" spans="1:10" ht="15.75" customHeight="1" x14ac:dyDescent="0.3">
      <c r="A2140" s="5" t="s">
        <v>3007</v>
      </c>
      <c r="B2140" s="11">
        <v>45772</v>
      </c>
      <c r="C2140" s="5" t="s">
        <v>484</v>
      </c>
      <c r="D2140" s="5" t="s">
        <v>140</v>
      </c>
      <c r="E2140" s="5" t="s">
        <v>37</v>
      </c>
      <c r="F2140" s="5">
        <v>4</v>
      </c>
      <c r="G2140" s="19">
        <v>0.1</v>
      </c>
      <c r="H2140" s="5" t="s">
        <v>697</v>
      </c>
      <c r="I2140" s="10">
        <f>IF(OR(D2140="", F2140=""), "", F2140 * VLOOKUP(D2140, Products!A:E, 5, FALSE) * (1 - G2140))</f>
        <v>92.052000000000007</v>
      </c>
      <c r="J2140" s="10"/>
    </row>
    <row r="2141" spans="1:10" ht="15.75" customHeight="1" x14ac:dyDescent="0.3">
      <c r="A2141" s="5" t="s">
        <v>3008</v>
      </c>
      <c r="B2141" s="11">
        <v>45866</v>
      </c>
      <c r="C2141" s="5" t="s">
        <v>292</v>
      </c>
      <c r="D2141" s="5" t="s">
        <v>54</v>
      </c>
      <c r="E2141" s="5" t="s">
        <v>37</v>
      </c>
      <c r="F2141" s="5">
        <v>4</v>
      </c>
      <c r="G2141" s="19">
        <v>0</v>
      </c>
      <c r="H2141" s="5" t="s">
        <v>697</v>
      </c>
      <c r="I2141" s="10">
        <f>IF(OR(D2141="", F2141=""), "", F2141 * VLOOKUP(D2141, Products!A:E, 5, FALSE) * (1 - G2141))</f>
        <v>7415.08</v>
      </c>
      <c r="J2141" s="10"/>
    </row>
    <row r="2142" spans="1:10" ht="15.75" customHeight="1" x14ac:dyDescent="0.3">
      <c r="A2142" s="5" t="s">
        <v>3009</v>
      </c>
      <c r="B2142" s="11">
        <v>45265</v>
      </c>
      <c r="C2142" s="5" t="s">
        <v>474</v>
      </c>
      <c r="D2142" s="5" t="s">
        <v>217</v>
      </c>
      <c r="E2142" s="5" t="s">
        <v>25</v>
      </c>
      <c r="F2142" s="5">
        <v>5</v>
      </c>
      <c r="G2142" s="19">
        <v>0.15</v>
      </c>
      <c r="H2142" s="5" t="s">
        <v>637</v>
      </c>
      <c r="I2142" s="10">
        <f>IF(OR(D2142="", F2142=""), "", F2142 * VLOOKUP(D2142, Products!A:E, 5, FALSE) * (1 - G2142))</f>
        <v>1819.2124999999999</v>
      </c>
      <c r="J2142" s="10"/>
    </row>
    <row r="2143" spans="1:10" ht="15.75" customHeight="1" x14ac:dyDescent="0.3">
      <c r="A2143" s="5" t="s">
        <v>3010</v>
      </c>
      <c r="B2143" s="11">
        <v>45726</v>
      </c>
      <c r="C2143" s="5" t="s">
        <v>786</v>
      </c>
      <c r="D2143" s="5" t="s">
        <v>262</v>
      </c>
      <c r="E2143" s="5" t="s">
        <v>21</v>
      </c>
      <c r="F2143" s="5">
        <v>5</v>
      </c>
      <c r="G2143" s="19">
        <v>0.05</v>
      </c>
      <c r="H2143" s="5" t="s">
        <v>637</v>
      </c>
      <c r="I2143" s="10">
        <f>IF(OR(D2143="", F2143=""), "", F2143 * VLOOKUP(D2143, Products!A:E, 5, FALSE) * (1 - G2143))</f>
        <v>2154.6949999999997</v>
      </c>
      <c r="J2143" s="10"/>
    </row>
    <row r="2144" spans="1:10" ht="15.75" customHeight="1" x14ac:dyDescent="0.3">
      <c r="A2144" s="5" t="s">
        <v>3011</v>
      </c>
      <c r="B2144" s="11">
        <v>45838</v>
      </c>
      <c r="C2144" s="5" t="s">
        <v>779</v>
      </c>
      <c r="D2144" s="5" t="s">
        <v>221</v>
      </c>
      <c r="E2144" s="5" t="s">
        <v>33</v>
      </c>
      <c r="F2144" s="5">
        <v>3</v>
      </c>
      <c r="G2144" s="19">
        <v>0.1</v>
      </c>
      <c r="H2144" s="5" t="s">
        <v>637</v>
      </c>
      <c r="I2144" s="10">
        <f>IF(OR(D2144="", F2144=""), "", F2144 * VLOOKUP(D2144, Products!A:E, 5, FALSE) * (1 - G2144))</f>
        <v>4218.5609999999997</v>
      </c>
      <c r="J2144" s="10"/>
    </row>
    <row r="2145" spans="1:10" ht="15.75" customHeight="1" x14ac:dyDescent="0.3">
      <c r="A2145" s="5" t="s">
        <v>3012</v>
      </c>
      <c r="B2145" s="11">
        <v>45843</v>
      </c>
      <c r="C2145" s="5" t="s">
        <v>380</v>
      </c>
      <c r="D2145" s="5" t="s">
        <v>82</v>
      </c>
      <c r="E2145" s="5" t="s">
        <v>21</v>
      </c>
      <c r="F2145" s="5">
        <v>3</v>
      </c>
      <c r="G2145" s="19">
        <v>0.1</v>
      </c>
      <c r="H2145" s="5" t="s">
        <v>776</v>
      </c>
      <c r="I2145" s="10">
        <f>IF(OR(D2145="", F2145=""), "", F2145 * VLOOKUP(D2145, Products!A:E, 5, FALSE) * (1 - G2145))</f>
        <v>3221.3429999999998</v>
      </c>
      <c r="J2145" s="10"/>
    </row>
    <row r="2146" spans="1:10" ht="15.75" customHeight="1" x14ac:dyDescent="0.3">
      <c r="A2146" s="5" t="s">
        <v>3013</v>
      </c>
      <c r="B2146" s="11">
        <v>45743</v>
      </c>
      <c r="C2146" s="5" t="s">
        <v>507</v>
      </c>
      <c r="D2146" s="5" t="s">
        <v>77</v>
      </c>
      <c r="E2146" s="5" t="s">
        <v>37</v>
      </c>
      <c r="F2146" s="5">
        <v>2</v>
      </c>
      <c r="G2146" s="19">
        <v>0.05</v>
      </c>
      <c r="H2146" s="5" t="s">
        <v>776</v>
      </c>
      <c r="I2146" s="10">
        <f>IF(OR(D2146="", F2146=""), "", F2146 * VLOOKUP(D2146, Products!A:E, 5, FALSE) * (1 - G2146))</f>
        <v>472.28299999999996</v>
      </c>
      <c r="J2146" s="10"/>
    </row>
    <row r="2147" spans="1:10" ht="15.75" customHeight="1" x14ac:dyDescent="0.3">
      <c r="A2147" s="5" t="s">
        <v>3014</v>
      </c>
      <c r="B2147" s="11">
        <v>45489</v>
      </c>
      <c r="C2147" s="5" t="s">
        <v>191</v>
      </c>
      <c r="D2147" s="5" t="s">
        <v>256</v>
      </c>
      <c r="E2147" s="5" t="s">
        <v>33</v>
      </c>
      <c r="F2147" s="5">
        <v>1</v>
      </c>
      <c r="G2147" s="19">
        <v>0.05</v>
      </c>
      <c r="H2147" s="5" t="s">
        <v>776</v>
      </c>
      <c r="I2147" s="10">
        <f>IF(OR(D2147="", F2147=""), "", F2147 * VLOOKUP(D2147, Products!A:E, 5, FALSE) * (1 - G2147))</f>
        <v>1553.2594999999999</v>
      </c>
      <c r="J2147" s="10"/>
    </row>
    <row r="2148" spans="1:10" ht="15.75" customHeight="1" x14ac:dyDescent="0.3">
      <c r="A2148" s="5" t="s">
        <v>3015</v>
      </c>
      <c r="B2148" s="11">
        <v>45205</v>
      </c>
      <c r="C2148" s="5" t="s">
        <v>786</v>
      </c>
      <c r="D2148" s="5" t="s">
        <v>291</v>
      </c>
      <c r="E2148" s="5" t="s">
        <v>25</v>
      </c>
      <c r="F2148" s="5">
        <v>4</v>
      </c>
      <c r="G2148" s="19">
        <v>0.15</v>
      </c>
      <c r="H2148" s="5" t="s">
        <v>697</v>
      </c>
      <c r="I2148" s="10">
        <f>IF(OR(D2148="", F2148=""), "", F2148 * VLOOKUP(D2148, Products!A:E, 5, FALSE) * (1 - G2148))</f>
        <v>3551.7760000000003</v>
      </c>
      <c r="J2148" s="10"/>
    </row>
    <row r="2149" spans="1:10" ht="15.75" customHeight="1" x14ac:dyDescent="0.3">
      <c r="A2149" s="5" t="s">
        <v>3016</v>
      </c>
      <c r="B2149" s="11">
        <v>45830</v>
      </c>
      <c r="C2149" s="5" t="s">
        <v>628</v>
      </c>
      <c r="D2149" s="5" t="s">
        <v>115</v>
      </c>
      <c r="E2149" s="5" t="s">
        <v>21</v>
      </c>
      <c r="F2149" s="5">
        <v>3</v>
      </c>
      <c r="G2149" s="19">
        <v>0.05</v>
      </c>
      <c r="H2149" s="5" t="s">
        <v>454</v>
      </c>
      <c r="I2149" s="10">
        <f>IF(OR(D2149="", F2149=""), "", F2149 * VLOOKUP(D2149, Products!A:E, 5, FALSE) * (1 - G2149))</f>
        <v>3551.4134999999997</v>
      </c>
      <c r="J2149" s="10"/>
    </row>
    <row r="2150" spans="1:10" ht="15.75" customHeight="1" x14ac:dyDescent="0.3">
      <c r="A2150" s="5" t="s">
        <v>3017</v>
      </c>
      <c r="B2150" s="11">
        <v>45315</v>
      </c>
      <c r="C2150" s="5" t="s">
        <v>862</v>
      </c>
      <c r="D2150" s="5" t="s">
        <v>82</v>
      </c>
      <c r="E2150" s="5" t="s">
        <v>29</v>
      </c>
      <c r="F2150" s="5">
        <v>4</v>
      </c>
      <c r="G2150" s="19">
        <v>0.05</v>
      </c>
      <c r="H2150" s="5" t="s">
        <v>776</v>
      </c>
      <c r="I2150" s="10">
        <f>IF(OR(D2150="", F2150=""), "", F2150 * VLOOKUP(D2150, Products!A:E, 5, FALSE) * (1 - G2150))</f>
        <v>4533.7419999999993</v>
      </c>
      <c r="J2150" s="10"/>
    </row>
    <row r="2151" spans="1:10" ht="15.75" customHeight="1" x14ac:dyDescent="0.3">
      <c r="A2151" s="5" t="s">
        <v>3018</v>
      </c>
      <c r="B2151" s="11">
        <v>45416</v>
      </c>
      <c r="C2151" s="5" t="s">
        <v>281</v>
      </c>
      <c r="D2151" s="5" t="s">
        <v>226</v>
      </c>
      <c r="E2151" s="5" t="s">
        <v>25</v>
      </c>
      <c r="F2151" s="5">
        <v>3</v>
      </c>
      <c r="G2151" s="19">
        <v>0.15</v>
      </c>
      <c r="H2151" s="5" t="s">
        <v>637</v>
      </c>
      <c r="I2151" s="10">
        <f>IF(OR(D2151="", F2151=""), "", F2151 * VLOOKUP(D2151, Products!A:E, 5, FALSE) * (1 - G2151))</f>
        <v>3828.723</v>
      </c>
      <c r="J2151" s="10"/>
    </row>
    <row r="2152" spans="1:10" ht="15.75" customHeight="1" x14ac:dyDescent="0.3">
      <c r="A2152" s="5" t="s">
        <v>3019</v>
      </c>
      <c r="B2152" s="11">
        <v>45706</v>
      </c>
      <c r="C2152" s="5" t="s">
        <v>744</v>
      </c>
      <c r="D2152" s="5" t="s">
        <v>67</v>
      </c>
      <c r="E2152" s="5" t="s">
        <v>37</v>
      </c>
      <c r="F2152" s="5">
        <v>2</v>
      </c>
      <c r="G2152" s="19">
        <v>0.15</v>
      </c>
      <c r="H2152" s="5" t="s">
        <v>697</v>
      </c>
      <c r="I2152" s="10">
        <f>IF(OR(D2152="", F2152=""), "", F2152 * VLOOKUP(D2152, Products!A:E, 5, FALSE) * (1 - G2152))</f>
        <v>186.626</v>
      </c>
      <c r="J2152" s="10"/>
    </row>
    <row r="2153" spans="1:10" ht="15.75" customHeight="1" x14ac:dyDescent="0.3">
      <c r="A2153" s="5" t="s">
        <v>3020</v>
      </c>
      <c r="B2153" s="11">
        <v>45613</v>
      </c>
      <c r="C2153" s="5" t="s">
        <v>181</v>
      </c>
      <c r="D2153" s="5" t="s">
        <v>109</v>
      </c>
      <c r="E2153" s="5" t="s">
        <v>29</v>
      </c>
      <c r="F2153" s="5">
        <v>4</v>
      </c>
      <c r="G2153" s="19">
        <v>0.05</v>
      </c>
      <c r="H2153" s="5" t="s">
        <v>454</v>
      </c>
      <c r="I2153" s="10">
        <f>IF(OR(D2153="", F2153=""), "", F2153 * VLOOKUP(D2153, Products!A:E, 5, FALSE) * (1 - G2153))</f>
        <v>7063.25</v>
      </c>
      <c r="J2153" s="10"/>
    </row>
    <row r="2154" spans="1:10" ht="15.75" customHeight="1" x14ac:dyDescent="0.3">
      <c r="A2154" s="5" t="s">
        <v>3021</v>
      </c>
      <c r="B2154" s="11">
        <v>45192</v>
      </c>
      <c r="C2154" s="5" t="s">
        <v>708</v>
      </c>
      <c r="D2154" s="5" t="s">
        <v>226</v>
      </c>
      <c r="E2154" s="5" t="s">
        <v>21</v>
      </c>
      <c r="F2154" s="5">
        <v>2</v>
      </c>
      <c r="G2154" s="19">
        <v>0.15</v>
      </c>
      <c r="H2154" s="5" t="s">
        <v>776</v>
      </c>
      <c r="I2154" s="10">
        <f>IF(OR(D2154="", F2154=""), "", F2154 * VLOOKUP(D2154, Products!A:E, 5, FALSE) * (1 - G2154))</f>
        <v>2552.482</v>
      </c>
      <c r="J2154" s="10"/>
    </row>
    <row r="2155" spans="1:10" ht="15.75" customHeight="1" x14ac:dyDescent="0.3">
      <c r="A2155" s="5" t="s">
        <v>3022</v>
      </c>
      <c r="B2155" s="11">
        <v>45711</v>
      </c>
      <c r="C2155" s="5" t="s">
        <v>850</v>
      </c>
      <c r="D2155" s="5" t="s">
        <v>243</v>
      </c>
      <c r="E2155" s="5" t="s">
        <v>21</v>
      </c>
      <c r="F2155" s="5">
        <v>2</v>
      </c>
      <c r="G2155" s="19">
        <v>0</v>
      </c>
      <c r="H2155" s="5" t="s">
        <v>637</v>
      </c>
      <c r="I2155" s="10">
        <f>IF(OR(D2155="", F2155=""), "", F2155 * VLOOKUP(D2155, Products!A:E, 5, FALSE) * (1 - G2155))</f>
        <v>1081.8800000000001</v>
      </c>
      <c r="J2155" s="10"/>
    </row>
    <row r="2156" spans="1:10" ht="15.75" customHeight="1" x14ac:dyDescent="0.3">
      <c r="A2156" s="5" t="s">
        <v>3023</v>
      </c>
      <c r="B2156" s="11">
        <v>45896</v>
      </c>
      <c r="C2156" s="5" t="s">
        <v>342</v>
      </c>
      <c r="D2156" s="5" t="s">
        <v>162</v>
      </c>
      <c r="E2156" s="5" t="s">
        <v>29</v>
      </c>
      <c r="F2156" s="5">
        <v>1</v>
      </c>
      <c r="G2156" s="19">
        <v>0.15</v>
      </c>
      <c r="H2156" s="5" t="s">
        <v>637</v>
      </c>
      <c r="I2156" s="10">
        <f>IF(OR(D2156="", F2156=""), "", F2156 * VLOOKUP(D2156, Products!A:E, 5, FALSE) * (1 - G2156))</f>
        <v>364.77749999999997</v>
      </c>
      <c r="J2156" s="10"/>
    </row>
    <row r="2157" spans="1:10" ht="15.75" customHeight="1" x14ac:dyDescent="0.3">
      <c r="A2157" s="5" t="s">
        <v>3024</v>
      </c>
      <c r="B2157" s="11">
        <v>45675</v>
      </c>
      <c r="C2157" s="5" t="s">
        <v>507</v>
      </c>
      <c r="D2157" s="5" t="s">
        <v>103</v>
      </c>
      <c r="E2157" s="5" t="s">
        <v>29</v>
      </c>
      <c r="F2157" s="5">
        <v>1</v>
      </c>
      <c r="G2157" s="19">
        <v>0</v>
      </c>
      <c r="H2157" s="5" t="s">
        <v>454</v>
      </c>
      <c r="I2157" s="10">
        <f>IF(OR(D2157="", F2157=""), "", F2157 * VLOOKUP(D2157, Products!A:E, 5, FALSE) * (1 - G2157))</f>
        <v>270.45</v>
      </c>
      <c r="J2157" s="10"/>
    </row>
    <row r="2158" spans="1:10" ht="15.75" customHeight="1" x14ac:dyDescent="0.3">
      <c r="A2158" s="5" t="s">
        <v>3025</v>
      </c>
      <c r="B2158" s="11">
        <v>45738</v>
      </c>
      <c r="C2158" s="5" t="s">
        <v>579</v>
      </c>
      <c r="D2158" s="5" t="s">
        <v>276</v>
      </c>
      <c r="E2158" s="5" t="s">
        <v>25</v>
      </c>
      <c r="F2158" s="5">
        <v>2</v>
      </c>
      <c r="G2158" s="19">
        <v>0.15</v>
      </c>
      <c r="H2158" s="5" t="s">
        <v>637</v>
      </c>
      <c r="I2158" s="10">
        <f>IF(OR(D2158="", F2158=""), "", F2158 * VLOOKUP(D2158, Products!A:E, 5, FALSE) * (1 - G2158))</f>
        <v>2035.2060000000001</v>
      </c>
      <c r="J2158" s="10"/>
    </row>
    <row r="2159" spans="1:10" ht="15.75" customHeight="1" x14ac:dyDescent="0.3">
      <c r="A2159" s="5" t="s">
        <v>3026</v>
      </c>
      <c r="B2159" s="11">
        <v>45647</v>
      </c>
      <c r="C2159" s="5" t="s">
        <v>649</v>
      </c>
      <c r="D2159" s="5" t="s">
        <v>285</v>
      </c>
      <c r="E2159" s="5" t="s">
        <v>29</v>
      </c>
      <c r="F2159" s="5">
        <v>1</v>
      </c>
      <c r="G2159" s="19">
        <v>0.15</v>
      </c>
      <c r="H2159" s="5" t="s">
        <v>454</v>
      </c>
      <c r="I2159" s="10">
        <f>IF(OR(D2159="", F2159=""), "", F2159 * VLOOKUP(D2159, Products!A:E, 5, FALSE) * (1 - G2159))</f>
        <v>330.02099999999996</v>
      </c>
      <c r="J2159" s="10"/>
    </row>
    <row r="2160" spans="1:10" ht="15.75" customHeight="1" x14ac:dyDescent="0.3">
      <c r="A2160" s="5" t="s">
        <v>3027</v>
      </c>
      <c r="B2160" s="11">
        <v>45823</v>
      </c>
      <c r="C2160" s="5" t="s">
        <v>522</v>
      </c>
      <c r="D2160" s="5" t="s">
        <v>280</v>
      </c>
      <c r="E2160" s="5" t="s">
        <v>21</v>
      </c>
      <c r="F2160" s="5">
        <v>1</v>
      </c>
      <c r="G2160" s="19">
        <v>0.15</v>
      </c>
      <c r="H2160" s="5" t="s">
        <v>637</v>
      </c>
      <c r="I2160" s="10">
        <f>IF(OR(D2160="", F2160=""), "", F2160 * VLOOKUP(D2160, Products!A:E, 5, FALSE) * (1 - G2160))</f>
        <v>1033.9059999999999</v>
      </c>
      <c r="J2160" s="10"/>
    </row>
    <row r="2161" spans="1:10" ht="15.75" customHeight="1" x14ac:dyDescent="0.3">
      <c r="A2161" s="5" t="s">
        <v>3028</v>
      </c>
      <c r="B2161" s="11">
        <v>45257</v>
      </c>
      <c r="C2161" s="5" t="s">
        <v>350</v>
      </c>
      <c r="D2161" s="5" t="s">
        <v>291</v>
      </c>
      <c r="E2161" s="5" t="s">
        <v>29</v>
      </c>
      <c r="F2161" s="5">
        <v>2</v>
      </c>
      <c r="G2161" s="19">
        <v>0.15</v>
      </c>
      <c r="H2161" s="5" t="s">
        <v>697</v>
      </c>
      <c r="I2161" s="10">
        <f>IF(OR(D2161="", F2161=""), "", F2161 * VLOOKUP(D2161, Products!A:E, 5, FALSE) * (1 - G2161))</f>
        <v>1775.8880000000001</v>
      </c>
      <c r="J2161" s="10"/>
    </row>
    <row r="2162" spans="1:10" ht="15.75" customHeight="1" x14ac:dyDescent="0.3">
      <c r="A2162" s="5" t="s">
        <v>3029</v>
      </c>
      <c r="B2162" s="11">
        <v>45581</v>
      </c>
      <c r="C2162" s="5" t="s">
        <v>724</v>
      </c>
      <c r="D2162" s="5" t="s">
        <v>153</v>
      </c>
      <c r="E2162" s="5" t="s">
        <v>29</v>
      </c>
      <c r="F2162" s="5">
        <v>5</v>
      </c>
      <c r="G2162" s="19">
        <v>0.15</v>
      </c>
      <c r="H2162" s="5" t="s">
        <v>637</v>
      </c>
      <c r="I2162" s="10">
        <f>IF(OR(D2162="", F2162=""), "", F2162 * VLOOKUP(D2162, Products!A:E, 5, FALSE) * (1 - G2162))</f>
        <v>6321.4925000000003</v>
      </c>
      <c r="J2162" s="10"/>
    </row>
    <row r="2163" spans="1:10" ht="15.75" customHeight="1" x14ac:dyDescent="0.3">
      <c r="A2163" s="5" t="s">
        <v>3030</v>
      </c>
      <c r="B2163" s="11">
        <v>45889</v>
      </c>
      <c r="C2163" s="5" t="s">
        <v>240</v>
      </c>
      <c r="D2163" s="5" t="s">
        <v>162</v>
      </c>
      <c r="E2163" s="5" t="s">
        <v>21</v>
      </c>
      <c r="F2163" s="5">
        <v>2</v>
      </c>
      <c r="G2163" s="19">
        <v>0</v>
      </c>
      <c r="H2163" s="5" t="s">
        <v>697</v>
      </c>
      <c r="I2163" s="10">
        <f>IF(OR(D2163="", F2163=""), "", F2163 * VLOOKUP(D2163, Products!A:E, 5, FALSE) * (1 - G2163))</f>
        <v>858.3</v>
      </c>
      <c r="J2163" s="10"/>
    </row>
    <row r="2164" spans="1:10" ht="15.75" customHeight="1" x14ac:dyDescent="0.3">
      <c r="A2164" s="5" t="s">
        <v>3031</v>
      </c>
      <c r="B2164" s="11">
        <v>45629</v>
      </c>
      <c r="C2164" s="5" t="s">
        <v>250</v>
      </c>
      <c r="D2164" s="5" t="s">
        <v>115</v>
      </c>
      <c r="E2164" s="5" t="s">
        <v>21</v>
      </c>
      <c r="F2164" s="5">
        <v>1</v>
      </c>
      <c r="G2164" s="19">
        <v>0.1</v>
      </c>
      <c r="H2164" s="5" t="s">
        <v>697</v>
      </c>
      <c r="I2164" s="10">
        <f>IF(OR(D2164="", F2164=""), "", F2164 * VLOOKUP(D2164, Products!A:E, 5, FALSE) * (1 - G2164))</f>
        <v>1121.499</v>
      </c>
      <c r="J2164" s="10"/>
    </row>
    <row r="2165" spans="1:10" ht="15.75" customHeight="1" x14ac:dyDescent="0.3">
      <c r="A2165" s="5" t="s">
        <v>3032</v>
      </c>
      <c r="B2165" s="11">
        <v>45295</v>
      </c>
      <c r="C2165" s="5" t="s">
        <v>177</v>
      </c>
      <c r="D2165" s="5" t="s">
        <v>43</v>
      </c>
      <c r="E2165" s="5" t="s">
        <v>37</v>
      </c>
      <c r="F2165" s="5">
        <v>1</v>
      </c>
      <c r="G2165" s="19">
        <v>0.1</v>
      </c>
      <c r="H2165" s="5" t="s">
        <v>697</v>
      </c>
      <c r="I2165" s="10">
        <f>IF(OR(D2165="", F2165=""), "", F2165 * VLOOKUP(D2165, Products!A:E, 5, FALSE) * (1 - G2165))</f>
        <v>1506.3210000000001</v>
      </c>
      <c r="J2165" s="10"/>
    </row>
    <row r="2166" spans="1:10" ht="15.75" customHeight="1" x14ac:dyDescent="0.3">
      <c r="A2166" s="5" t="s">
        <v>3033</v>
      </c>
      <c r="B2166" s="11">
        <v>45660</v>
      </c>
      <c r="C2166" s="5" t="s">
        <v>744</v>
      </c>
      <c r="D2166" s="5" t="s">
        <v>89</v>
      </c>
      <c r="E2166" s="5" t="s">
        <v>33</v>
      </c>
      <c r="F2166" s="5">
        <v>4</v>
      </c>
      <c r="G2166" s="19">
        <v>0.15</v>
      </c>
      <c r="H2166" s="5" t="s">
        <v>776</v>
      </c>
      <c r="I2166" s="10">
        <f>IF(OR(D2166="", F2166=""), "", F2166 * VLOOKUP(D2166, Products!A:E, 5, FALSE) * (1 - G2166))</f>
        <v>3858.3199999999997</v>
      </c>
      <c r="J2166" s="10"/>
    </row>
    <row r="2167" spans="1:10" ht="15.75" customHeight="1" x14ac:dyDescent="0.3">
      <c r="A2167" s="5" t="s">
        <v>3034</v>
      </c>
      <c r="B2167" s="11">
        <v>45819</v>
      </c>
      <c r="C2167" s="5" t="s">
        <v>376</v>
      </c>
      <c r="D2167" s="5" t="s">
        <v>77</v>
      </c>
      <c r="E2167" s="5" t="s">
        <v>29</v>
      </c>
      <c r="F2167" s="5">
        <v>4</v>
      </c>
      <c r="G2167" s="19">
        <v>0.05</v>
      </c>
      <c r="H2167" s="5" t="s">
        <v>697</v>
      </c>
      <c r="I2167" s="10">
        <f>IF(OR(D2167="", F2167=""), "", F2167 * VLOOKUP(D2167, Products!A:E, 5, FALSE) * (1 - G2167))</f>
        <v>944.56599999999992</v>
      </c>
      <c r="J2167" s="10"/>
    </row>
    <row r="2168" spans="1:10" ht="15.75" customHeight="1" x14ac:dyDescent="0.3">
      <c r="A2168" s="5" t="s">
        <v>3035</v>
      </c>
      <c r="B2168" s="11">
        <v>45362</v>
      </c>
      <c r="C2168" s="5" t="s">
        <v>361</v>
      </c>
      <c r="D2168" s="5" t="s">
        <v>200</v>
      </c>
      <c r="E2168" s="5" t="s">
        <v>29</v>
      </c>
      <c r="F2168" s="5">
        <v>3</v>
      </c>
      <c r="G2168" s="19">
        <v>0.1</v>
      </c>
      <c r="H2168" s="5" t="s">
        <v>776</v>
      </c>
      <c r="I2168" s="10">
        <f>IF(OR(D2168="", F2168=""), "", F2168 * VLOOKUP(D2168, Products!A:E, 5, FALSE) * (1 - G2168))</f>
        <v>2958.444</v>
      </c>
      <c r="J2168" s="10"/>
    </row>
    <row r="2169" spans="1:10" ht="15.75" customHeight="1" x14ac:dyDescent="0.3">
      <c r="A2169" s="5" t="s">
        <v>3036</v>
      </c>
      <c r="B2169" s="11">
        <v>45477</v>
      </c>
      <c r="C2169" s="5" t="s">
        <v>223</v>
      </c>
      <c r="D2169" s="5" t="s">
        <v>57</v>
      </c>
      <c r="E2169" s="5" t="s">
        <v>25</v>
      </c>
      <c r="F2169" s="5">
        <v>5</v>
      </c>
      <c r="G2169" s="19">
        <v>0.15</v>
      </c>
      <c r="H2169" s="5" t="s">
        <v>454</v>
      </c>
      <c r="I2169" s="10">
        <f>IF(OR(D2169="", F2169=""), "", F2169 * VLOOKUP(D2169, Products!A:E, 5, FALSE) * (1 - G2169))</f>
        <v>5933.9350000000004</v>
      </c>
      <c r="J2169" s="10"/>
    </row>
    <row r="2170" spans="1:10" ht="15.75" customHeight="1" x14ac:dyDescent="0.3">
      <c r="A2170" s="5" t="s">
        <v>3037</v>
      </c>
      <c r="B2170" s="11">
        <v>45232</v>
      </c>
      <c r="C2170" s="5" t="s">
        <v>802</v>
      </c>
      <c r="D2170" s="5" t="s">
        <v>280</v>
      </c>
      <c r="E2170" s="5" t="s">
        <v>25</v>
      </c>
      <c r="F2170" s="5">
        <v>2</v>
      </c>
      <c r="G2170" s="19">
        <v>0.1</v>
      </c>
      <c r="H2170" s="5" t="s">
        <v>776</v>
      </c>
      <c r="I2170" s="10">
        <f>IF(OR(D2170="", F2170=""), "", F2170 * VLOOKUP(D2170, Products!A:E, 5, FALSE) * (1 - G2170))</f>
        <v>2189.4479999999999</v>
      </c>
      <c r="J2170" s="10"/>
    </row>
    <row r="2171" spans="1:10" ht="15.75" customHeight="1" x14ac:dyDescent="0.3">
      <c r="A2171" s="5" t="s">
        <v>3038</v>
      </c>
      <c r="B2171" s="11">
        <v>45500</v>
      </c>
      <c r="C2171" s="5" t="s">
        <v>322</v>
      </c>
      <c r="D2171" s="5" t="s">
        <v>217</v>
      </c>
      <c r="E2171" s="5" t="s">
        <v>25</v>
      </c>
      <c r="F2171" s="5">
        <v>3</v>
      </c>
      <c r="G2171" s="19">
        <v>0.15</v>
      </c>
      <c r="H2171" s="5" t="s">
        <v>697</v>
      </c>
      <c r="I2171" s="10">
        <f>IF(OR(D2171="", F2171=""), "", F2171 * VLOOKUP(D2171, Products!A:E, 5, FALSE) * (1 - G2171))</f>
        <v>1091.5275000000001</v>
      </c>
      <c r="J2171" s="10"/>
    </row>
    <row r="2172" spans="1:10" ht="15.75" customHeight="1" x14ac:dyDescent="0.3">
      <c r="A2172" s="5" t="s">
        <v>3039</v>
      </c>
      <c r="B2172" s="11">
        <v>45685</v>
      </c>
      <c r="C2172" s="5" t="s">
        <v>91</v>
      </c>
      <c r="D2172" s="5" t="s">
        <v>180</v>
      </c>
      <c r="E2172" s="5" t="s">
        <v>33</v>
      </c>
      <c r="F2172" s="5">
        <v>4</v>
      </c>
      <c r="G2172" s="19">
        <v>0.1</v>
      </c>
      <c r="H2172" s="5" t="s">
        <v>776</v>
      </c>
      <c r="I2172" s="10">
        <f>IF(OR(D2172="", F2172=""), "", F2172 * VLOOKUP(D2172, Products!A:E, 5, FALSE) * (1 - G2172))</f>
        <v>2425.6080000000002</v>
      </c>
      <c r="J2172" s="10"/>
    </row>
    <row r="2173" spans="1:10" ht="15.75" customHeight="1" x14ac:dyDescent="0.3">
      <c r="A2173" s="5" t="s">
        <v>3040</v>
      </c>
      <c r="B2173" s="11">
        <v>45437</v>
      </c>
      <c r="C2173" s="5" t="s">
        <v>334</v>
      </c>
      <c r="D2173" s="5" t="s">
        <v>122</v>
      </c>
      <c r="E2173" s="5" t="s">
        <v>29</v>
      </c>
      <c r="F2173" s="5">
        <v>1</v>
      </c>
      <c r="G2173" s="19">
        <v>0.05</v>
      </c>
      <c r="H2173" s="5" t="s">
        <v>776</v>
      </c>
      <c r="I2173" s="10">
        <f>IF(OR(D2173="", F2173=""), "", F2173 * VLOOKUP(D2173, Products!A:E, 5, FALSE) * (1 - G2173))</f>
        <v>1674.7739999999999</v>
      </c>
      <c r="J2173" s="10"/>
    </row>
    <row r="2174" spans="1:10" ht="15.75" customHeight="1" x14ac:dyDescent="0.3">
      <c r="A2174" s="5" t="s">
        <v>3041</v>
      </c>
      <c r="B2174" s="11">
        <v>45592</v>
      </c>
      <c r="C2174" s="5" t="s">
        <v>724</v>
      </c>
      <c r="D2174" s="5" t="s">
        <v>153</v>
      </c>
      <c r="E2174" s="5" t="s">
        <v>29</v>
      </c>
      <c r="F2174" s="5">
        <v>4</v>
      </c>
      <c r="G2174" s="19">
        <v>0</v>
      </c>
      <c r="H2174" s="5" t="s">
        <v>637</v>
      </c>
      <c r="I2174" s="10">
        <f>IF(OR(D2174="", F2174=""), "", F2174 * VLOOKUP(D2174, Products!A:E, 5, FALSE) * (1 - G2174))</f>
        <v>5949.64</v>
      </c>
      <c r="J2174" s="10"/>
    </row>
    <row r="2175" spans="1:10" ht="15.75" customHeight="1" x14ac:dyDescent="0.3">
      <c r="A2175" s="5" t="s">
        <v>3042</v>
      </c>
      <c r="B2175" s="11">
        <v>45841</v>
      </c>
      <c r="C2175" s="5" t="s">
        <v>405</v>
      </c>
      <c r="D2175" s="5" t="s">
        <v>54</v>
      </c>
      <c r="E2175" s="5" t="s">
        <v>33</v>
      </c>
      <c r="F2175" s="5">
        <v>1</v>
      </c>
      <c r="G2175" s="19">
        <v>0</v>
      </c>
      <c r="H2175" s="5" t="s">
        <v>776</v>
      </c>
      <c r="I2175" s="10">
        <f>IF(OR(D2175="", F2175=""), "", F2175 * VLOOKUP(D2175, Products!A:E, 5, FALSE) * (1 - G2175))</f>
        <v>1853.77</v>
      </c>
      <c r="J2175" s="10"/>
    </row>
    <row r="2176" spans="1:10" ht="15.75" customHeight="1" x14ac:dyDescent="0.3">
      <c r="A2176" s="5" t="s">
        <v>3043</v>
      </c>
      <c r="B2176" s="11">
        <v>45449</v>
      </c>
      <c r="C2176" s="5" t="s">
        <v>703</v>
      </c>
      <c r="D2176" s="5" t="s">
        <v>77</v>
      </c>
      <c r="E2176" s="5" t="s">
        <v>29</v>
      </c>
      <c r="F2176" s="5">
        <v>2</v>
      </c>
      <c r="G2176" s="19">
        <v>0.05</v>
      </c>
      <c r="H2176" s="5" t="s">
        <v>697</v>
      </c>
      <c r="I2176" s="10">
        <f>IF(OR(D2176="", F2176=""), "", F2176 * VLOOKUP(D2176, Products!A:E, 5, FALSE) * (1 - G2176))</f>
        <v>472.28299999999996</v>
      </c>
      <c r="J2176" s="10"/>
    </row>
    <row r="2177" spans="1:10" ht="15.75" customHeight="1" x14ac:dyDescent="0.3">
      <c r="A2177" s="5" t="s">
        <v>3044</v>
      </c>
      <c r="B2177" s="11">
        <v>45745</v>
      </c>
      <c r="C2177" s="5" t="s">
        <v>876</v>
      </c>
      <c r="D2177" s="5" t="s">
        <v>193</v>
      </c>
      <c r="E2177" s="5" t="s">
        <v>21</v>
      </c>
      <c r="F2177" s="5">
        <v>1</v>
      </c>
      <c r="G2177" s="19">
        <v>0.1</v>
      </c>
      <c r="H2177" s="5" t="s">
        <v>454</v>
      </c>
      <c r="I2177" s="10">
        <f>IF(OR(D2177="", F2177=""), "", F2177 * VLOOKUP(D2177, Products!A:E, 5, FALSE) * (1 - G2177))</f>
        <v>26.315999999999999</v>
      </c>
      <c r="J2177" s="10"/>
    </row>
    <row r="2178" spans="1:10" ht="15.75" customHeight="1" x14ac:dyDescent="0.3">
      <c r="A2178" s="5" t="s">
        <v>3045</v>
      </c>
      <c r="B2178" s="11">
        <v>45806</v>
      </c>
      <c r="C2178" s="5" t="s">
        <v>597</v>
      </c>
      <c r="D2178" s="5" t="s">
        <v>272</v>
      </c>
      <c r="E2178" s="5" t="s">
        <v>33</v>
      </c>
      <c r="F2178" s="5">
        <v>3</v>
      </c>
      <c r="G2178" s="19">
        <v>0.1</v>
      </c>
      <c r="H2178" s="5" t="s">
        <v>637</v>
      </c>
      <c r="I2178" s="10">
        <f>IF(OR(D2178="", F2178=""), "", F2178 * VLOOKUP(D2178, Products!A:E, 5, FALSE) * (1 - G2178))</f>
        <v>3146.4989999999998</v>
      </c>
      <c r="J2178" s="10"/>
    </row>
    <row r="2179" spans="1:10" ht="15.75" customHeight="1" x14ac:dyDescent="0.3">
      <c r="A2179" s="5" t="s">
        <v>3046</v>
      </c>
      <c r="B2179" s="11">
        <v>45522</v>
      </c>
      <c r="C2179" s="5" t="s">
        <v>409</v>
      </c>
      <c r="D2179" s="5" t="s">
        <v>193</v>
      </c>
      <c r="E2179" s="5" t="s">
        <v>29</v>
      </c>
      <c r="F2179" s="5">
        <v>4</v>
      </c>
      <c r="G2179" s="19">
        <v>0</v>
      </c>
      <c r="H2179" s="5" t="s">
        <v>454</v>
      </c>
      <c r="I2179" s="10">
        <f>IF(OR(D2179="", F2179=""), "", F2179 * VLOOKUP(D2179, Products!A:E, 5, FALSE) * (1 - G2179))</f>
        <v>116.96</v>
      </c>
      <c r="J2179" s="10"/>
    </row>
    <row r="2180" spans="1:10" ht="15.75" customHeight="1" x14ac:dyDescent="0.3">
      <c r="A2180" s="5" t="s">
        <v>3047</v>
      </c>
      <c r="B2180" s="11">
        <v>45226</v>
      </c>
      <c r="C2180" s="5" t="s">
        <v>458</v>
      </c>
      <c r="D2180" s="5" t="s">
        <v>122</v>
      </c>
      <c r="E2180" s="5" t="s">
        <v>29</v>
      </c>
      <c r="F2180" s="5">
        <v>5</v>
      </c>
      <c r="G2180" s="19">
        <v>0.15</v>
      </c>
      <c r="H2180" s="5" t="s">
        <v>776</v>
      </c>
      <c r="I2180" s="10">
        <f>IF(OR(D2180="", F2180=""), "", F2180 * VLOOKUP(D2180, Products!A:E, 5, FALSE) * (1 - G2180))</f>
        <v>7492.41</v>
      </c>
      <c r="J2180" s="10"/>
    </row>
    <row r="2181" spans="1:10" ht="15.75" customHeight="1" x14ac:dyDescent="0.3">
      <c r="A2181" s="5" t="s">
        <v>3048</v>
      </c>
      <c r="B2181" s="11">
        <v>45713</v>
      </c>
      <c r="C2181" s="5" t="s">
        <v>429</v>
      </c>
      <c r="D2181" s="5" t="s">
        <v>147</v>
      </c>
      <c r="E2181" s="5" t="s">
        <v>37</v>
      </c>
      <c r="F2181" s="5">
        <v>1</v>
      </c>
      <c r="G2181" s="19">
        <v>0.05</v>
      </c>
      <c r="H2181" s="5" t="s">
        <v>637</v>
      </c>
      <c r="I2181" s="10">
        <f>IF(OR(D2181="", F2181=""), "", F2181 * VLOOKUP(D2181, Products!A:E, 5, FALSE) * (1 - G2181))</f>
        <v>1784.5464999999999</v>
      </c>
      <c r="J2181" s="10"/>
    </row>
    <row r="2182" spans="1:10" ht="15.75" customHeight="1" x14ac:dyDescent="0.3">
      <c r="A2182" s="5" t="s">
        <v>3049</v>
      </c>
      <c r="B2182" s="11">
        <v>45278</v>
      </c>
      <c r="C2182" s="5" t="s">
        <v>376</v>
      </c>
      <c r="D2182" s="5" t="s">
        <v>243</v>
      </c>
      <c r="E2182" s="5" t="s">
        <v>25</v>
      </c>
      <c r="F2182" s="5">
        <v>3</v>
      </c>
      <c r="G2182" s="19">
        <v>0.15</v>
      </c>
      <c r="H2182" s="5" t="s">
        <v>776</v>
      </c>
      <c r="I2182" s="10">
        <f>IF(OR(D2182="", F2182=""), "", F2182 * VLOOKUP(D2182, Products!A:E, 5, FALSE) * (1 - G2182))</f>
        <v>1379.3970000000002</v>
      </c>
      <c r="J2182" s="10"/>
    </row>
    <row r="2183" spans="1:10" ht="15.75" customHeight="1" x14ac:dyDescent="0.3">
      <c r="A2183" s="5" t="s">
        <v>3050</v>
      </c>
      <c r="B2183" s="11">
        <v>45237</v>
      </c>
      <c r="C2183" s="5" t="s">
        <v>401</v>
      </c>
      <c r="D2183" s="5" t="s">
        <v>180</v>
      </c>
      <c r="E2183" s="5" t="s">
        <v>37</v>
      </c>
      <c r="F2183" s="5">
        <v>4</v>
      </c>
      <c r="G2183" s="19">
        <v>0.1</v>
      </c>
      <c r="H2183" s="5" t="s">
        <v>697</v>
      </c>
      <c r="I2183" s="10">
        <f>IF(OR(D2183="", F2183=""), "", F2183 * VLOOKUP(D2183, Products!A:E, 5, FALSE) * (1 - G2183))</f>
        <v>2425.6080000000002</v>
      </c>
      <c r="J2183" s="10"/>
    </row>
    <row r="2184" spans="1:10" ht="15.75" customHeight="1" x14ac:dyDescent="0.3">
      <c r="A2184" s="5" t="s">
        <v>3051</v>
      </c>
      <c r="B2184" s="11">
        <v>45521</v>
      </c>
      <c r="C2184" s="5" t="s">
        <v>850</v>
      </c>
      <c r="D2184" s="5" t="s">
        <v>43</v>
      </c>
      <c r="E2184" s="5" t="s">
        <v>21</v>
      </c>
      <c r="F2184" s="5">
        <v>2</v>
      </c>
      <c r="G2184" s="19">
        <v>0.15</v>
      </c>
      <c r="H2184" s="5" t="s">
        <v>776</v>
      </c>
      <c r="I2184" s="10">
        <f>IF(OR(D2184="", F2184=""), "", F2184 * VLOOKUP(D2184, Products!A:E, 5, FALSE) * (1 - G2184))</f>
        <v>2845.2730000000001</v>
      </c>
      <c r="J2184" s="10"/>
    </row>
    <row r="2185" spans="1:10" ht="15.75" customHeight="1" x14ac:dyDescent="0.3">
      <c r="A2185" s="5" t="s">
        <v>3052</v>
      </c>
      <c r="B2185" s="11">
        <v>45292</v>
      </c>
      <c r="C2185" s="5" t="s">
        <v>433</v>
      </c>
      <c r="D2185" s="5" t="s">
        <v>276</v>
      </c>
      <c r="E2185" s="5" t="s">
        <v>37</v>
      </c>
      <c r="F2185" s="5">
        <v>4</v>
      </c>
      <c r="G2185" s="19">
        <v>0.05</v>
      </c>
      <c r="H2185" s="5" t="s">
        <v>454</v>
      </c>
      <c r="I2185" s="10">
        <f>IF(OR(D2185="", F2185=""), "", F2185 * VLOOKUP(D2185, Products!A:E, 5, FALSE) * (1 - G2185))</f>
        <v>4549.2839999999997</v>
      </c>
      <c r="J2185" s="10"/>
    </row>
    <row r="2186" spans="1:10" ht="15.75" customHeight="1" x14ac:dyDescent="0.3">
      <c r="A2186" s="5" t="s">
        <v>3053</v>
      </c>
      <c r="B2186" s="11">
        <v>45818</v>
      </c>
      <c r="C2186" s="5" t="s">
        <v>662</v>
      </c>
      <c r="D2186" s="5" t="s">
        <v>61</v>
      </c>
      <c r="E2186" s="5" t="s">
        <v>29</v>
      </c>
      <c r="F2186" s="5">
        <v>3</v>
      </c>
      <c r="G2186" s="19">
        <v>0.15</v>
      </c>
      <c r="H2186" s="5" t="s">
        <v>637</v>
      </c>
      <c r="I2186" s="10">
        <f>IF(OR(D2186="", F2186=""), "", F2186 * VLOOKUP(D2186, Products!A:E, 5, FALSE) * (1 - G2186))</f>
        <v>811.02750000000003</v>
      </c>
      <c r="J2186" s="10"/>
    </row>
    <row r="2187" spans="1:10" ht="15.75" customHeight="1" x14ac:dyDescent="0.3">
      <c r="A2187" s="5" t="s">
        <v>3054</v>
      </c>
      <c r="B2187" s="11">
        <v>45273</v>
      </c>
      <c r="C2187" s="5" t="s">
        <v>433</v>
      </c>
      <c r="D2187" s="5" t="s">
        <v>212</v>
      </c>
      <c r="E2187" s="5" t="s">
        <v>29</v>
      </c>
      <c r="F2187" s="5">
        <v>2</v>
      </c>
      <c r="G2187" s="19">
        <v>0</v>
      </c>
      <c r="H2187" s="5" t="s">
        <v>454</v>
      </c>
      <c r="I2187" s="10">
        <f>IF(OR(D2187="", F2187=""), "", F2187 * VLOOKUP(D2187, Products!A:E, 5, FALSE) * (1 - G2187))</f>
        <v>3597.94</v>
      </c>
      <c r="J2187" s="10"/>
    </row>
    <row r="2188" spans="1:10" ht="15.75" customHeight="1" x14ac:dyDescent="0.3">
      <c r="A2188" s="5" t="s">
        <v>3055</v>
      </c>
      <c r="B2188" s="11">
        <v>45786</v>
      </c>
      <c r="C2188" s="5" t="s">
        <v>736</v>
      </c>
      <c r="D2188" s="5" t="s">
        <v>57</v>
      </c>
      <c r="E2188" s="5" t="s">
        <v>21</v>
      </c>
      <c r="F2188" s="5">
        <v>4</v>
      </c>
      <c r="G2188" s="19">
        <v>0.15</v>
      </c>
      <c r="H2188" s="5" t="s">
        <v>454</v>
      </c>
      <c r="I2188" s="10">
        <f>IF(OR(D2188="", F2188=""), "", F2188 * VLOOKUP(D2188, Products!A:E, 5, FALSE) * (1 - G2188))</f>
        <v>4747.1480000000001</v>
      </c>
      <c r="J2188" s="10"/>
    </row>
    <row r="2189" spans="1:10" ht="15.75" customHeight="1" x14ac:dyDescent="0.3">
      <c r="A2189" s="5" t="s">
        <v>3056</v>
      </c>
      <c r="B2189" s="11">
        <v>45903</v>
      </c>
      <c r="C2189" s="5" t="s">
        <v>443</v>
      </c>
      <c r="D2189" s="5" t="s">
        <v>95</v>
      </c>
      <c r="E2189" s="5" t="s">
        <v>21</v>
      </c>
      <c r="F2189" s="5">
        <v>1</v>
      </c>
      <c r="G2189" s="19">
        <v>0.15</v>
      </c>
      <c r="H2189" s="5" t="s">
        <v>697</v>
      </c>
      <c r="I2189" s="10">
        <f>IF(OR(D2189="", F2189=""), "", F2189 * VLOOKUP(D2189, Products!A:E, 5, FALSE) * (1 - G2189))</f>
        <v>1141.3374999999999</v>
      </c>
      <c r="J2189" s="10"/>
    </row>
    <row r="2190" spans="1:10" ht="15.75" customHeight="1" x14ac:dyDescent="0.3">
      <c r="A2190" s="5" t="s">
        <v>3057</v>
      </c>
      <c r="B2190" s="11">
        <v>45226</v>
      </c>
      <c r="C2190" s="5" t="s">
        <v>611</v>
      </c>
      <c r="D2190" s="5" t="s">
        <v>267</v>
      </c>
      <c r="E2190" s="5" t="s">
        <v>25</v>
      </c>
      <c r="F2190" s="5">
        <v>5</v>
      </c>
      <c r="G2190" s="19">
        <v>0.1</v>
      </c>
      <c r="H2190" s="5" t="s">
        <v>697</v>
      </c>
      <c r="I2190" s="10">
        <f>IF(OR(D2190="", F2190=""), "", F2190 * VLOOKUP(D2190, Products!A:E, 5, FALSE) * (1 - G2190))</f>
        <v>5789.4750000000004</v>
      </c>
      <c r="J2190" s="10"/>
    </row>
    <row r="2191" spans="1:10" ht="15.75" customHeight="1" x14ac:dyDescent="0.3">
      <c r="A2191" s="5" t="s">
        <v>3058</v>
      </c>
      <c r="B2191" s="11">
        <v>45642</v>
      </c>
      <c r="C2191" s="5" t="s">
        <v>458</v>
      </c>
      <c r="D2191" s="5" t="s">
        <v>188</v>
      </c>
      <c r="E2191" s="5" t="s">
        <v>33</v>
      </c>
      <c r="F2191" s="5">
        <v>3</v>
      </c>
      <c r="G2191" s="19">
        <v>0</v>
      </c>
      <c r="H2191" s="5" t="s">
        <v>454</v>
      </c>
      <c r="I2191" s="10">
        <f>IF(OR(D2191="", F2191=""), "", F2191 * VLOOKUP(D2191, Products!A:E, 5, FALSE) * (1 - G2191))</f>
        <v>4455.1499999999996</v>
      </c>
      <c r="J2191" s="10"/>
    </row>
    <row r="2192" spans="1:10" ht="15.75" customHeight="1" x14ac:dyDescent="0.3">
      <c r="A2192" s="5" t="s">
        <v>3059</v>
      </c>
      <c r="B2192" s="11">
        <v>45762</v>
      </c>
      <c r="C2192" s="5" t="s">
        <v>91</v>
      </c>
      <c r="D2192" s="5" t="s">
        <v>267</v>
      </c>
      <c r="E2192" s="5" t="s">
        <v>33</v>
      </c>
      <c r="F2192" s="5">
        <v>1</v>
      </c>
      <c r="G2192" s="19">
        <v>0.05</v>
      </c>
      <c r="H2192" s="5" t="s">
        <v>454</v>
      </c>
      <c r="I2192" s="10">
        <f>IF(OR(D2192="", F2192=""), "", F2192 * VLOOKUP(D2192, Products!A:E, 5, FALSE) * (1 - G2192))</f>
        <v>1222.2224999999999</v>
      </c>
      <c r="J2192" s="10"/>
    </row>
    <row r="2193" spans="1:10" ht="15.75" customHeight="1" x14ac:dyDescent="0.3">
      <c r="A2193" s="5" t="s">
        <v>3060</v>
      </c>
      <c r="B2193" s="11">
        <v>45657</v>
      </c>
      <c r="C2193" s="5" t="s">
        <v>722</v>
      </c>
      <c r="D2193" s="5" t="s">
        <v>82</v>
      </c>
      <c r="E2193" s="5" t="s">
        <v>21</v>
      </c>
      <c r="F2193" s="5">
        <v>1</v>
      </c>
      <c r="G2193" s="19">
        <v>0.15</v>
      </c>
      <c r="H2193" s="5" t="s">
        <v>454</v>
      </c>
      <c r="I2193" s="10">
        <f>IF(OR(D2193="", F2193=""), "", F2193 * VLOOKUP(D2193, Products!A:E, 5, FALSE) * (1 - G2193))</f>
        <v>1014.1264999999999</v>
      </c>
      <c r="J2193" s="10"/>
    </row>
    <row r="2194" spans="1:10" ht="15.75" customHeight="1" x14ac:dyDescent="0.3">
      <c r="A2194" s="5" t="s">
        <v>3061</v>
      </c>
      <c r="B2194" s="11">
        <v>45323</v>
      </c>
      <c r="C2194" s="5" t="s">
        <v>69</v>
      </c>
      <c r="D2194" s="5" t="s">
        <v>243</v>
      </c>
      <c r="E2194" s="5" t="s">
        <v>33</v>
      </c>
      <c r="F2194" s="5">
        <v>3</v>
      </c>
      <c r="G2194" s="19">
        <v>0</v>
      </c>
      <c r="H2194" s="5" t="s">
        <v>776</v>
      </c>
      <c r="I2194" s="10">
        <f>IF(OR(D2194="", F2194=""), "", F2194 * VLOOKUP(D2194, Products!A:E, 5, FALSE) * (1 - G2194))</f>
        <v>1622.8200000000002</v>
      </c>
      <c r="J2194" s="10"/>
    </row>
    <row r="2195" spans="1:10" ht="15.75" customHeight="1" x14ac:dyDescent="0.3">
      <c r="A2195" s="5" t="s">
        <v>3062</v>
      </c>
      <c r="B2195" s="11">
        <v>45454</v>
      </c>
      <c r="C2195" s="5" t="s">
        <v>409</v>
      </c>
      <c r="D2195" s="5" t="s">
        <v>65</v>
      </c>
      <c r="E2195" s="5" t="s">
        <v>25</v>
      </c>
      <c r="F2195" s="5">
        <v>3</v>
      </c>
      <c r="G2195" s="19">
        <v>0.1</v>
      </c>
      <c r="H2195" s="5" t="s">
        <v>697</v>
      </c>
      <c r="I2195" s="10">
        <f>IF(OR(D2195="", F2195=""), "", F2195 * VLOOKUP(D2195, Products!A:E, 5, FALSE) * (1 - G2195))</f>
        <v>3980.1239999999998</v>
      </c>
      <c r="J2195" s="10"/>
    </row>
    <row r="2196" spans="1:10" ht="15.75" customHeight="1" x14ac:dyDescent="0.3">
      <c r="A2196" s="5" t="s">
        <v>3063</v>
      </c>
      <c r="B2196" s="11">
        <v>45466</v>
      </c>
      <c r="C2196" s="5" t="s">
        <v>209</v>
      </c>
      <c r="D2196" s="5" t="s">
        <v>206</v>
      </c>
      <c r="E2196" s="5" t="s">
        <v>29</v>
      </c>
      <c r="F2196" s="5">
        <v>2</v>
      </c>
      <c r="G2196" s="19">
        <v>0.05</v>
      </c>
      <c r="H2196" s="5" t="s">
        <v>637</v>
      </c>
      <c r="I2196" s="10">
        <f>IF(OR(D2196="", F2196=""), "", F2196 * VLOOKUP(D2196, Products!A:E, 5, FALSE) * (1 - G2196))</f>
        <v>578.94899999999996</v>
      </c>
      <c r="J2196" s="10"/>
    </row>
    <row r="2197" spans="1:10" ht="15.75" customHeight="1" x14ac:dyDescent="0.3">
      <c r="A2197" s="5" t="s">
        <v>3064</v>
      </c>
      <c r="B2197" s="11">
        <v>45727</v>
      </c>
      <c r="C2197" s="5" t="s">
        <v>715</v>
      </c>
      <c r="D2197" s="5" t="s">
        <v>74</v>
      </c>
      <c r="E2197" s="5" t="s">
        <v>21</v>
      </c>
      <c r="F2197" s="5">
        <v>3</v>
      </c>
      <c r="G2197" s="19">
        <v>0.05</v>
      </c>
      <c r="H2197" s="5" t="s">
        <v>776</v>
      </c>
      <c r="I2197" s="10">
        <f>IF(OR(D2197="", F2197=""), "", F2197 * VLOOKUP(D2197, Products!A:E, 5, FALSE) * (1 - G2197))</f>
        <v>3403.2419999999997</v>
      </c>
      <c r="J2197" s="10"/>
    </row>
    <row r="2198" spans="1:10" ht="15.75" customHeight="1" x14ac:dyDescent="0.3">
      <c r="A2198" s="5" t="s">
        <v>3065</v>
      </c>
      <c r="B2198" s="11">
        <v>45226</v>
      </c>
      <c r="C2198" s="5" t="s">
        <v>618</v>
      </c>
      <c r="D2198" s="5" t="s">
        <v>95</v>
      </c>
      <c r="E2198" s="5" t="s">
        <v>29</v>
      </c>
      <c r="F2198" s="5">
        <v>2</v>
      </c>
      <c r="G2198" s="19">
        <v>0.15</v>
      </c>
      <c r="H2198" s="5" t="s">
        <v>637</v>
      </c>
      <c r="I2198" s="10">
        <f>IF(OR(D2198="", F2198=""), "", F2198 * VLOOKUP(D2198, Products!A:E, 5, FALSE) * (1 - G2198))</f>
        <v>2282.6749999999997</v>
      </c>
      <c r="J2198" s="10"/>
    </row>
    <row r="2199" spans="1:10" ht="15.75" customHeight="1" x14ac:dyDescent="0.3">
      <c r="A2199" s="5" t="s">
        <v>3066</v>
      </c>
      <c r="B2199" s="11">
        <v>45370</v>
      </c>
      <c r="C2199" s="5" t="s">
        <v>550</v>
      </c>
      <c r="D2199" s="5" t="s">
        <v>232</v>
      </c>
      <c r="E2199" s="5" t="s">
        <v>21</v>
      </c>
      <c r="F2199" s="5">
        <v>3</v>
      </c>
      <c r="G2199" s="19">
        <v>0.1</v>
      </c>
      <c r="H2199" s="5" t="s">
        <v>454</v>
      </c>
      <c r="I2199" s="10">
        <f>IF(OR(D2199="", F2199=""), "", F2199 * VLOOKUP(D2199, Products!A:E, 5, FALSE) * (1 - G2199))</f>
        <v>5272.1550000000007</v>
      </c>
      <c r="J2199" s="10"/>
    </row>
    <row r="2200" spans="1:10" ht="15.75" customHeight="1" x14ac:dyDescent="0.3">
      <c r="A2200" s="5" t="s">
        <v>3067</v>
      </c>
      <c r="B2200" s="11">
        <v>45538</v>
      </c>
      <c r="C2200" s="5" t="s">
        <v>330</v>
      </c>
      <c r="D2200" s="5" t="s">
        <v>140</v>
      </c>
      <c r="E2200" s="5" t="s">
        <v>37</v>
      </c>
      <c r="F2200" s="5">
        <v>4</v>
      </c>
      <c r="G2200" s="19">
        <v>0.1</v>
      </c>
      <c r="H2200" s="5" t="s">
        <v>697</v>
      </c>
      <c r="I2200" s="10">
        <f>IF(OR(D2200="", F2200=""), "", F2200 * VLOOKUP(D2200, Products!A:E, 5, FALSE) * (1 - G2200))</f>
        <v>92.052000000000007</v>
      </c>
      <c r="J2200" s="10"/>
    </row>
    <row r="2201" spans="1:10" ht="15.75" customHeight="1" x14ac:dyDescent="0.3">
      <c r="A2201" s="5" t="s">
        <v>3068</v>
      </c>
      <c r="B2201" s="11">
        <v>45380</v>
      </c>
      <c r="C2201" s="5" t="s">
        <v>795</v>
      </c>
      <c r="D2201" s="5" t="s">
        <v>256</v>
      </c>
      <c r="E2201" s="5" t="s">
        <v>25</v>
      </c>
      <c r="F2201" s="5">
        <v>3</v>
      </c>
      <c r="G2201" s="19">
        <v>0.05</v>
      </c>
      <c r="H2201" s="5" t="s">
        <v>637</v>
      </c>
      <c r="I2201" s="10">
        <f>IF(OR(D2201="", F2201=""), "", F2201 * VLOOKUP(D2201, Products!A:E, 5, FALSE) * (1 - G2201))</f>
        <v>4659.7784999999994</v>
      </c>
      <c r="J2201" s="10"/>
    </row>
    <row r="2202" spans="1:10" ht="15.75" customHeight="1" x14ac:dyDescent="0.3">
      <c r="A2202" s="5" t="s">
        <v>3069</v>
      </c>
      <c r="B2202" s="11">
        <v>45563</v>
      </c>
      <c r="C2202" s="5" t="s">
        <v>635</v>
      </c>
      <c r="D2202" s="5" t="s">
        <v>256</v>
      </c>
      <c r="E2202" s="5" t="s">
        <v>25</v>
      </c>
      <c r="F2202" s="5">
        <v>3</v>
      </c>
      <c r="G2202" s="19">
        <v>0.1</v>
      </c>
      <c r="H2202" s="5" t="s">
        <v>776</v>
      </c>
      <c r="I2202" s="10">
        <f>IF(OR(D2202="", F2202=""), "", F2202 * VLOOKUP(D2202, Products!A:E, 5, FALSE) * (1 - G2202))</f>
        <v>4414.527</v>
      </c>
      <c r="J2202" s="10"/>
    </row>
    <row r="2203" spans="1:10" ht="15.75" customHeight="1" x14ac:dyDescent="0.3">
      <c r="A2203" s="5" t="s">
        <v>3070</v>
      </c>
      <c r="B2203" s="11">
        <v>45831</v>
      </c>
      <c r="C2203" s="5" t="s">
        <v>455</v>
      </c>
      <c r="D2203" s="5" t="s">
        <v>249</v>
      </c>
      <c r="E2203" s="5" t="s">
        <v>37</v>
      </c>
      <c r="F2203" s="5">
        <v>4</v>
      </c>
      <c r="G2203" s="19">
        <v>0.05</v>
      </c>
      <c r="H2203" s="5" t="s">
        <v>637</v>
      </c>
      <c r="I2203" s="10">
        <f>IF(OR(D2203="", F2203=""), "", F2203 * VLOOKUP(D2203, Products!A:E, 5, FALSE) * (1 - G2203))</f>
        <v>6633.3179999999993</v>
      </c>
      <c r="J2203" s="10"/>
    </row>
    <row r="2204" spans="1:10" ht="15.75" customHeight="1" x14ac:dyDescent="0.3">
      <c r="A2204" s="5" t="s">
        <v>3071</v>
      </c>
      <c r="B2204" s="11">
        <v>45338</v>
      </c>
      <c r="C2204" s="5" t="s">
        <v>583</v>
      </c>
      <c r="D2204" s="5" t="s">
        <v>122</v>
      </c>
      <c r="E2204" s="5" t="s">
        <v>21</v>
      </c>
      <c r="F2204" s="5">
        <v>2</v>
      </c>
      <c r="G2204" s="19">
        <v>0.15</v>
      </c>
      <c r="H2204" s="5" t="s">
        <v>454</v>
      </c>
      <c r="I2204" s="10">
        <f>IF(OR(D2204="", F2204=""), "", F2204 * VLOOKUP(D2204, Products!A:E, 5, FALSE) * (1 - G2204))</f>
        <v>2996.9639999999999</v>
      </c>
      <c r="J2204" s="10"/>
    </row>
    <row r="2205" spans="1:10" ht="15.75" customHeight="1" x14ac:dyDescent="0.3">
      <c r="A2205" s="5" t="s">
        <v>3072</v>
      </c>
      <c r="B2205" s="11">
        <v>45357</v>
      </c>
      <c r="C2205" s="5" t="s">
        <v>641</v>
      </c>
      <c r="D2205" s="5" t="s">
        <v>285</v>
      </c>
      <c r="E2205" s="5" t="s">
        <v>29</v>
      </c>
      <c r="F2205" s="5">
        <v>4</v>
      </c>
      <c r="G2205" s="19">
        <v>0.1</v>
      </c>
      <c r="H2205" s="5" t="s">
        <v>637</v>
      </c>
      <c r="I2205" s="10">
        <f>IF(OR(D2205="", F2205=""), "", F2205 * VLOOKUP(D2205, Products!A:E, 5, FALSE) * (1 - G2205))</f>
        <v>1397.7360000000001</v>
      </c>
      <c r="J2205" s="10"/>
    </row>
    <row r="2206" spans="1:10" ht="15.75" customHeight="1" x14ac:dyDescent="0.3">
      <c r="A2206" s="5" t="s">
        <v>3073</v>
      </c>
      <c r="B2206" s="11">
        <v>45560</v>
      </c>
      <c r="C2206" s="5" t="s">
        <v>611</v>
      </c>
      <c r="D2206" s="5" t="s">
        <v>262</v>
      </c>
      <c r="E2206" s="5" t="s">
        <v>33</v>
      </c>
      <c r="F2206" s="5">
        <v>4</v>
      </c>
      <c r="G2206" s="19">
        <v>0.15</v>
      </c>
      <c r="H2206" s="5" t="s">
        <v>776</v>
      </c>
      <c r="I2206" s="10">
        <f>IF(OR(D2206="", F2206=""), "", F2206 * VLOOKUP(D2206, Products!A:E, 5, FALSE) * (1 - G2206))</f>
        <v>1542.308</v>
      </c>
      <c r="J2206" s="10"/>
    </row>
    <row r="2207" spans="1:10" ht="15.75" customHeight="1" x14ac:dyDescent="0.3">
      <c r="A2207" s="5" t="s">
        <v>3074</v>
      </c>
      <c r="B2207" s="11">
        <v>45738</v>
      </c>
      <c r="C2207" s="5" t="s">
        <v>695</v>
      </c>
      <c r="D2207" s="5" t="s">
        <v>249</v>
      </c>
      <c r="E2207" s="5" t="s">
        <v>21</v>
      </c>
      <c r="F2207" s="5">
        <v>4</v>
      </c>
      <c r="G2207" s="19">
        <v>0</v>
      </c>
      <c r="H2207" s="5" t="s">
        <v>697</v>
      </c>
      <c r="I2207" s="10">
        <f>IF(OR(D2207="", F2207=""), "", F2207 * VLOOKUP(D2207, Products!A:E, 5, FALSE) * (1 - G2207))</f>
        <v>6982.44</v>
      </c>
      <c r="J2207" s="10"/>
    </row>
    <row r="2208" spans="1:10" ht="15.75" customHeight="1" x14ac:dyDescent="0.3">
      <c r="A2208" s="5" t="s">
        <v>3075</v>
      </c>
      <c r="B2208" s="11">
        <v>45348</v>
      </c>
      <c r="C2208" s="5" t="s">
        <v>740</v>
      </c>
      <c r="D2208" s="5" t="s">
        <v>265</v>
      </c>
      <c r="E2208" s="5" t="s">
        <v>29</v>
      </c>
      <c r="F2208" s="5">
        <v>2</v>
      </c>
      <c r="G2208" s="19">
        <v>0.1</v>
      </c>
      <c r="H2208" s="5" t="s">
        <v>697</v>
      </c>
      <c r="I2208" s="10">
        <f>IF(OR(D2208="", F2208=""), "", F2208 * VLOOKUP(D2208, Products!A:E, 5, FALSE) * (1 - G2208))</f>
        <v>1015.9559999999999</v>
      </c>
      <c r="J2208" s="10"/>
    </row>
    <row r="2209" spans="1:10" ht="15.75" customHeight="1" x14ac:dyDescent="0.3">
      <c r="A2209" s="5" t="s">
        <v>3076</v>
      </c>
      <c r="B2209" s="11">
        <v>45878</v>
      </c>
      <c r="C2209" s="5" t="s">
        <v>744</v>
      </c>
      <c r="D2209" s="5" t="s">
        <v>175</v>
      </c>
      <c r="E2209" s="5" t="s">
        <v>37</v>
      </c>
      <c r="F2209" s="5">
        <v>5</v>
      </c>
      <c r="G2209" s="19">
        <v>0.1</v>
      </c>
      <c r="H2209" s="5" t="s">
        <v>776</v>
      </c>
      <c r="I2209" s="10">
        <f>IF(OR(D2209="", F2209=""), "", F2209 * VLOOKUP(D2209, Products!A:E, 5, FALSE) * (1 - G2209))</f>
        <v>5725.0349999999999</v>
      </c>
      <c r="J2209" s="10"/>
    </row>
    <row r="2210" spans="1:10" ht="15.75" customHeight="1" x14ac:dyDescent="0.3">
      <c r="A2210" s="5" t="s">
        <v>3077</v>
      </c>
      <c r="B2210" s="11">
        <v>45325</v>
      </c>
      <c r="C2210" s="5" t="s">
        <v>859</v>
      </c>
      <c r="D2210" s="5" t="s">
        <v>180</v>
      </c>
      <c r="E2210" s="5" t="s">
        <v>33</v>
      </c>
      <c r="F2210" s="5">
        <v>2</v>
      </c>
      <c r="G2210" s="19">
        <v>0.15</v>
      </c>
      <c r="H2210" s="5" t="s">
        <v>776</v>
      </c>
      <c r="I2210" s="10">
        <f>IF(OR(D2210="", F2210=""), "", F2210 * VLOOKUP(D2210, Products!A:E, 5, FALSE) * (1 - G2210))</f>
        <v>1145.4259999999999</v>
      </c>
      <c r="J2210" s="10"/>
    </row>
    <row r="2211" spans="1:10" ht="15.75" customHeight="1" x14ac:dyDescent="0.3">
      <c r="A2211" s="5" t="s">
        <v>3078</v>
      </c>
      <c r="B2211" s="11">
        <v>45571</v>
      </c>
      <c r="C2211" s="5" t="s">
        <v>608</v>
      </c>
      <c r="D2211" s="5" t="s">
        <v>54</v>
      </c>
      <c r="E2211" s="5" t="s">
        <v>37</v>
      </c>
      <c r="F2211" s="5">
        <v>4</v>
      </c>
      <c r="G2211" s="19">
        <v>0</v>
      </c>
      <c r="H2211" s="5" t="s">
        <v>776</v>
      </c>
      <c r="I2211" s="10">
        <f>IF(OR(D2211="", F2211=""), "", F2211 * VLOOKUP(D2211, Products!A:E, 5, FALSE) * (1 - G2211))</f>
        <v>7415.08</v>
      </c>
      <c r="J2211" s="10"/>
    </row>
    <row r="2212" spans="1:10" ht="15.75" customHeight="1" x14ac:dyDescent="0.3">
      <c r="A2212" s="5" t="s">
        <v>3079</v>
      </c>
      <c r="B2212" s="11">
        <v>45400</v>
      </c>
      <c r="C2212" s="5" t="s">
        <v>165</v>
      </c>
      <c r="D2212" s="5" t="s">
        <v>77</v>
      </c>
      <c r="E2212" s="5" t="s">
        <v>29</v>
      </c>
      <c r="F2212" s="5">
        <v>1</v>
      </c>
      <c r="G2212" s="19">
        <v>0.1</v>
      </c>
      <c r="H2212" s="5" t="s">
        <v>776</v>
      </c>
      <c r="I2212" s="10">
        <f>IF(OR(D2212="", F2212=""), "", F2212 * VLOOKUP(D2212, Products!A:E, 5, FALSE) * (1 - G2212))</f>
        <v>223.71299999999999</v>
      </c>
      <c r="J2212" s="10"/>
    </row>
    <row r="2213" spans="1:10" ht="15.75" customHeight="1" x14ac:dyDescent="0.3">
      <c r="A2213" s="5" t="s">
        <v>3080</v>
      </c>
      <c r="B2213" s="11">
        <v>45846</v>
      </c>
      <c r="C2213" s="5" t="s">
        <v>447</v>
      </c>
      <c r="D2213" s="5" t="s">
        <v>82</v>
      </c>
      <c r="E2213" s="5" t="s">
        <v>37</v>
      </c>
      <c r="F2213" s="5">
        <v>4</v>
      </c>
      <c r="G2213" s="19">
        <v>0.1</v>
      </c>
      <c r="H2213" s="5" t="s">
        <v>776</v>
      </c>
      <c r="I2213" s="10">
        <f>IF(OR(D2213="", F2213=""), "", F2213 * VLOOKUP(D2213, Products!A:E, 5, FALSE) * (1 - G2213))</f>
        <v>4295.1239999999998</v>
      </c>
      <c r="J2213" s="10"/>
    </row>
    <row r="2214" spans="1:10" ht="15.75" customHeight="1" x14ac:dyDescent="0.3">
      <c r="A2214" s="5" t="s">
        <v>3081</v>
      </c>
      <c r="B2214" s="11">
        <v>45667</v>
      </c>
      <c r="C2214" s="5" t="s">
        <v>261</v>
      </c>
      <c r="D2214" s="5" t="s">
        <v>243</v>
      </c>
      <c r="E2214" s="5" t="s">
        <v>37</v>
      </c>
      <c r="F2214" s="5">
        <v>5</v>
      </c>
      <c r="G2214" s="19">
        <v>0</v>
      </c>
      <c r="H2214" s="5" t="s">
        <v>697</v>
      </c>
      <c r="I2214" s="10">
        <f>IF(OR(D2214="", F2214=""), "", F2214 * VLOOKUP(D2214, Products!A:E, 5, FALSE) * (1 - G2214))</f>
        <v>2704.7000000000003</v>
      </c>
      <c r="J2214" s="10"/>
    </row>
    <row r="2215" spans="1:10" ht="15.75" customHeight="1" x14ac:dyDescent="0.3">
      <c r="A2215" s="5" t="s">
        <v>3082</v>
      </c>
      <c r="B2215" s="11">
        <v>45477</v>
      </c>
      <c r="C2215" s="5" t="s">
        <v>657</v>
      </c>
      <c r="D2215" s="5" t="s">
        <v>128</v>
      </c>
      <c r="E2215" s="5" t="s">
        <v>25</v>
      </c>
      <c r="F2215" s="5">
        <v>5</v>
      </c>
      <c r="G2215" s="19">
        <v>0.15</v>
      </c>
      <c r="H2215" s="5" t="s">
        <v>697</v>
      </c>
      <c r="I2215" s="10">
        <f>IF(OR(D2215="", F2215=""), "", F2215 * VLOOKUP(D2215, Products!A:E, 5, FALSE) * (1 - G2215))</f>
        <v>1376.66</v>
      </c>
      <c r="J2215" s="10"/>
    </row>
    <row r="2216" spans="1:10" ht="15.75" customHeight="1" x14ac:dyDescent="0.3">
      <c r="A2216" s="5" t="s">
        <v>3083</v>
      </c>
      <c r="B2216" s="11">
        <v>45677</v>
      </c>
      <c r="C2216" s="5" t="s">
        <v>380</v>
      </c>
      <c r="D2216" s="5" t="s">
        <v>95</v>
      </c>
      <c r="E2216" s="5" t="s">
        <v>25</v>
      </c>
      <c r="F2216" s="5">
        <v>3</v>
      </c>
      <c r="G2216" s="19">
        <v>0.1</v>
      </c>
      <c r="H2216" s="5" t="s">
        <v>776</v>
      </c>
      <c r="I2216" s="10">
        <f>IF(OR(D2216="", F2216=""), "", F2216 * VLOOKUP(D2216, Products!A:E, 5, FALSE) * (1 - G2216))</f>
        <v>3625.4250000000002</v>
      </c>
      <c r="J2216" s="10"/>
    </row>
    <row r="2217" spans="1:10" ht="15.75" customHeight="1" x14ac:dyDescent="0.3">
      <c r="A2217" s="5" t="s">
        <v>3084</v>
      </c>
      <c r="B2217" s="11">
        <v>45640</v>
      </c>
      <c r="C2217" s="5" t="s">
        <v>628</v>
      </c>
      <c r="D2217" s="5" t="s">
        <v>74</v>
      </c>
      <c r="E2217" s="5" t="s">
        <v>37</v>
      </c>
      <c r="F2217" s="5">
        <v>2</v>
      </c>
      <c r="G2217" s="19">
        <v>0</v>
      </c>
      <c r="H2217" s="5" t="s">
        <v>776</v>
      </c>
      <c r="I2217" s="10">
        <f>IF(OR(D2217="", F2217=""), "", F2217 * VLOOKUP(D2217, Products!A:E, 5, FALSE) * (1 - G2217))</f>
        <v>2388.2399999999998</v>
      </c>
      <c r="J2217" s="10"/>
    </row>
    <row r="2218" spans="1:10" ht="15.75" customHeight="1" x14ac:dyDescent="0.3">
      <c r="A2218" s="5" t="s">
        <v>3085</v>
      </c>
      <c r="B2218" s="11">
        <v>45652</v>
      </c>
      <c r="C2218" s="5" t="s">
        <v>16</v>
      </c>
      <c r="D2218" s="5" t="s">
        <v>57</v>
      </c>
      <c r="E2218" s="5" t="s">
        <v>25</v>
      </c>
      <c r="F2218" s="5">
        <v>5</v>
      </c>
      <c r="G2218" s="19">
        <v>0</v>
      </c>
      <c r="H2218" s="5" t="s">
        <v>776</v>
      </c>
      <c r="I2218" s="10">
        <f>IF(OR(D2218="", F2218=""), "", F2218 * VLOOKUP(D2218, Products!A:E, 5, FALSE) * (1 - G2218))</f>
        <v>6981.1</v>
      </c>
      <c r="J2218" s="10"/>
    </row>
    <row r="2219" spans="1:10" ht="15.75" customHeight="1" x14ac:dyDescent="0.3">
      <c r="A2219" s="5" t="s">
        <v>3086</v>
      </c>
      <c r="B2219" s="11">
        <v>45248</v>
      </c>
      <c r="C2219" s="5" t="s">
        <v>405</v>
      </c>
      <c r="D2219" s="5" t="s">
        <v>134</v>
      </c>
      <c r="E2219" s="5" t="s">
        <v>25</v>
      </c>
      <c r="F2219" s="5">
        <v>1</v>
      </c>
      <c r="G2219" s="19">
        <v>0.15</v>
      </c>
      <c r="H2219" s="5" t="s">
        <v>776</v>
      </c>
      <c r="I2219" s="10">
        <f>IF(OR(D2219="", F2219=""), "", F2219 * VLOOKUP(D2219, Products!A:E, 5, FALSE) * (1 - G2219))</f>
        <v>1043.154</v>
      </c>
      <c r="J2219" s="10"/>
    </row>
    <row r="2220" spans="1:10" ht="15.75" customHeight="1" x14ac:dyDescent="0.3">
      <c r="A2220" s="5" t="s">
        <v>3087</v>
      </c>
      <c r="B2220" s="11">
        <v>45618</v>
      </c>
      <c r="C2220" s="5" t="s">
        <v>645</v>
      </c>
      <c r="D2220" s="5" t="s">
        <v>249</v>
      </c>
      <c r="E2220" s="5" t="s">
        <v>33</v>
      </c>
      <c r="F2220" s="5">
        <v>4</v>
      </c>
      <c r="G2220" s="19">
        <v>0</v>
      </c>
      <c r="H2220" s="5" t="s">
        <v>776</v>
      </c>
      <c r="I2220" s="10">
        <f>IF(OR(D2220="", F2220=""), "", F2220 * VLOOKUP(D2220, Products!A:E, 5, FALSE) * (1 - G2220))</f>
        <v>6982.44</v>
      </c>
      <c r="J2220" s="10"/>
    </row>
    <row r="2221" spans="1:10" ht="15.75" customHeight="1" x14ac:dyDescent="0.3">
      <c r="A2221" s="5" t="s">
        <v>3088</v>
      </c>
      <c r="B2221" s="11">
        <v>45191</v>
      </c>
      <c r="C2221" s="5" t="s">
        <v>455</v>
      </c>
      <c r="D2221" s="5" t="s">
        <v>232</v>
      </c>
      <c r="E2221" s="5" t="s">
        <v>33</v>
      </c>
      <c r="F2221" s="5">
        <v>4</v>
      </c>
      <c r="G2221" s="19">
        <v>0.05</v>
      </c>
      <c r="H2221" s="5" t="s">
        <v>697</v>
      </c>
      <c r="I2221" s="10">
        <f>IF(OR(D2221="", F2221=""), "", F2221 * VLOOKUP(D2221, Products!A:E, 5, FALSE) * (1 - G2221))</f>
        <v>7420.07</v>
      </c>
      <c r="J2221" s="10"/>
    </row>
    <row r="2222" spans="1:10" ht="15.75" customHeight="1" x14ac:dyDescent="0.3">
      <c r="A2222" s="5" t="s">
        <v>3089</v>
      </c>
      <c r="B2222" s="11">
        <v>45463</v>
      </c>
      <c r="C2222" s="5" t="s">
        <v>680</v>
      </c>
      <c r="D2222" s="5" t="s">
        <v>269</v>
      </c>
      <c r="E2222" s="5" t="s">
        <v>29</v>
      </c>
      <c r="F2222" s="5">
        <v>5</v>
      </c>
      <c r="G2222" s="19">
        <v>0.15</v>
      </c>
      <c r="H2222" s="5" t="s">
        <v>776</v>
      </c>
      <c r="I2222" s="10">
        <f>IF(OR(D2222="", F2222=""), "", F2222 * VLOOKUP(D2222, Products!A:E, 5, FALSE) * (1 - G2222))</f>
        <v>7986.0899999999992</v>
      </c>
      <c r="J2222" s="10"/>
    </row>
    <row r="2223" spans="1:10" ht="15.75" customHeight="1" x14ac:dyDescent="0.3">
      <c r="A2223" s="5" t="s">
        <v>3090</v>
      </c>
      <c r="B2223" s="11">
        <v>45380</v>
      </c>
      <c r="C2223" s="5" t="s">
        <v>579</v>
      </c>
      <c r="D2223" s="5" t="s">
        <v>188</v>
      </c>
      <c r="E2223" s="5" t="s">
        <v>25</v>
      </c>
      <c r="F2223" s="5">
        <v>1</v>
      </c>
      <c r="G2223" s="19">
        <v>0.05</v>
      </c>
      <c r="H2223" s="5" t="s">
        <v>697</v>
      </c>
      <c r="I2223" s="10">
        <f>IF(OR(D2223="", F2223=""), "", F2223 * VLOOKUP(D2223, Products!A:E, 5, FALSE) * (1 - G2223))</f>
        <v>1410.7974999999999</v>
      </c>
      <c r="J2223" s="10"/>
    </row>
    <row r="2224" spans="1:10" ht="15.75" customHeight="1" x14ac:dyDescent="0.3">
      <c r="A2224" s="5" t="s">
        <v>3091</v>
      </c>
      <c r="B2224" s="11">
        <v>45188</v>
      </c>
      <c r="C2224" s="5" t="s">
        <v>850</v>
      </c>
      <c r="D2224" s="5" t="s">
        <v>140</v>
      </c>
      <c r="E2224" s="5" t="s">
        <v>25</v>
      </c>
      <c r="F2224" s="5">
        <v>2</v>
      </c>
      <c r="G2224" s="19">
        <v>0.05</v>
      </c>
      <c r="H2224" s="5" t="s">
        <v>637</v>
      </c>
      <c r="I2224" s="10">
        <f>IF(OR(D2224="", F2224=""), "", F2224 * VLOOKUP(D2224, Products!A:E, 5, FALSE) * (1 - G2224))</f>
        <v>48.582999999999998</v>
      </c>
      <c r="J2224" s="10"/>
    </row>
    <row r="2225" spans="1:10" ht="15.75" customHeight="1" x14ac:dyDescent="0.3">
      <c r="A2225" s="5" t="s">
        <v>3092</v>
      </c>
      <c r="B2225" s="11">
        <v>45830</v>
      </c>
      <c r="C2225" s="5" t="s">
        <v>620</v>
      </c>
      <c r="D2225" s="5" t="s">
        <v>147</v>
      </c>
      <c r="E2225" s="5" t="s">
        <v>29</v>
      </c>
      <c r="F2225" s="5">
        <v>3</v>
      </c>
      <c r="G2225" s="19">
        <v>0</v>
      </c>
      <c r="H2225" s="5" t="s">
        <v>637</v>
      </c>
      <c r="I2225" s="10">
        <f>IF(OR(D2225="", F2225=""), "", F2225 * VLOOKUP(D2225, Products!A:E, 5, FALSE) * (1 - G2225))</f>
        <v>5635.41</v>
      </c>
      <c r="J2225" s="10"/>
    </row>
    <row r="2226" spans="1:10" ht="15.75" customHeight="1" x14ac:dyDescent="0.3">
      <c r="A2226" s="5" t="s">
        <v>3093</v>
      </c>
      <c r="B2226" s="11">
        <v>45209</v>
      </c>
      <c r="C2226" s="5" t="s">
        <v>522</v>
      </c>
      <c r="D2226" s="5" t="s">
        <v>262</v>
      </c>
      <c r="E2226" s="5" t="s">
        <v>29</v>
      </c>
      <c r="F2226" s="5">
        <v>4</v>
      </c>
      <c r="G2226" s="19">
        <v>0.15</v>
      </c>
      <c r="H2226" s="5" t="s">
        <v>776</v>
      </c>
      <c r="I2226" s="10">
        <f>IF(OR(D2226="", F2226=""), "", F2226 * VLOOKUP(D2226, Products!A:E, 5, FALSE) * (1 - G2226))</f>
        <v>1542.308</v>
      </c>
      <c r="J2226" s="10"/>
    </row>
    <row r="2227" spans="1:10" ht="15.75" customHeight="1" x14ac:dyDescent="0.3">
      <c r="A2227" s="5" t="s">
        <v>3094</v>
      </c>
      <c r="B2227" s="11">
        <v>45530</v>
      </c>
      <c r="C2227" s="5" t="s">
        <v>608</v>
      </c>
      <c r="D2227" s="5" t="s">
        <v>47</v>
      </c>
      <c r="E2227" s="5" t="s">
        <v>33</v>
      </c>
      <c r="F2227" s="5">
        <v>4</v>
      </c>
      <c r="G2227" s="19">
        <v>0.05</v>
      </c>
      <c r="H2227" s="5" t="s">
        <v>776</v>
      </c>
      <c r="I2227" s="10">
        <f>IF(OR(D2227="", F2227=""), "", F2227 * VLOOKUP(D2227, Products!A:E, 5, FALSE) * (1 - G2227))</f>
        <v>3111.288</v>
      </c>
      <c r="J2227" s="10"/>
    </row>
    <row r="2228" spans="1:10" ht="15.75" customHeight="1" x14ac:dyDescent="0.3">
      <c r="A2228" s="5" t="s">
        <v>3095</v>
      </c>
      <c r="B2228" s="11">
        <v>45236</v>
      </c>
      <c r="C2228" s="5" t="s">
        <v>440</v>
      </c>
      <c r="D2228" s="5" t="s">
        <v>291</v>
      </c>
      <c r="E2228" s="5" t="s">
        <v>33</v>
      </c>
      <c r="F2228" s="5">
        <v>1</v>
      </c>
      <c r="G2228" s="19">
        <v>0.15</v>
      </c>
      <c r="H2228" s="5" t="s">
        <v>776</v>
      </c>
      <c r="I2228" s="10">
        <f>IF(OR(D2228="", F2228=""), "", F2228 * VLOOKUP(D2228, Products!A:E, 5, FALSE) * (1 - G2228))</f>
        <v>887.94400000000007</v>
      </c>
      <c r="J2228" s="10"/>
    </row>
    <row r="2229" spans="1:10" ht="15.75" customHeight="1" x14ac:dyDescent="0.3">
      <c r="A2229" s="5" t="s">
        <v>3096</v>
      </c>
      <c r="B2229" s="11">
        <v>45884</v>
      </c>
      <c r="C2229" s="5" t="s">
        <v>711</v>
      </c>
      <c r="D2229" s="5" t="s">
        <v>162</v>
      </c>
      <c r="E2229" s="5" t="s">
        <v>29</v>
      </c>
      <c r="F2229" s="5">
        <v>1</v>
      </c>
      <c r="G2229" s="19">
        <v>0.15</v>
      </c>
      <c r="H2229" s="5" t="s">
        <v>776</v>
      </c>
      <c r="I2229" s="10">
        <f>IF(OR(D2229="", F2229=""), "", F2229 * VLOOKUP(D2229, Products!A:E, 5, FALSE) * (1 - G2229))</f>
        <v>364.77749999999997</v>
      </c>
      <c r="J2229" s="10"/>
    </row>
    <row r="2230" spans="1:10" ht="15.75" customHeight="1" x14ac:dyDescent="0.3">
      <c r="A2230" s="5" t="s">
        <v>3097</v>
      </c>
      <c r="B2230" s="11">
        <v>45889</v>
      </c>
      <c r="C2230" s="5" t="s">
        <v>507</v>
      </c>
      <c r="D2230" s="5" t="s">
        <v>265</v>
      </c>
      <c r="E2230" s="5" t="s">
        <v>25</v>
      </c>
      <c r="F2230" s="5">
        <v>4</v>
      </c>
      <c r="G2230" s="19">
        <v>0.15</v>
      </c>
      <c r="H2230" s="5" t="s">
        <v>454</v>
      </c>
      <c r="I2230" s="10">
        <f>IF(OR(D2230="", F2230=""), "", F2230 * VLOOKUP(D2230, Products!A:E, 5, FALSE) * (1 - G2230))</f>
        <v>1919.0279999999998</v>
      </c>
      <c r="J2230" s="10"/>
    </row>
    <row r="2231" spans="1:10" ht="15.75" customHeight="1" x14ac:dyDescent="0.3">
      <c r="A2231" s="5" t="s">
        <v>3098</v>
      </c>
      <c r="B2231" s="11">
        <v>45218</v>
      </c>
      <c r="C2231" s="5" t="s">
        <v>81</v>
      </c>
      <c r="D2231" s="5" t="s">
        <v>249</v>
      </c>
      <c r="E2231" s="5" t="s">
        <v>25</v>
      </c>
      <c r="F2231" s="5">
        <v>3</v>
      </c>
      <c r="G2231" s="19">
        <v>0.05</v>
      </c>
      <c r="H2231" s="5" t="s">
        <v>454</v>
      </c>
      <c r="I2231" s="10">
        <f>IF(OR(D2231="", F2231=""), "", F2231 * VLOOKUP(D2231, Products!A:E, 5, FALSE) * (1 - G2231))</f>
        <v>4974.9884999999995</v>
      </c>
      <c r="J2231" s="10"/>
    </row>
    <row r="2232" spans="1:10" ht="15.75" customHeight="1" x14ac:dyDescent="0.3">
      <c r="A2232" s="5" t="s">
        <v>3099</v>
      </c>
      <c r="B2232" s="11">
        <v>45381</v>
      </c>
      <c r="C2232" s="5" t="s">
        <v>815</v>
      </c>
      <c r="D2232" s="5" t="s">
        <v>128</v>
      </c>
      <c r="E2232" s="5" t="s">
        <v>37</v>
      </c>
      <c r="F2232" s="5">
        <v>4</v>
      </c>
      <c r="G2232" s="19">
        <v>0</v>
      </c>
      <c r="H2232" s="5" t="s">
        <v>697</v>
      </c>
      <c r="I2232" s="10">
        <f>IF(OR(D2232="", F2232=""), "", F2232 * VLOOKUP(D2232, Products!A:E, 5, FALSE) * (1 - G2232))</f>
        <v>1295.68</v>
      </c>
      <c r="J2232" s="10"/>
    </row>
    <row r="2233" spans="1:10" ht="15.75" customHeight="1" x14ac:dyDescent="0.3">
      <c r="A2233" s="5" t="s">
        <v>3100</v>
      </c>
      <c r="B2233" s="11">
        <v>45737</v>
      </c>
      <c r="C2233" s="5" t="s">
        <v>774</v>
      </c>
      <c r="D2233" s="5" t="s">
        <v>168</v>
      </c>
      <c r="E2233" s="5" t="s">
        <v>25</v>
      </c>
      <c r="F2233" s="5">
        <v>3</v>
      </c>
      <c r="G2233" s="19">
        <v>0.1</v>
      </c>
      <c r="H2233" s="5" t="s">
        <v>637</v>
      </c>
      <c r="I2233" s="10">
        <f>IF(OR(D2233="", F2233=""), "", F2233 * VLOOKUP(D2233, Products!A:E, 5, FALSE) * (1 - G2233))</f>
        <v>2742.5519999999997</v>
      </c>
      <c r="J2233" s="10"/>
    </row>
    <row r="2234" spans="1:10" ht="15.75" customHeight="1" x14ac:dyDescent="0.3">
      <c r="A2234" s="5" t="s">
        <v>3101</v>
      </c>
      <c r="B2234" s="11">
        <v>45681</v>
      </c>
      <c r="C2234" s="5" t="s">
        <v>826</v>
      </c>
      <c r="D2234" s="5" t="s">
        <v>188</v>
      </c>
      <c r="E2234" s="5" t="s">
        <v>25</v>
      </c>
      <c r="F2234" s="5">
        <v>3</v>
      </c>
      <c r="G2234" s="19">
        <v>0.1</v>
      </c>
      <c r="H2234" s="5" t="s">
        <v>637</v>
      </c>
      <c r="I2234" s="10">
        <f>IF(OR(D2234="", F2234=""), "", F2234 * VLOOKUP(D2234, Products!A:E, 5, FALSE) * (1 - G2234))</f>
        <v>4009.6349999999998</v>
      </c>
      <c r="J2234" s="10"/>
    </row>
    <row r="2235" spans="1:10" ht="15.75" customHeight="1" x14ac:dyDescent="0.3">
      <c r="A2235" s="5" t="s">
        <v>3102</v>
      </c>
      <c r="B2235" s="11">
        <v>45303</v>
      </c>
      <c r="C2235" s="5" t="s">
        <v>181</v>
      </c>
      <c r="D2235" s="5" t="s">
        <v>43</v>
      </c>
      <c r="E2235" s="5" t="s">
        <v>33</v>
      </c>
      <c r="F2235" s="5">
        <v>4</v>
      </c>
      <c r="G2235" s="19">
        <v>0.15</v>
      </c>
      <c r="H2235" s="5" t="s">
        <v>697</v>
      </c>
      <c r="I2235" s="10">
        <f>IF(OR(D2235="", F2235=""), "", F2235 * VLOOKUP(D2235, Products!A:E, 5, FALSE) * (1 - G2235))</f>
        <v>5690.5460000000003</v>
      </c>
      <c r="J2235" s="10"/>
    </row>
    <row r="2236" spans="1:10" ht="15.75" customHeight="1" x14ac:dyDescent="0.3">
      <c r="A2236" s="5" t="s">
        <v>3103</v>
      </c>
      <c r="B2236" s="11">
        <v>45195</v>
      </c>
      <c r="C2236" s="5" t="s">
        <v>708</v>
      </c>
      <c r="D2236" s="5" t="s">
        <v>280</v>
      </c>
      <c r="E2236" s="5" t="s">
        <v>37</v>
      </c>
      <c r="F2236" s="5">
        <v>5</v>
      </c>
      <c r="G2236" s="19">
        <v>0.1</v>
      </c>
      <c r="H2236" s="5" t="s">
        <v>697</v>
      </c>
      <c r="I2236" s="10">
        <f>IF(OR(D2236="", F2236=""), "", F2236 * VLOOKUP(D2236, Products!A:E, 5, FALSE) * (1 - G2236))</f>
        <v>5473.62</v>
      </c>
      <c r="J2236" s="10"/>
    </row>
    <row r="2237" spans="1:10" ht="15.75" customHeight="1" x14ac:dyDescent="0.3">
      <c r="A2237" s="5" t="s">
        <v>3104</v>
      </c>
      <c r="B2237" s="11">
        <v>45374</v>
      </c>
      <c r="C2237" s="5" t="s">
        <v>808</v>
      </c>
      <c r="D2237" s="5" t="s">
        <v>128</v>
      </c>
      <c r="E2237" s="5" t="s">
        <v>29</v>
      </c>
      <c r="F2237" s="5">
        <v>5</v>
      </c>
      <c r="G2237" s="19">
        <v>0.1</v>
      </c>
      <c r="H2237" s="5" t="s">
        <v>637</v>
      </c>
      <c r="I2237" s="10">
        <f>IF(OR(D2237="", F2237=""), "", F2237 * VLOOKUP(D2237, Products!A:E, 5, FALSE) * (1 - G2237))</f>
        <v>1457.64</v>
      </c>
      <c r="J2237" s="10"/>
    </row>
    <row r="2238" spans="1:10" ht="15.75" customHeight="1" x14ac:dyDescent="0.3">
      <c r="A2238" s="5" t="s">
        <v>3105</v>
      </c>
      <c r="B2238" s="11">
        <v>45523</v>
      </c>
      <c r="C2238" s="5" t="s">
        <v>181</v>
      </c>
      <c r="D2238" s="5" t="s">
        <v>280</v>
      </c>
      <c r="E2238" s="5" t="s">
        <v>21</v>
      </c>
      <c r="F2238" s="5">
        <v>1</v>
      </c>
      <c r="G2238" s="19">
        <v>0.05</v>
      </c>
      <c r="H2238" s="5" t="s">
        <v>697</v>
      </c>
      <c r="I2238" s="10">
        <f>IF(OR(D2238="", F2238=""), "", F2238 * VLOOKUP(D2238, Products!A:E, 5, FALSE) * (1 - G2238))</f>
        <v>1155.5419999999999</v>
      </c>
      <c r="J2238" s="10"/>
    </row>
    <row r="2239" spans="1:10" ht="15.75" customHeight="1" x14ac:dyDescent="0.3">
      <c r="A2239" s="5" t="s">
        <v>3106</v>
      </c>
      <c r="B2239" s="11">
        <v>45544</v>
      </c>
      <c r="C2239" s="5" t="s">
        <v>223</v>
      </c>
      <c r="D2239" s="5" t="s">
        <v>291</v>
      </c>
      <c r="E2239" s="5" t="s">
        <v>21</v>
      </c>
      <c r="F2239" s="5">
        <v>4</v>
      </c>
      <c r="G2239" s="19">
        <v>0.15</v>
      </c>
      <c r="H2239" s="5" t="s">
        <v>454</v>
      </c>
      <c r="I2239" s="10">
        <f>IF(OR(D2239="", F2239=""), "", F2239 * VLOOKUP(D2239, Products!A:E, 5, FALSE) * (1 - G2239))</f>
        <v>3551.7760000000003</v>
      </c>
      <c r="J2239" s="10"/>
    </row>
    <row r="2240" spans="1:10" ht="15.75" customHeight="1" x14ac:dyDescent="0.3">
      <c r="A2240" s="5" t="s">
        <v>3107</v>
      </c>
      <c r="B2240" s="11">
        <v>45860</v>
      </c>
      <c r="C2240" s="5" t="s">
        <v>862</v>
      </c>
      <c r="D2240" s="5" t="s">
        <v>70</v>
      </c>
      <c r="E2240" s="5" t="s">
        <v>25</v>
      </c>
      <c r="F2240" s="5">
        <v>2</v>
      </c>
      <c r="G2240" s="19">
        <v>0</v>
      </c>
      <c r="H2240" s="5" t="s">
        <v>697</v>
      </c>
      <c r="I2240" s="10">
        <f>IF(OR(D2240="", F2240=""), "", F2240 * VLOOKUP(D2240, Products!A:E, 5, FALSE) * (1 - G2240))</f>
        <v>246.38</v>
      </c>
      <c r="J2240" s="10"/>
    </row>
    <row r="2241" spans="1:10" ht="15.75" customHeight="1" x14ac:dyDescent="0.3">
      <c r="A2241" s="5" t="s">
        <v>3108</v>
      </c>
      <c r="B2241" s="11">
        <v>45709</v>
      </c>
      <c r="C2241" s="5" t="s">
        <v>837</v>
      </c>
      <c r="D2241" s="5" t="s">
        <v>122</v>
      </c>
      <c r="E2241" s="5" t="s">
        <v>33</v>
      </c>
      <c r="F2241" s="5">
        <v>4</v>
      </c>
      <c r="G2241" s="19">
        <v>0</v>
      </c>
      <c r="H2241" s="5" t="s">
        <v>776</v>
      </c>
      <c r="I2241" s="10">
        <f>IF(OR(D2241="", F2241=""), "", F2241 * VLOOKUP(D2241, Products!A:E, 5, FALSE) * (1 - G2241))</f>
        <v>7051.68</v>
      </c>
      <c r="J2241" s="10"/>
    </row>
    <row r="2242" spans="1:10" ht="15.75" customHeight="1" x14ac:dyDescent="0.3">
      <c r="A2242" s="5" t="s">
        <v>3109</v>
      </c>
      <c r="B2242" s="11">
        <v>45528</v>
      </c>
      <c r="C2242" s="5" t="s">
        <v>736</v>
      </c>
      <c r="D2242" s="5" t="s">
        <v>262</v>
      </c>
      <c r="E2242" s="5" t="s">
        <v>29</v>
      </c>
      <c r="F2242" s="5">
        <v>1</v>
      </c>
      <c r="G2242" s="19">
        <v>0</v>
      </c>
      <c r="H2242" s="5" t="s">
        <v>776</v>
      </c>
      <c r="I2242" s="10">
        <f>IF(OR(D2242="", F2242=""), "", F2242 * VLOOKUP(D2242, Products!A:E, 5, FALSE) * (1 - G2242))</f>
        <v>453.62</v>
      </c>
      <c r="J2242" s="10"/>
    </row>
    <row r="2243" spans="1:10" ht="15.75" customHeight="1" x14ac:dyDescent="0.3">
      <c r="A2243" s="5" t="s">
        <v>3110</v>
      </c>
      <c r="B2243" s="11">
        <v>45506</v>
      </c>
      <c r="C2243" s="5" t="s">
        <v>590</v>
      </c>
      <c r="D2243" s="5" t="s">
        <v>188</v>
      </c>
      <c r="E2243" s="5" t="s">
        <v>29</v>
      </c>
      <c r="F2243" s="5">
        <v>5</v>
      </c>
      <c r="G2243" s="19">
        <v>0</v>
      </c>
      <c r="H2243" s="5" t="s">
        <v>697</v>
      </c>
      <c r="I2243" s="10">
        <f>IF(OR(D2243="", F2243=""), "", F2243 * VLOOKUP(D2243, Products!A:E, 5, FALSE) * (1 - G2243))</f>
        <v>7425.25</v>
      </c>
      <c r="J2243" s="10"/>
    </row>
    <row r="2244" spans="1:10" ht="15.75" customHeight="1" x14ac:dyDescent="0.3">
      <c r="A2244" s="5" t="s">
        <v>3111</v>
      </c>
      <c r="B2244" s="11">
        <v>45400</v>
      </c>
      <c r="C2244" s="5" t="s">
        <v>477</v>
      </c>
      <c r="D2244" s="5" t="s">
        <v>162</v>
      </c>
      <c r="E2244" s="5" t="s">
        <v>21</v>
      </c>
      <c r="F2244" s="5">
        <v>4</v>
      </c>
      <c r="G2244" s="19">
        <v>0.15</v>
      </c>
      <c r="H2244" s="5" t="s">
        <v>697</v>
      </c>
      <c r="I2244" s="10">
        <f>IF(OR(D2244="", F2244=""), "", F2244 * VLOOKUP(D2244, Products!A:E, 5, FALSE) * (1 - G2244))</f>
        <v>1459.11</v>
      </c>
      <c r="J2244" s="10"/>
    </row>
    <row r="2245" spans="1:10" ht="15.75" customHeight="1" x14ac:dyDescent="0.3">
      <c r="A2245" s="5" t="s">
        <v>3112</v>
      </c>
      <c r="B2245" s="11">
        <v>45442</v>
      </c>
      <c r="C2245" s="5" t="s">
        <v>758</v>
      </c>
      <c r="D2245" s="5" t="s">
        <v>74</v>
      </c>
      <c r="E2245" s="5" t="s">
        <v>37</v>
      </c>
      <c r="F2245" s="5">
        <v>5</v>
      </c>
      <c r="G2245" s="19">
        <v>0.05</v>
      </c>
      <c r="H2245" s="5" t="s">
        <v>697</v>
      </c>
      <c r="I2245" s="10">
        <f>IF(OR(D2245="", F2245=""), "", F2245 * VLOOKUP(D2245, Products!A:E, 5, FALSE) * (1 - G2245))</f>
        <v>5672.0699999999988</v>
      </c>
      <c r="J2245" s="10"/>
    </row>
    <row r="2246" spans="1:10" ht="15.75" customHeight="1" x14ac:dyDescent="0.3">
      <c r="A2246" s="5" t="s">
        <v>3113</v>
      </c>
      <c r="B2246" s="11">
        <v>45604</v>
      </c>
      <c r="C2246" s="5" t="s">
        <v>409</v>
      </c>
      <c r="D2246" s="5" t="s">
        <v>115</v>
      </c>
      <c r="E2246" s="5" t="s">
        <v>33</v>
      </c>
      <c r="F2246" s="5">
        <v>4</v>
      </c>
      <c r="G2246" s="19">
        <v>0.1</v>
      </c>
      <c r="H2246" s="5" t="s">
        <v>697</v>
      </c>
      <c r="I2246" s="10">
        <f>IF(OR(D2246="", F2246=""), "", F2246 * VLOOKUP(D2246, Products!A:E, 5, FALSE) * (1 - G2246))</f>
        <v>4485.9960000000001</v>
      </c>
      <c r="J2246" s="10"/>
    </row>
    <row r="2247" spans="1:10" ht="15.75" customHeight="1" x14ac:dyDescent="0.3">
      <c r="A2247" s="5" t="s">
        <v>3114</v>
      </c>
      <c r="B2247" s="11">
        <v>45250</v>
      </c>
      <c r="C2247" s="5" t="s">
        <v>357</v>
      </c>
      <c r="D2247" s="5" t="s">
        <v>67</v>
      </c>
      <c r="E2247" s="5" t="s">
        <v>25</v>
      </c>
      <c r="F2247" s="5">
        <v>4</v>
      </c>
      <c r="G2247" s="19">
        <v>0.05</v>
      </c>
      <c r="H2247" s="5" t="s">
        <v>776</v>
      </c>
      <c r="I2247" s="10">
        <f>IF(OR(D2247="", F2247=""), "", F2247 * VLOOKUP(D2247, Products!A:E, 5, FALSE) * (1 - G2247))</f>
        <v>417.16399999999999</v>
      </c>
      <c r="J2247" s="10"/>
    </row>
    <row r="2248" spans="1:10" ht="15.75" customHeight="1" x14ac:dyDescent="0.3">
      <c r="A2248" s="5" t="s">
        <v>3115</v>
      </c>
      <c r="B2248" s="11">
        <v>45273</v>
      </c>
      <c r="C2248" s="5" t="s">
        <v>715</v>
      </c>
      <c r="D2248" s="5" t="s">
        <v>249</v>
      </c>
      <c r="E2248" s="5" t="s">
        <v>21</v>
      </c>
      <c r="F2248" s="5">
        <v>1</v>
      </c>
      <c r="G2248" s="19">
        <v>0.05</v>
      </c>
      <c r="H2248" s="5" t="s">
        <v>776</v>
      </c>
      <c r="I2248" s="10">
        <f>IF(OR(D2248="", F2248=""), "", F2248 * VLOOKUP(D2248, Products!A:E, 5, FALSE) * (1 - G2248))</f>
        <v>1658.3294999999998</v>
      </c>
      <c r="J2248" s="10"/>
    </row>
    <row r="2249" spans="1:10" ht="15.75" customHeight="1" x14ac:dyDescent="0.3">
      <c r="A2249" s="5" t="s">
        <v>3116</v>
      </c>
      <c r="B2249" s="11">
        <v>45590</v>
      </c>
      <c r="C2249" s="5" t="s">
        <v>292</v>
      </c>
      <c r="D2249" s="5" t="s">
        <v>82</v>
      </c>
      <c r="E2249" s="5" t="s">
        <v>21</v>
      </c>
      <c r="F2249" s="5">
        <v>3</v>
      </c>
      <c r="G2249" s="19">
        <v>0.15</v>
      </c>
      <c r="H2249" s="5" t="s">
        <v>776</v>
      </c>
      <c r="I2249" s="10">
        <f>IF(OR(D2249="", F2249=""), "", F2249 * VLOOKUP(D2249, Products!A:E, 5, FALSE) * (1 - G2249))</f>
        <v>3042.3794999999996</v>
      </c>
      <c r="J2249" s="10"/>
    </row>
    <row r="2250" spans="1:10" ht="15.75" customHeight="1" x14ac:dyDescent="0.3">
      <c r="A2250" s="5" t="s">
        <v>3117</v>
      </c>
      <c r="B2250" s="11">
        <v>45184</v>
      </c>
      <c r="C2250" s="5" t="s">
        <v>495</v>
      </c>
      <c r="D2250" s="5" t="s">
        <v>221</v>
      </c>
      <c r="E2250" s="5" t="s">
        <v>25</v>
      </c>
      <c r="F2250" s="5">
        <v>5</v>
      </c>
      <c r="G2250" s="19">
        <v>0.15</v>
      </c>
      <c r="H2250" s="5" t="s">
        <v>697</v>
      </c>
      <c r="I2250" s="10">
        <f>IF(OR(D2250="", F2250=""), "", F2250 * VLOOKUP(D2250, Products!A:E, 5, FALSE) * (1 - G2250))</f>
        <v>6640.3275000000003</v>
      </c>
      <c r="J2250" s="10"/>
    </row>
    <row r="2251" spans="1:10" ht="15.75" customHeight="1" x14ac:dyDescent="0.3">
      <c r="A2251" s="5" t="s">
        <v>3118</v>
      </c>
      <c r="B2251" s="11">
        <v>45754</v>
      </c>
      <c r="C2251" s="5" t="s">
        <v>365</v>
      </c>
      <c r="D2251" s="5" t="s">
        <v>109</v>
      </c>
      <c r="E2251" s="5" t="s">
        <v>37</v>
      </c>
      <c r="F2251" s="5">
        <v>4</v>
      </c>
      <c r="G2251" s="19">
        <v>0.1</v>
      </c>
      <c r="H2251" s="5" t="s">
        <v>454</v>
      </c>
      <c r="I2251" s="10">
        <f>IF(OR(D2251="", F2251=""), "", F2251 * VLOOKUP(D2251, Products!A:E, 5, FALSE) * (1 - G2251))</f>
        <v>6691.5</v>
      </c>
      <c r="J2251" s="10"/>
    </row>
    <row r="2252" spans="1:10" ht="15.75" customHeight="1" x14ac:dyDescent="0.3">
      <c r="A2252" s="5" t="s">
        <v>3119</v>
      </c>
      <c r="B2252" s="11">
        <v>45737</v>
      </c>
      <c r="C2252" s="5" t="s">
        <v>744</v>
      </c>
      <c r="D2252" s="5" t="s">
        <v>67</v>
      </c>
      <c r="E2252" s="5" t="s">
        <v>37</v>
      </c>
      <c r="F2252" s="5">
        <v>2</v>
      </c>
      <c r="G2252" s="19">
        <v>0</v>
      </c>
      <c r="H2252" s="5" t="s">
        <v>637</v>
      </c>
      <c r="I2252" s="10">
        <f>IF(OR(D2252="", F2252=""), "", F2252 * VLOOKUP(D2252, Products!A:E, 5, FALSE) * (1 - G2252))</f>
        <v>219.56</v>
      </c>
      <c r="J2252" s="10"/>
    </row>
    <row r="2253" spans="1:10" ht="15.75" customHeight="1" x14ac:dyDescent="0.3">
      <c r="A2253" s="5" t="s">
        <v>3120</v>
      </c>
      <c r="B2253" s="11">
        <v>45253</v>
      </c>
      <c r="C2253" s="5" t="s">
        <v>575</v>
      </c>
      <c r="D2253" s="5" t="s">
        <v>109</v>
      </c>
      <c r="E2253" s="5" t="s">
        <v>33</v>
      </c>
      <c r="F2253" s="5">
        <v>1</v>
      </c>
      <c r="G2253" s="19">
        <v>0</v>
      </c>
      <c r="H2253" s="5" t="s">
        <v>697</v>
      </c>
      <c r="I2253" s="10">
        <f>IF(OR(D2253="", F2253=""), "", F2253 * VLOOKUP(D2253, Products!A:E, 5, FALSE) * (1 - G2253))</f>
        <v>1858.75</v>
      </c>
      <c r="J2253" s="10"/>
    </row>
    <row r="2254" spans="1:10" ht="15.75" customHeight="1" x14ac:dyDescent="0.3">
      <c r="A2254" s="5" t="s">
        <v>3121</v>
      </c>
      <c r="B2254" s="11">
        <v>45618</v>
      </c>
      <c r="C2254" s="5" t="s">
        <v>657</v>
      </c>
      <c r="D2254" s="5" t="s">
        <v>200</v>
      </c>
      <c r="E2254" s="5" t="s">
        <v>29</v>
      </c>
      <c r="F2254" s="5">
        <v>1</v>
      </c>
      <c r="G2254" s="19">
        <v>0</v>
      </c>
      <c r="H2254" s="5" t="s">
        <v>637</v>
      </c>
      <c r="I2254" s="10">
        <f>IF(OR(D2254="", F2254=""), "", F2254 * VLOOKUP(D2254, Products!A:E, 5, FALSE) * (1 - G2254))</f>
        <v>1095.72</v>
      </c>
      <c r="J2254" s="10"/>
    </row>
    <row r="2255" spans="1:10" ht="15.75" customHeight="1" x14ac:dyDescent="0.3">
      <c r="A2255" s="5" t="s">
        <v>3122</v>
      </c>
      <c r="B2255" s="11">
        <v>45544</v>
      </c>
      <c r="C2255" s="5" t="s">
        <v>389</v>
      </c>
      <c r="D2255" s="5" t="s">
        <v>217</v>
      </c>
      <c r="E2255" s="5" t="s">
        <v>21</v>
      </c>
      <c r="F2255" s="5">
        <v>5</v>
      </c>
      <c r="G2255" s="19">
        <v>0.1</v>
      </c>
      <c r="H2255" s="5" t="s">
        <v>776</v>
      </c>
      <c r="I2255" s="10">
        <f>IF(OR(D2255="", F2255=""), "", F2255 * VLOOKUP(D2255, Products!A:E, 5, FALSE) * (1 - G2255))</f>
        <v>1926.2250000000001</v>
      </c>
      <c r="J2255" s="10"/>
    </row>
    <row r="2256" spans="1:10" ht="15.75" customHeight="1" x14ac:dyDescent="0.3">
      <c r="A2256" s="5" t="s">
        <v>3123</v>
      </c>
      <c r="B2256" s="11">
        <v>45310</v>
      </c>
      <c r="C2256" s="5" t="s">
        <v>380</v>
      </c>
      <c r="D2256" s="5" t="s">
        <v>226</v>
      </c>
      <c r="E2256" s="5" t="s">
        <v>29</v>
      </c>
      <c r="F2256" s="5">
        <v>3</v>
      </c>
      <c r="G2256" s="19">
        <v>0.15</v>
      </c>
      <c r="H2256" s="5" t="s">
        <v>454</v>
      </c>
      <c r="I2256" s="10">
        <f>IF(OR(D2256="", F2256=""), "", F2256 * VLOOKUP(D2256, Products!A:E, 5, FALSE) * (1 - G2256))</f>
        <v>3828.723</v>
      </c>
      <c r="J2256" s="10"/>
    </row>
    <row r="2257" spans="1:10" ht="15.75" customHeight="1" x14ac:dyDescent="0.3">
      <c r="A2257" s="5" t="s">
        <v>3124</v>
      </c>
      <c r="B2257" s="11">
        <v>45801</v>
      </c>
      <c r="C2257" s="5" t="s">
        <v>181</v>
      </c>
      <c r="D2257" s="5" t="s">
        <v>249</v>
      </c>
      <c r="E2257" s="5" t="s">
        <v>25</v>
      </c>
      <c r="F2257" s="5">
        <v>3</v>
      </c>
      <c r="G2257" s="19">
        <v>0</v>
      </c>
      <c r="H2257" s="5" t="s">
        <v>697</v>
      </c>
      <c r="I2257" s="10">
        <f>IF(OR(D2257="", F2257=""), "", F2257 * VLOOKUP(D2257, Products!A:E, 5, FALSE) * (1 - G2257))</f>
        <v>5236.83</v>
      </c>
      <c r="J2257" s="10"/>
    </row>
    <row r="2258" spans="1:10" ht="15.75" customHeight="1" x14ac:dyDescent="0.3">
      <c r="A2258" s="5" t="s">
        <v>3125</v>
      </c>
      <c r="B2258" s="11">
        <v>45448</v>
      </c>
      <c r="C2258" s="5" t="s">
        <v>657</v>
      </c>
      <c r="D2258" s="5" t="s">
        <v>256</v>
      </c>
      <c r="E2258" s="5" t="s">
        <v>37</v>
      </c>
      <c r="F2258" s="5">
        <v>5</v>
      </c>
      <c r="G2258" s="19">
        <v>0.1</v>
      </c>
      <c r="H2258" s="5" t="s">
        <v>637</v>
      </c>
      <c r="I2258" s="10">
        <f>IF(OR(D2258="", F2258=""), "", F2258 * VLOOKUP(D2258, Products!A:E, 5, FALSE) * (1 - G2258))</f>
        <v>7357.5450000000001</v>
      </c>
      <c r="J2258" s="10"/>
    </row>
    <row r="2259" spans="1:10" ht="15.75" customHeight="1" x14ac:dyDescent="0.3">
      <c r="A2259" s="5" t="s">
        <v>3126</v>
      </c>
      <c r="B2259" s="11">
        <v>45623</v>
      </c>
      <c r="C2259" s="5" t="s">
        <v>744</v>
      </c>
      <c r="D2259" s="5" t="s">
        <v>200</v>
      </c>
      <c r="E2259" s="5" t="s">
        <v>21</v>
      </c>
      <c r="F2259" s="5">
        <v>5</v>
      </c>
      <c r="G2259" s="19">
        <v>0</v>
      </c>
      <c r="H2259" s="5" t="s">
        <v>637</v>
      </c>
      <c r="I2259" s="10">
        <f>IF(OR(D2259="", F2259=""), "", F2259 * VLOOKUP(D2259, Products!A:E, 5, FALSE) * (1 - G2259))</f>
        <v>5478.6</v>
      </c>
      <c r="J2259" s="10"/>
    </row>
    <row r="2260" spans="1:10" ht="15.75" customHeight="1" x14ac:dyDescent="0.3">
      <c r="A2260" s="5" t="s">
        <v>3127</v>
      </c>
      <c r="B2260" s="11">
        <v>45618</v>
      </c>
      <c r="C2260" s="5" t="s">
        <v>420</v>
      </c>
      <c r="D2260" s="5" t="s">
        <v>237</v>
      </c>
      <c r="E2260" s="5" t="s">
        <v>21</v>
      </c>
      <c r="F2260" s="5">
        <v>1</v>
      </c>
      <c r="G2260" s="19">
        <v>0.1</v>
      </c>
      <c r="H2260" s="5" t="s">
        <v>637</v>
      </c>
      <c r="I2260" s="10">
        <f>IF(OR(D2260="", F2260=""), "", F2260 * VLOOKUP(D2260, Products!A:E, 5, FALSE) * (1 - G2260))</f>
        <v>330.23700000000002</v>
      </c>
      <c r="J2260" s="10"/>
    </row>
    <row r="2261" spans="1:10" ht="15.75" customHeight="1" x14ac:dyDescent="0.3">
      <c r="A2261" s="5" t="s">
        <v>3128</v>
      </c>
      <c r="B2261" s="11">
        <v>45314</v>
      </c>
      <c r="C2261" s="5" t="s">
        <v>416</v>
      </c>
      <c r="D2261" s="5" t="s">
        <v>103</v>
      </c>
      <c r="E2261" s="5" t="s">
        <v>25</v>
      </c>
      <c r="F2261" s="5">
        <v>3</v>
      </c>
      <c r="G2261" s="19">
        <v>0</v>
      </c>
      <c r="H2261" s="5" t="s">
        <v>697</v>
      </c>
      <c r="I2261" s="10">
        <f>IF(OR(D2261="", F2261=""), "", F2261 * VLOOKUP(D2261, Products!A:E, 5, FALSE) * (1 - G2261))</f>
        <v>811.34999999999991</v>
      </c>
      <c r="J2261" s="10"/>
    </row>
    <row r="2262" spans="1:10" ht="15.75" customHeight="1" x14ac:dyDescent="0.3">
      <c r="A2262" s="5" t="s">
        <v>3129</v>
      </c>
      <c r="B2262" s="11">
        <v>45673</v>
      </c>
      <c r="C2262" s="5" t="s">
        <v>361</v>
      </c>
      <c r="D2262" s="5" t="s">
        <v>237</v>
      </c>
      <c r="E2262" s="5" t="s">
        <v>37</v>
      </c>
      <c r="F2262" s="5">
        <v>3</v>
      </c>
      <c r="G2262" s="19">
        <v>0</v>
      </c>
      <c r="H2262" s="5" t="s">
        <v>697</v>
      </c>
      <c r="I2262" s="10">
        <f>IF(OR(D2262="", F2262=""), "", F2262 * VLOOKUP(D2262, Products!A:E, 5, FALSE) * (1 - G2262))</f>
        <v>1100.79</v>
      </c>
      <c r="J2262" s="10"/>
    </row>
    <row r="2263" spans="1:10" ht="15.75" customHeight="1" x14ac:dyDescent="0.3">
      <c r="A2263" s="5" t="s">
        <v>3130</v>
      </c>
      <c r="B2263" s="11">
        <v>45771</v>
      </c>
      <c r="C2263" s="5" t="s">
        <v>634</v>
      </c>
      <c r="D2263" s="5" t="s">
        <v>272</v>
      </c>
      <c r="E2263" s="5" t="s">
        <v>21</v>
      </c>
      <c r="F2263" s="5">
        <v>5</v>
      </c>
      <c r="G2263" s="19">
        <v>0</v>
      </c>
      <c r="H2263" s="5" t="s">
        <v>454</v>
      </c>
      <c r="I2263" s="10">
        <f>IF(OR(D2263="", F2263=""), "", F2263 * VLOOKUP(D2263, Products!A:E, 5, FALSE) * (1 - G2263))</f>
        <v>5826.8499999999995</v>
      </c>
      <c r="J2263" s="10"/>
    </row>
    <row r="2264" spans="1:10" ht="15.75" customHeight="1" x14ac:dyDescent="0.3">
      <c r="A2264" s="5" t="s">
        <v>3131</v>
      </c>
      <c r="B2264" s="11">
        <v>45233</v>
      </c>
      <c r="C2264" s="5" t="s">
        <v>185</v>
      </c>
      <c r="D2264" s="5" t="s">
        <v>70</v>
      </c>
      <c r="E2264" s="5" t="s">
        <v>33</v>
      </c>
      <c r="F2264" s="5">
        <v>5</v>
      </c>
      <c r="G2264" s="19">
        <v>0</v>
      </c>
      <c r="H2264" s="5" t="s">
        <v>637</v>
      </c>
      <c r="I2264" s="10">
        <f>IF(OR(D2264="", F2264=""), "", F2264 * VLOOKUP(D2264, Products!A:E, 5, FALSE) * (1 - G2264))</f>
        <v>615.95000000000005</v>
      </c>
      <c r="J2264" s="10"/>
    </row>
    <row r="2265" spans="1:10" ht="15.75" customHeight="1" x14ac:dyDescent="0.3">
      <c r="A2265" s="5" t="s">
        <v>3132</v>
      </c>
      <c r="B2265" s="11">
        <v>45511</v>
      </c>
      <c r="C2265" s="5" t="s">
        <v>281</v>
      </c>
      <c r="D2265" s="5" t="s">
        <v>267</v>
      </c>
      <c r="E2265" s="5" t="s">
        <v>29</v>
      </c>
      <c r="F2265" s="5">
        <v>1</v>
      </c>
      <c r="G2265" s="19">
        <v>0</v>
      </c>
      <c r="H2265" s="5" t="s">
        <v>776</v>
      </c>
      <c r="I2265" s="10">
        <f>IF(OR(D2265="", F2265=""), "", F2265 * VLOOKUP(D2265, Products!A:E, 5, FALSE) * (1 - G2265))</f>
        <v>1286.55</v>
      </c>
      <c r="J2265" s="10"/>
    </row>
    <row r="2266" spans="1:10" ht="15.75" customHeight="1" x14ac:dyDescent="0.3">
      <c r="A2266" s="5" t="s">
        <v>3133</v>
      </c>
      <c r="B2266" s="11">
        <v>45727</v>
      </c>
      <c r="C2266" s="5" t="s">
        <v>638</v>
      </c>
      <c r="D2266" s="5" t="s">
        <v>285</v>
      </c>
      <c r="E2266" s="5" t="s">
        <v>37</v>
      </c>
      <c r="F2266" s="5">
        <v>2</v>
      </c>
      <c r="G2266" s="19">
        <v>0.1</v>
      </c>
      <c r="H2266" s="5" t="s">
        <v>637</v>
      </c>
      <c r="I2266" s="10">
        <f>IF(OR(D2266="", F2266=""), "", F2266 * VLOOKUP(D2266, Products!A:E, 5, FALSE) * (1 - G2266))</f>
        <v>698.86800000000005</v>
      </c>
      <c r="J2266" s="10"/>
    </row>
    <row r="2267" spans="1:10" ht="15.75" customHeight="1" x14ac:dyDescent="0.3">
      <c r="A2267" s="5" t="s">
        <v>3134</v>
      </c>
      <c r="B2267" s="11">
        <v>45375</v>
      </c>
      <c r="C2267" s="5" t="s">
        <v>620</v>
      </c>
      <c r="D2267" s="5" t="s">
        <v>65</v>
      </c>
      <c r="E2267" s="5" t="s">
        <v>29</v>
      </c>
      <c r="F2267" s="5">
        <v>2</v>
      </c>
      <c r="G2267" s="19">
        <v>0</v>
      </c>
      <c r="H2267" s="5" t="s">
        <v>776</v>
      </c>
      <c r="I2267" s="10">
        <f>IF(OR(D2267="", F2267=""), "", F2267 * VLOOKUP(D2267, Products!A:E, 5, FALSE) * (1 - G2267))</f>
        <v>2948.24</v>
      </c>
      <c r="J2267" s="10"/>
    </row>
    <row r="2268" spans="1:10" ht="15.75" customHeight="1" x14ac:dyDescent="0.3">
      <c r="A2268" s="5" t="s">
        <v>3135</v>
      </c>
      <c r="B2268" s="11">
        <v>45820</v>
      </c>
      <c r="C2268" s="5" t="s">
        <v>113</v>
      </c>
      <c r="D2268" s="5" t="s">
        <v>115</v>
      </c>
      <c r="E2268" s="5" t="s">
        <v>25</v>
      </c>
      <c r="F2268" s="5">
        <v>5</v>
      </c>
      <c r="G2268" s="19">
        <v>0.15</v>
      </c>
      <c r="H2268" s="5" t="s">
        <v>776</v>
      </c>
      <c r="I2268" s="10">
        <f>IF(OR(D2268="", F2268=""), "", F2268 * VLOOKUP(D2268, Products!A:E, 5, FALSE) * (1 - G2268))</f>
        <v>5295.9674999999988</v>
      </c>
      <c r="J2268" s="10"/>
    </row>
    <row r="2269" spans="1:10" ht="15.75" customHeight="1" x14ac:dyDescent="0.3">
      <c r="A2269" s="5" t="s">
        <v>3136</v>
      </c>
      <c r="B2269" s="11">
        <v>45369</v>
      </c>
      <c r="C2269" s="5" t="s">
        <v>635</v>
      </c>
      <c r="D2269" s="5" t="s">
        <v>70</v>
      </c>
      <c r="E2269" s="5" t="s">
        <v>33</v>
      </c>
      <c r="F2269" s="5">
        <v>1</v>
      </c>
      <c r="G2269" s="19">
        <v>0.15</v>
      </c>
      <c r="H2269" s="5" t="s">
        <v>637</v>
      </c>
      <c r="I2269" s="10">
        <f>IF(OR(D2269="", F2269=""), "", F2269 * VLOOKUP(D2269, Products!A:E, 5, FALSE) * (1 - G2269))</f>
        <v>104.7115</v>
      </c>
      <c r="J2269" s="10"/>
    </row>
    <row r="2270" spans="1:10" ht="15.75" customHeight="1" x14ac:dyDescent="0.3">
      <c r="A2270" s="5" t="s">
        <v>3137</v>
      </c>
      <c r="B2270" s="11">
        <v>45776</v>
      </c>
      <c r="C2270" s="5" t="s">
        <v>808</v>
      </c>
      <c r="D2270" s="5" t="s">
        <v>50</v>
      </c>
      <c r="E2270" s="5" t="s">
        <v>25</v>
      </c>
      <c r="F2270" s="5">
        <v>4</v>
      </c>
      <c r="G2270" s="19">
        <v>0.15</v>
      </c>
      <c r="H2270" s="5" t="s">
        <v>697</v>
      </c>
      <c r="I2270" s="10">
        <f>IF(OR(D2270="", F2270=""), "", F2270 * VLOOKUP(D2270, Products!A:E, 5, FALSE) * (1 - G2270))</f>
        <v>1147.942</v>
      </c>
      <c r="J2270" s="10"/>
    </row>
    <row r="2271" spans="1:10" ht="15.75" customHeight="1" x14ac:dyDescent="0.3">
      <c r="A2271" s="5" t="s">
        <v>3138</v>
      </c>
      <c r="B2271" s="11">
        <v>45689</v>
      </c>
      <c r="C2271" s="5" t="s">
        <v>250</v>
      </c>
      <c r="D2271" s="5" t="s">
        <v>74</v>
      </c>
      <c r="E2271" s="5" t="s">
        <v>33</v>
      </c>
      <c r="F2271" s="5">
        <v>1</v>
      </c>
      <c r="G2271" s="19">
        <v>0.1</v>
      </c>
      <c r="H2271" s="5" t="s">
        <v>454</v>
      </c>
      <c r="I2271" s="10">
        <f>IF(OR(D2271="", F2271=""), "", F2271 * VLOOKUP(D2271, Products!A:E, 5, FALSE) * (1 - G2271))</f>
        <v>1074.7079999999999</v>
      </c>
      <c r="J2271" s="10"/>
    </row>
    <row r="2272" spans="1:10" ht="15.75" customHeight="1" x14ac:dyDescent="0.3">
      <c r="A2272" s="5" t="s">
        <v>3139</v>
      </c>
      <c r="B2272" s="11">
        <v>45437</v>
      </c>
      <c r="C2272" s="5" t="s">
        <v>350</v>
      </c>
      <c r="D2272" s="5" t="s">
        <v>115</v>
      </c>
      <c r="E2272" s="5" t="s">
        <v>29</v>
      </c>
      <c r="F2272" s="5">
        <v>4</v>
      </c>
      <c r="G2272" s="19">
        <v>0</v>
      </c>
      <c r="H2272" s="5" t="s">
        <v>697</v>
      </c>
      <c r="I2272" s="10">
        <f>IF(OR(D2272="", F2272=""), "", F2272 * VLOOKUP(D2272, Products!A:E, 5, FALSE) * (1 - G2272))</f>
        <v>4984.4399999999996</v>
      </c>
      <c r="J2272" s="10"/>
    </row>
    <row r="2273" spans="1:10" ht="15.75" customHeight="1" x14ac:dyDescent="0.3">
      <c r="A2273" s="5" t="s">
        <v>3140</v>
      </c>
      <c r="B2273" s="11">
        <v>45799</v>
      </c>
      <c r="C2273" s="5" t="s">
        <v>389</v>
      </c>
      <c r="D2273" s="5" t="s">
        <v>291</v>
      </c>
      <c r="E2273" s="5" t="s">
        <v>21</v>
      </c>
      <c r="F2273" s="5">
        <v>5</v>
      </c>
      <c r="G2273" s="19">
        <v>0</v>
      </c>
      <c r="H2273" s="5" t="s">
        <v>697</v>
      </c>
      <c r="I2273" s="10">
        <f>IF(OR(D2273="", F2273=""), "", F2273 * VLOOKUP(D2273, Products!A:E, 5, FALSE) * (1 - G2273))</f>
        <v>5223.2000000000007</v>
      </c>
      <c r="J2273" s="10"/>
    </row>
    <row r="2274" spans="1:10" ht="15.75" customHeight="1" x14ac:dyDescent="0.3">
      <c r="A2274" s="5" t="s">
        <v>3141</v>
      </c>
      <c r="B2274" s="11">
        <v>45753</v>
      </c>
      <c r="C2274" s="5" t="s">
        <v>560</v>
      </c>
      <c r="D2274" s="5" t="s">
        <v>232</v>
      </c>
      <c r="E2274" s="5" t="s">
        <v>37</v>
      </c>
      <c r="F2274" s="5">
        <v>5</v>
      </c>
      <c r="G2274" s="19">
        <v>0</v>
      </c>
      <c r="H2274" s="5" t="s">
        <v>776</v>
      </c>
      <c r="I2274" s="10">
        <f>IF(OR(D2274="", F2274=""), "", F2274 * VLOOKUP(D2274, Products!A:E, 5, FALSE) * (1 - G2274))</f>
        <v>9763.25</v>
      </c>
      <c r="J2274" s="10"/>
    </row>
    <row r="2275" spans="1:10" ht="15.75" customHeight="1" x14ac:dyDescent="0.3">
      <c r="A2275" s="5" t="s">
        <v>3142</v>
      </c>
      <c r="B2275" s="11">
        <v>45740</v>
      </c>
      <c r="C2275" s="5" t="s">
        <v>829</v>
      </c>
      <c r="D2275" s="5" t="s">
        <v>168</v>
      </c>
      <c r="E2275" s="5" t="s">
        <v>25</v>
      </c>
      <c r="F2275" s="5">
        <v>1</v>
      </c>
      <c r="G2275" s="19">
        <v>0</v>
      </c>
      <c r="H2275" s="5" t="s">
        <v>776</v>
      </c>
      <c r="I2275" s="10">
        <f>IF(OR(D2275="", F2275=""), "", F2275 * VLOOKUP(D2275, Products!A:E, 5, FALSE) * (1 - G2275))</f>
        <v>1015.76</v>
      </c>
      <c r="J2275" s="10"/>
    </row>
    <row r="2276" spans="1:10" ht="15.75" customHeight="1" x14ac:dyDescent="0.3">
      <c r="A2276" s="5" t="s">
        <v>3143</v>
      </c>
      <c r="B2276" s="11">
        <v>45299</v>
      </c>
      <c r="C2276" s="5" t="s">
        <v>274</v>
      </c>
      <c r="D2276" s="5" t="s">
        <v>109</v>
      </c>
      <c r="E2276" s="5" t="s">
        <v>33</v>
      </c>
      <c r="F2276" s="5">
        <v>2</v>
      </c>
      <c r="G2276" s="19">
        <v>0.1</v>
      </c>
      <c r="H2276" s="5" t="s">
        <v>776</v>
      </c>
      <c r="I2276" s="10">
        <f>IF(OR(D2276="", F2276=""), "", F2276 * VLOOKUP(D2276, Products!A:E, 5, FALSE) * (1 - G2276))</f>
        <v>3345.75</v>
      </c>
      <c r="J2276" s="10"/>
    </row>
    <row r="2277" spans="1:10" ht="15.75" customHeight="1" x14ac:dyDescent="0.3">
      <c r="A2277" s="5" t="s">
        <v>3144</v>
      </c>
      <c r="B2277" s="11">
        <v>45521</v>
      </c>
      <c r="C2277" s="5" t="s">
        <v>470</v>
      </c>
      <c r="D2277" s="5" t="s">
        <v>153</v>
      </c>
      <c r="E2277" s="5" t="s">
        <v>29</v>
      </c>
      <c r="F2277" s="5">
        <v>5</v>
      </c>
      <c r="G2277" s="19">
        <v>0.05</v>
      </c>
      <c r="H2277" s="5" t="s">
        <v>454</v>
      </c>
      <c r="I2277" s="10">
        <f>IF(OR(D2277="", F2277=""), "", F2277 * VLOOKUP(D2277, Products!A:E, 5, FALSE) * (1 - G2277))</f>
        <v>7065.1975000000002</v>
      </c>
      <c r="J2277" s="10"/>
    </row>
    <row r="2278" spans="1:10" ht="15.75" customHeight="1" x14ac:dyDescent="0.3">
      <c r="A2278" s="5" t="s">
        <v>3145</v>
      </c>
      <c r="B2278" s="11">
        <v>45222</v>
      </c>
      <c r="C2278" s="5" t="s">
        <v>281</v>
      </c>
      <c r="D2278" s="5" t="s">
        <v>50</v>
      </c>
      <c r="E2278" s="5" t="s">
        <v>37</v>
      </c>
      <c r="F2278" s="5">
        <v>4</v>
      </c>
      <c r="G2278" s="19">
        <v>0.15</v>
      </c>
      <c r="H2278" s="5" t="s">
        <v>776</v>
      </c>
      <c r="I2278" s="10">
        <f>IF(OR(D2278="", F2278=""), "", F2278 * VLOOKUP(D2278, Products!A:E, 5, FALSE) * (1 - G2278))</f>
        <v>1147.942</v>
      </c>
      <c r="J2278" s="10"/>
    </row>
    <row r="2279" spans="1:10" ht="15.75" customHeight="1" x14ac:dyDescent="0.3">
      <c r="A2279" s="5" t="s">
        <v>3146</v>
      </c>
      <c r="B2279" s="11">
        <v>45451</v>
      </c>
      <c r="C2279" s="5" t="s">
        <v>773</v>
      </c>
      <c r="D2279" s="5" t="s">
        <v>265</v>
      </c>
      <c r="E2279" s="5" t="s">
        <v>21</v>
      </c>
      <c r="F2279" s="5">
        <v>1</v>
      </c>
      <c r="G2279" s="19">
        <v>0.1</v>
      </c>
      <c r="H2279" s="5" t="s">
        <v>697</v>
      </c>
      <c r="I2279" s="10">
        <f>IF(OR(D2279="", F2279=""), "", F2279 * VLOOKUP(D2279, Products!A:E, 5, FALSE) * (1 - G2279))</f>
        <v>507.97799999999995</v>
      </c>
      <c r="J2279" s="10"/>
    </row>
    <row r="2280" spans="1:10" ht="15.75" customHeight="1" x14ac:dyDescent="0.3">
      <c r="A2280" s="5" t="s">
        <v>3147</v>
      </c>
      <c r="B2280" s="11">
        <v>45741</v>
      </c>
      <c r="C2280" s="5" t="s">
        <v>634</v>
      </c>
      <c r="D2280" s="5" t="s">
        <v>276</v>
      </c>
      <c r="E2280" s="5" t="s">
        <v>29</v>
      </c>
      <c r="F2280" s="5">
        <v>2</v>
      </c>
      <c r="G2280" s="19">
        <v>0.15</v>
      </c>
      <c r="H2280" s="5" t="s">
        <v>454</v>
      </c>
      <c r="I2280" s="10">
        <f>IF(OR(D2280="", F2280=""), "", F2280 * VLOOKUP(D2280, Products!A:E, 5, FALSE) * (1 - G2280))</f>
        <v>2035.2060000000001</v>
      </c>
      <c r="J2280" s="10"/>
    </row>
    <row r="2281" spans="1:10" ht="15.75" customHeight="1" x14ac:dyDescent="0.3">
      <c r="A2281" s="5" t="s">
        <v>3148</v>
      </c>
      <c r="B2281" s="11">
        <v>45732</v>
      </c>
      <c r="C2281" s="5" t="s">
        <v>519</v>
      </c>
      <c r="D2281" s="5" t="s">
        <v>147</v>
      </c>
      <c r="E2281" s="5" t="s">
        <v>37</v>
      </c>
      <c r="F2281" s="5">
        <v>3</v>
      </c>
      <c r="G2281" s="19">
        <v>0.05</v>
      </c>
      <c r="H2281" s="5" t="s">
        <v>454</v>
      </c>
      <c r="I2281" s="10">
        <f>IF(OR(D2281="", F2281=""), "", F2281 * VLOOKUP(D2281, Products!A:E, 5, FALSE) * (1 - G2281))</f>
        <v>5353.6394999999993</v>
      </c>
      <c r="J2281" s="10"/>
    </row>
    <row r="2282" spans="1:10" ht="15.75" customHeight="1" x14ac:dyDescent="0.3">
      <c r="A2282" s="5" t="s">
        <v>3149</v>
      </c>
      <c r="B2282" s="11">
        <v>45391</v>
      </c>
      <c r="C2282" s="5" t="s">
        <v>474</v>
      </c>
      <c r="D2282" s="5" t="s">
        <v>267</v>
      </c>
      <c r="E2282" s="5" t="s">
        <v>37</v>
      </c>
      <c r="F2282" s="5">
        <v>5</v>
      </c>
      <c r="G2282" s="19">
        <v>0</v>
      </c>
      <c r="H2282" s="5" t="s">
        <v>776</v>
      </c>
      <c r="I2282" s="10">
        <f>IF(OR(D2282="", F2282=""), "", F2282 * VLOOKUP(D2282, Products!A:E, 5, FALSE) * (1 - G2282))</f>
        <v>6432.75</v>
      </c>
      <c r="J2282" s="10"/>
    </row>
    <row r="2283" spans="1:10" ht="15.75" customHeight="1" x14ac:dyDescent="0.3">
      <c r="A2283" s="5" t="s">
        <v>3150</v>
      </c>
      <c r="B2283" s="11">
        <v>45182</v>
      </c>
      <c r="C2283" s="5" t="s">
        <v>499</v>
      </c>
      <c r="D2283" s="5" t="s">
        <v>262</v>
      </c>
      <c r="E2283" s="5" t="s">
        <v>33</v>
      </c>
      <c r="F2283" s="5">
        <v>5</v>
      </c>
      <c r="G2283" s="19">
        <v>0.15</v>
      </c>
      <c r="H2283" s="5" t="s">
        <v>454</v>
      </c>
      <c r="I2283" s="10">
        <f>IF(OR(D2283="", F2283=""), "", F2283 * VLOOKUP(D2283, Products!A:E, 5, FALSE) * (1 - G2283))</f>
        <v>1927.8849999999998</v>
      </c>
      <c r="J2283" s="10"/>
    </row>
    <row r="2284" spans="1:10" ht="15.75" customHeight="1" x14ac:dyDescent="0.3">
      <c r="A2284" s="5" t="s">
        <v>3151</v>
      </c>
      <c r="B2284" s="11">
        <v>45311</v>
      </c>
      <c r="C2284" s="5" t="s">
        <v>197</v>
      </c>
      <c r="D2284" s="5" t="s">
        <v>54</v>
      </c>
      <c r="E2284" s="5" t="s">
        <v>25</v>
      </c>
      <c r="F2284" s="5">
        <v>2</v>
      </c>
      <c r="G2284" s="19">
        <v>0.05</v>
      </c>
      <c r="H2284" s="5" t="s">
        <v>454</v>
      </c>
      <c r="I2284" s="10">
        <f>IF(OR(D2284="", F2284=""), "", F2284 * VLOOKUP(D2284, Products!A:E, 5, FALSE) * (1 - G2284))</f>
        <v>3522.163</v>
      </c>
      <c r="J2284" s="10"/>
    </row>
    <row r="2285" spans="1:10" ht="15.75" customHeight="1" x14ac:dyDescent="0.3">
      <c r="A2285" s="5" t="s">
        <v>3152</v>
      </c>
      <c r="B2285" s="11">
        <v>45687</v>
      </c>
      <c r="C2285" s="5" t="s">
        <v>847</v>
      </c>
      <c r="D2285" s="5" t="s">
        <v>109</v>
      </c>
      <c r="E2285" s="5" t="s">
        <v>37</v>
      </c>
      <c r="F2285" s="5">
        <v>2</v>
      </c>
      <c r="G2285" s="19">
        <v>0</v>
      </c>
      <c r="H2285" s="5" t="s">
        <v>454</v>
      </c>
      <c r="I2285" s="10">
        <f>IF(OR(D2285="", F2285=""), "", F2285 * VLOOKUP(D2285, Products!A:E, 5, FALSE) * (1 - G2285))</f>
        <v>3717.5</v>
      </c>
      <c r="J2285" s="10"/>
    </row>
    <row r="2286" spans="1:10" ht="15.75" customHeight="1" x14ac:dyDescent="0.3">
      <c r="A2286" s="5" t="s">
        <v>3153</v>
      </c>
      <c r="B2286" s="11">
        <v>45411</v>
      </c>
      <c r="C2286" s="5" t="s">
        <v>833</v>
      </c>
      <c r="D2286" s="5" t="s">
        <v>175</v>
      </c>
      <c r="E2286" s="5" t="s">
        <v>25</v>
      </c>
      <c r="F2286" s="5">
        <v>1</v>
      </c>
      <c r="G2286" s="19">
        <v>0.05</v>
      </c>
      <c r="H2286" s="5" t="s">
        <v>637</v>
      </c>
      <c r="I2286" s="10">
        <f>IF(OR(D2286="", F2286=""), "", F2286 * VLOOKUP(D2286, Products!A:E, 5, FALSE) * (1 - G2286))</f>
        <v>1208.6185</v>
      </c>
      <c r="J2286" s="10"/>
    </row>
    <row r="2287" spans="1:10" ht="15.75" customHeight="1" x14ac:dyDescent="0.3">
      <c r="A2287" s="5" t="s">
        <v>3154</v>
      </c>
      <c r="B2287" s="11">
        <v>45267</v>
      </c>
      <c r="C2287" s="5" t="s">
        <v>770</v>
      </c>
      <c r="D2287" s="5" t="s">
        <v>212</v>
      </c>
      <c r="E2287" s="5" t="s">
        <v>33</v>
      </c>
      <c r="F2287" s="5">
        <v>1</v>
      </c>
      <c r="G2287" s="19">
        <v>0</v>
      </c>
      <c r="H2287" s="5" t="s">
        <v>637</v>
      </c>
      <c r="I2287" s="10">
        <f>IF(OR(D2287="", F2287=""), "", F2287 * VLOOKUP(D2287, Products!A:E, 5, FALSE) * (1 - G2287))</f>
        <v>1798.97</v>
      </c>
      <c r="J2287" s="10"/>
    </row>
    <row r="2288" spans="1:10" ht="15.75" customHeight="1" x14ac:dyDescent="0.3">
      <c r="A2288" s="5" t="s">
        <v>3155</v>
      </c>
      <c r="B2288" s="11">
        <v>45864</v>
      </c>
      <c r="C2288" s="5" t="s">
        <v>129</v>
      </c>
      <c r="D2288" s="5" t="s">
        <v>43</v>
      </c>
      <c r="E2288" s="5" t="s">
        <v>29</v>
      </c>
      <c r="F2288" s="5">
        <v>3</v>
      </c>
      <c r="G2288" s="19">
        <v>0.15</v>
      </c>
      <c r="H2288" s="5" t="s">
        <v>454</v>
      </c>
      <c r="I2288" s="10">
        <f>IF(OR(D2288="", F2288=""), "", F2288 * VLOOKUP(D2288, Products!A:E, 5, FALSE) * (1 - G2288))</f>
        <v>4267.9094999999998</v>
      </c>
      <c r="J2288" s="10"/>
    </row>
    <row r="2289" spans="1:10" ht="15.75" customHeight="1" x14ac:dyDescent="0.3">
      <c r="A2289" s="5" t="s">
        <v>3156</v>
      </c>
      <c r="B2289" s="11">
        <v>45563</v>
      </c>
      <c r="C2289" s="5" t="s">
        <v>203</v>
      </c>
      <c r="D2289" s="5" t="s">
        <v>77</v>
      </c>
      <c r="E2289" s="5" t="s">
        <v>21</v>
      </c>
      <c r="F2289" s="5">
        <v>3</v>
      </c>
      <c r="G2289" s="19">
        <v>0.15</v>
      </c>
      <c r="H2289" s="5" t="s">
        <v>637</v>
      </c>
      <c r="I2289" s="10">
        <f>IF(OR(D2289="", F2289=""), "", F2289 * VLOOKUP(D2289, Products!A:E, 5, FALSE) * (1 - G2289))</f>
        <v>633.85350000000005</v>
      </c>
      <c r="J2289" s="10"/>
    </row>
    <row r="2290" spans="1:10" ht="15.75" customHeight="1" x14ac:dyDescent="0.3">
      <c r="A2290" s="5" t="s">
        <v>3157</v>
      </c>
      <c r="B2290" s="11">
        <v>45467</v>
      </c>
      <c r="C2290" s="5" t="s">
        <v>100</v>
      </c>
      <c r="D2290" s="5" t="s">
        <v>74</v>
      </c>
      <c r="E2290" s="5" t="s">
        <v>33</v>
      </c>
      <c r="F2290" s="5">
        <v>4</v>
      </c>
      <c r="G2290" s="19">
        <v>0.15</v>
      </c>
      <c r="H2290" s="5" t="s">
        <v>776</v>
      </c>
      <c r="I2290" s="10">
        <f>IF(OR(D2290="", F2290=""), "", F2290 * VLOOKUP(D2290, Products!A:E, 5, FALSE) * (1 - G2290))</f>
        <v>4060.0079999999994</v>
      </c>
      <c r="J2290" s="10"/>
    </row>
    <row r="2291" spans="1:10" ht="15.75" customHeight="1" x14ac:dyDescent="0.3">
      <c r="A2291" s="5" t="s">
        <v>3158</v>
      </c>
      <c r="B2291" s="11">
        <v>45532</v>
      </c>
      <c r="C2291" s="5" t="s">
        <v>380</v>
      </c>
      <c r="D2291" s="5" t="s">
        <v>237</v>
      </c>
      <c r="E2291" s="5" t="s">
        <v>25</v>
      </c>
      <c r="F2291" s="5">
        <v>4</v>
      </c>
      <c r="G2291" s="19">
        <v>0.05</v>
      </c>
      <c r="H2291" s="5" t="s">
        <v>637</v>
      </c>
      <c r="I2291" s="10">
        <f>IF(OR(D2291="", F2291=""), "", F2291 * VLOOKUP(D2291, Products!A:E, 5, FALSE) * (1 - G2291))</f>
        <v>1394.3340000000001</v>
      </c>
      <c r="J2291" s="10"/>
    </row>
    <row r="2292" spans="1:10" ht="15.75" customHeight="1" x14ac:dyDescent="0.3">
      <c r="A2292" s="5" t="s">
        <v>3159</v>
      </c>
      <c r="B2292" s="11">
        <v>45213</v>
      </c>
      <c r="C2292" s="5" t="s">
        <v>671</v>
      </c>
      <c r="D2292" s="5" t="s">
        <v>89</v>
      </c>
      <c r="E2292" s="5" t="s">
        <v>21</v>
      </c>
      <c r="F2292" s="5">
        <v>3</v>
      </c>
      <c r="G2292" s="19">
        <v>0</v>
      </c>
      <c r="H2292" s="5" t="s">
        <v>454</v>
      </c>
      <c r="I2292" s="10">
        <f>IF(OR(D2292="", F2292=""), "", F2292 * VLOOKUP(D2292, Products!A:E, 5, FALSE) * (1 - G2292))</f>
        <v>3404.3999999999996</v>
      </c>
      <c r="J2292" s="10"/>
    </row>
    <row r="2293" spans="1:10" ht="15.75" customHeight="1" x14ac:dyDescent="0.3">
      <c r="A2293" s="5" t="s">
        <v>3160</v>
      </c>
      <c r="B2293" s="11">
        <v>45280</v>
      </c>
      <c r="C2293" s="5" t="s">
        <v>113</v>
      </c>
      <c r="D2293" s="5" t="s">
        <v>147</v>
      </c>
      <c r="E2293" s="5" t="s">
        <v>37</v>
      </c>
      <c r="F2293" s="5">
        <v>3</v>
      </c>
      <c r="G2293" s="19">
        <v>0.1</v>
      </c>
      <c r="H2293" s="5" t="s">
        <v>697</v>
      </c>
      <c r="I2293" s="10">
        <f>IF(OR(D2293="", F2293=""), "", F2293 * VLOOKUP(D2293, Products!A:E, 5, FALSE) * (1 - G2293))</f>
        <v>5071.8689999999997</v>
      </c>
      <c r="J2293" s="10"/>
    </row>
    <row r="2294" spans="1:10" ht="15.75" customHeight="1" x14ac:dyDescent="0.3">
      <c r="A2294" s="5" t="s">
        <v>3161</v>
      </c>
      <c r="B2294" s="11">
        <v>45598</v>
      </c>
      <c r="C2294" s="5" t="s">
        <v>859</v>
      </c>
      <c r="D2294" s="5" t="s">
        <v>43</v>
      </c>
      <c r="E2294" s="5" t="s">
        <v>21</v>
      </c>
      <c r="F2294" s="5">
        <v>3</v>
      </c>
      <c r="G2294" s="19">
        <v>0.15</v>
      </c>
      <c r="H2294" s="5" t="s">
        <v>637</v>
      </c>
      <c r="I2294" s="10">
        <f>IF(OR(D2294="", F2294=""), "", F2294 * VLOOKUP(D2294, Products!A:E, 5, FALSE) * (1 - G2294))</f>
        <v>4267.9094999999998</v>
      </c>
      <c r="J2294" s="10"/>
    </row>
    <row r="2295" spans="1:10" ht="15.75" customHeight="1" x14ac:dyDescent="0.3">
      <c r="A2295" s="5" t="s">
        <v>3162</v>
      </c>
      <c r="B2295" s="11">
        <v>45259</v>
      </c>
      <c r="C2295" s="5" t="s">
        <v>837</v>
      </c>
      <c r="D2295" s="5" t="s">
        <v>119</v>
      </c>
      <c r="E2295" s="5" t="s">
        <v>21</v>
      </c>
      <c r="F2295" s="5">
        <v>1</v>
      </c>
      <c r="G2295" s="19">
        <v>0.15</v>
      </c>
      <c r="H2295" s="5" t="s">
        <v>454</v>
      </c>
      <c r="I2295" s="10">
        <f>IF(OR(D2295="", F2295=""), "", F2295 * VLOOKUP(D2295, Products!A:E, 5, FALSE) * (1 - G2295))</f>
        <v>917.90650000000005</v>
      </c>
      <c r="J2295" s="10"/>
    </row>
    <row r="2296" spans="1:10" ht="15.75" customHeight="1" x14ac:dyDescent="0.3">
      <c r="A2296" s="5" t="s">
        <v>3163</v>
      </c>
      <c r="B2296" s="11">
        <v>45705</v>
      </c>
      <c r="C2296" s="5" t="s">
        <v>671</v>
      </c>
      <c r="D2296" s="5" t="s">
        <v>122</v>
      </c>
      <c r="E2296" s="5" t="s">
        <v>33</v>
      </c>
      <c r="F2296" s="5">
        <v>4</v>
      </c>
      <c r="G2296" s="19">
        <v>0.1</v>
      </c>
      <c r="H2296" s="5" t="s">
        <v>697</v>
      </c>
      <c r="I2296" s="10">
        <f>IF(OR(D2296="", F2296=""), "", F2296 * VLOOKUP(D2296, Products!A:E, 5, FALSE) * (1 - G2296))</f>
        <v>6346.5120000000006</v>
      </c>
      <c r="J2296" s="10"/>
    </row>
    <row r="2297" spans="1:10" ht="15.75" customHeight="1" x14ac:dyDescent="0.3">
      <c r="A2297" s="5" t="s">
        <v>3164</v>
      </c>
      <c r="B2297" s="11">
        <v>45418</v>
      </c>
      <c r="C2297" s="5" t="s">
        <v>532</v>
      </c>
      <c r="D2297" s="5" t="s">
        <v>134</v>
      </c>
      <c r="E2297" s="5" t="s">
        <v>33</v>
      </c>
      <c r="F2297" s="5">
        <v>2</v>
      </c>
      <c r="G2297" s="19">
        <v>0.05</v>
      </c>
      <c r="H2297" s="5" t="s">
        <v>776</v>
      </c>
      <c r="I2297" s="10">
        <f>IF(OR(D2297="", F2297=""), "", F2297 * VLOOKUP(D2297, Products!A:E, 5, FALSE) * (1 - G2297))</f>
        <v>2331.7559999999999</v>
      </c>
      <c r="J2297" s="10"/>
    </row>
    <row r="2298" spans="1:10" ht="15.75" customHeight="1" x14ac:dyDescent="0.3">
      <c r="A2298" s="5" t="s">
        <v>3165</v>
      </c>
      <c r="B2298" s="11">
        <v>45230</v>
      </c>
      <c r="C2298" s="5" t="s">
        <v>437</v>
      </c>
      <c r="D2298" s="5" t="s">
        <v>256</v>
      </c>
      <c r="E2298" s="5" t="s">
        <v>29</v>
      </c>
      <c r="F2298" s="5">
        <v>1</v>
      </c>
      <c r="G2298" s="19">
        <v>0.05</v>
      </c>
      <c r="H2298" s="5" t="s">
        <v>454</v>
      </c>
      <c r="I2298" s="10">
        <f>IF(OR(D2298="", F2298=""), "", F2298 * VLOOKUP(D2298, Products!A:E, 5, FALSE) * (1 - G2298))</f>
        <v>1553.2594999999999</v>
      </c>
      <c r="J2298" s="10"/>
    </row>
    <row r="2299" spans="1:10" ht="15.75" customHeight="1" x14ac:dyDescent="0.3">
      <c r="A2299" s="5" t="s">
        <v>3166</v>
      </c>
      <c r="B2299" s="11">
        <v>45243</v>
      </c>
      <c r="C2299" s="5" t="s">
        <v>491</v>
      </c>
      <c r="D2299" s="5" t="s">
        <v>237</v>
      </c>
      <c r="E2299" s="5" t="s">
        <v>37</v>
      </c>
      <c r="F2299" s="5">
        <v>4</v>
      </c>
      <c r="G2299" s="19">
        <v>0</v>
      </c>
      <c r="H2299" s="5" t="s">
        <v>454</v>
      </c>
      <c r="I2299" s="10">
        <f>IF(OR(D2299="", F2299=""), "", F2299 * VLOOKUP(D2299, Products!A:E, 5, FALSE) * (1 - G2299))</f>
        <v>1467.72</v>
      </c>
      <c r="J2299" s="10"/>
    </row>
    <row r="2300" spans="1:10" ht="15.75" customHeight="1" x14ac:dyDescent="0.3">
      <c r="A2300" s="5" t="s">
        <v>3167</v>
      </c>
      <c r="B2300" s="11">
        <v>45831</v>
      </c>
      <c r="C2300" s="5" t="s">
        <v>515</v>
      </c>
      <c r="D2300" s="5" t="s">
        <v>276</v>
      </c>
      <c r="E2300" s="5" t="s">
        <v>29</v>
      </c>
      <c r="F2300" s="5">
        <v>3</v>
      </c>
      <c r="G2300" s="19">
        <v>0</v>
      </c>
      <c r="H2300" s="5" t="s">
        <v>776</v>
      </c>
      <c r="I2300" s="10">
        <f>IF(OR(D2300="", F2300=""), "", F2300 * VLOOKUP(D2300, Products!A:E, 5, FALSE) * (1 - G2300))</f>
        <v>3591.54</v>
      </c>
      <c r="J2300" s="10"/>
    </row>
    <row r="2301" spans="1:10" ht="15.75" customHeight="1" x14ac:dyDescent="0.3">
      <c r="A2301" s="5" t="s">
        <v>3168</v>
      </c>
      <c r="B2301" s="11">
        <v>45831</v>
      </c>
      <c r="C2301" s="5" t="s">
        <v>462</v>
      </c>
      <c r="D2301" s="5" t="s">
        <v>175</v>
      </c>
      <c r="E2301" s="5" t="s">
        <v>37</v>
      </c>
      <c r="F2301" s="5">
        <v>3</v>
      </c>
      <c r="G2301" s="19">
        <v>0.1</v>
      </c>
      <c r="H2301" s="5" t="s">
        <v>697</v>
      </c>
      <c r="I2301" s="10">
        <f>IF(OR(D2301="", F2301=""), "", F2301 * VLOOKUP(D2301, Products!A:E, 5, FALSE) * (1 - G2301))</f>
        <v>3435.0210000000002</v>
      </c>
      <c r="J2301" s="10"/>
    </row>
    <row r="2302" spans="1:10" ht="15.75" customHeight="1" x14ac:dyDescent="0.3">
      <c r="A2302" s="5" t="s">
        <v>3169</v>
      </c>
      <c r="B2302" s="11">
        <v>45768</v>
      </c>
      <c r="C2302" s="5" t="s">
        <v>590</v>
      </c>
      <c r="D2302" s="5" t="s">
        <v>269</v>
      </c>
      <c r="E2302" s="5" t="s">
        <v>33</v>
      </c>
      <c r="F2302" s="5">
        <v>1</v>
      </c>
      <c r="G2302" s="19">
        <v>0.15</v>
      </c>
      <c r="H2302" s="5" t="s">
        <v>776</v>
      </c>
      <c r="I2302" s="10">
        <f>IF(OR(D2302="", F2302=""), "", F2302 * VLOOKUP(D2302, Products!A:E, 5, FALSE) * (1 - G2302))</f>
        <v>1597.2179999999998</v>
      </c>
      <c r="J2302" s="10"/>
    </row>
    <row r="2303" spans="1:10" ht="15.75" customHeight="1" x14ac:dyDescent="0.3">
      <c r="A2303" s="5" t="s">
        <v>3170</v>
      </c>
      <c r="B2303" s="11">
        <v>45713</v>
      </c>
      <c r="C2303" s="5" t="s">
        <v>611</v>
      </c>
      <c r="D2303" s="5" t="s">
        <v>232</v>
      </c>
      <c r="E2303" s="5" t="s">
        <v>21</v>
      </c>
      <c r="F2303" s="5">
        <v>3</v>
      </c>
      <c r="G2303" s="19">
        <v>0.15</v>
      </c>
      <c r="H2303" s="5" t="s">
        <v>697</v>
      </c>
      <c r="I2303" s="10">
        <f>IF(OR(D2303="", F2303=""), "", F2303 * VLOOKUP(D2303, Products!A:E, 5, FALSE) * (1 - G2303))</f>
        <v>4979.2575000000006</v>
      </c>
      <c r="J2303" s="10"/>
    </row>
    <row r="2304" spans="1:10" ht="15.75" customHeight="1" x14ac:dyDescent="0.3">
      <c r="A2304" s="5" t="s">
        <v>3171</v>
      </c>
      <c r="B2304" s="11">
        <v>45666</v>
      </c>
      <c r="C2304" s="5" t="s">
        <v>557</v>
      </c>
      <c r="D2304" s="5" t="s">
        <v>175</v>
      </c>
      <c r="E2304" s="5" t="s">
        <v>21</v>
      </c>
      <c r="F2304" s="5">
        <v>5</v>
      </c>
      <c r="G2304" s="19">
        <v>0</v>
      </c>
      <c r="H2304" s="5" t="s">
        <v>454</v>
      </c>
      <c r="I2304" s="10">
        <f>IF(OR(D2304="", F2304=""), "", F2304 * VLOOKUP(D2304, Products!A:E, 5, FALSE) * (1 - G2304))</f>
        <v>6361.15</v>
      </c>
      <c r="J2304" s="10"/>
    </row>
    <row r="2305" spans="1:10" ht="15.75" customHeight="1" x14ac:dyDescent="0.3">
      <c r="A2305" s="5" t="s">
        <v>3172</v>
      </c>
      <c r="B2305" s="11">
        <v>45892</v>
      </c>
      <c r="C2305" s="5" t="s">
        <v>736</v>
      </c>
      <c r="D2305" s="5" t="s">
        <v>50</v>
      </c>
      <c r="E2305" s="5" t="s">
        <v>37</v>
      </c>
      <c r="F2305" s="5">
        <v>3</v>
      </c>
      <c r="G2305" s="19">
        <v>0</v>
      </c>
      <c r="H2305" s="5" t="s">
        <v>637</v>
      </c>
      <c r="I2305" s="10">
        <f>IF(OR(D2305="", F2305=""), "", F2305 * VLOOKUP(D2305, Products!A:E, 5, FALSE) * (1 - G2305))</f>
        <v>1012.89</v>
      </c>
      <c r="J2305" s="10"/>
    </row>
    <row r="2306" spans="1:10" ht="15.75" customHeight="1" x14ac:dyDescent="0.3">
      <c r="A2306" s="5" t="s">
        <v>3173</v>
      </c>
      <c r="B2306" s="11">
        <v>45211</v>
      </c>
      <c r="C2306" s="5" t="s">
        <v>338</v>
      </c>
      <c r="D2306" s="5" t="s">
        <v>103</v>
      </c>
      <c r="E2306" s="5" t="s">
        <v>29</v>
      </c>
      <c r="F2306" s="5">
        <v>3</v>
      </c>
      <c r="G2306" s="19">
        <v>0.1</v>
      </c>
      <c r="H2306" s="5" t="s">
        <v>637</v>
      </c>
      <c r="I2306" s="10">
        <f>IF(OR(D2306="", F2306=""), "", F2306 * VLOOKUP(D2306, Products!A:E, 5, FALSE) * (1 - G2306))</f>
        <v>730.21499999999992</v>
      </c>
      <c r="J2306" s="10"/>
    </row>
    <row r="2307" spans="1:10" ht="15.75" customHeight="1" x14ac:dyDescent="0.3">
      <c r="A2307" s="5" t="s">
        <v>3174</v>
      </c>
      <c r="B2307" s="11">
        <v>45225</v>
      </c>
      <c r="C2307" s="5" t="s">
        <v>274</v>
      </c>
      <c r="D2307" s="5" t="s">
        <v>212</v>
      </c>
      <c r="E2307" s="5" t="s">
        <v>25</v>
      </c>
      <c r="F2307" s="5">
        <v>2</v>
      </c>
      <c r="G2307" s="19">
        <v>0.05</v>
      </c>
      <c r="H2307" s="5" t="s">
        <v>776</v>
      </c>
      <c r="I2307" s="10">
        <f>IF(OR(D2307="", F2307=""), "", F2307 * VLOOKUP(D2307, Products!A:E, 5, FALSE) * (1 - G2307))</f>
        <v>3418.0429999999997</v>
      </c>
      <c r="J2307" s="10"/>
    </row>
    <row r="2308" spans="1:10" ht="15.75" customHeight="1" x14ac:dyDescent="0.3">
      <c r="A2308" s="5" t="s">
        <v>3175</v>
      </c>
      <c r="B2308" s="11">
        <v>45224</v>
      </c>
      <c r="C2308" s="5" t="s">
        <v>389</v>
      </c>
      <c r="D2308" s="5" t="s">
        <v>89</v>
      </c>
      <c r="E2308" s="5" t="s">
        <v>21</v>
      </c>
      <c r="F2308" s="5">
        <v>1</v>
      </c>
      <c r="G2308" s="19">
        <v>0.05</v>
      </c>
      <c r="H2308" s="5" t="s">
        <v>637</v>
      </c>
      <c r="I2308" s="10">
        <f>IF(OR(D2308="", F2308=""), "", F2308 * VLOOKUP(D2308, Products!A:E, 5, FALSE) * (1 - G2308))</f>
        <v>1078.06</v>
      </c>
      <c r="J2308" s="10"/>
    </row>
    <row r="2309" spans="1:10" ht="15.75" customHeight="1" x14ac:dyDescent="0.3">
      <c r="A2309" s="5" t="s">
        <v>3176</v>
      </c>
      <c r="B2309" s="11">
        <v>45895</v>
      </c>
      <c r="C2309" s="5" t="s">
        <v>711</v>
      </c>
      <c r="D2309" s="5" t="s">
        <v>180</v>
      </c>
      <c r="E2309" s="5" t="s">
        <v>29</v>
      </c>
      <c r="F2309" s="5">
        <v>1</v>
      </c>
      <c r="G2309" s="19">
        <v>0.05</v>
      </c>
      <c r="H2309" s="5" t="s">
        <v>776</v>
      </c>
      <c r="I2309" s="10">
        <f>IF(OR(D2309="", F2309=""), "", F2309 * VLOOKUP(D2309, Products!A:E, 5, FALSE) * (1 - G2309))</f>
        <v>640.09099999999989</v>
      </c>
      <c r="J2309" s="10"/>
    </row>
    <row r="2310" spans="1:10" ht="15.75" customHeight="1" x14ac:dyDescent="0.3">
      <c r="A2310" s="5" t="s">
        <v>3177</v>
      </c>
      <c r="B2310" s="11">
        <v>45223</v>
      </c>
      <c r="C2310" s="5" t="s">
        <v>823</v>
      </c>
      <c r="D2310" s="5" t="s">
        <v>249</v>
      </c>
      <c r="E2310" s="5" t="s">
        <v>29</v>
      </c>
      <c r="F2310" s="5">
        <v>3</v>
      </c>
      <c r="G2310" s="19">
        <v>0</v>
      </c>
      <c r="H2310" s="5" t="s">
        <v>454</v>
      </c>
      <c r="I2310" s="10">
        <f>IF(OR(D2310="", F2310=""), "", F2310 * VLOOKUP(D2310, Products!A:E, 5, FALSE) * (1 - G2310))</f>
        <v>5236.83</v>
      </c>
      <c r="J2310" s="10"/>
    </row>
    <row r="2311" spans="1:10" ht="15.75" customHeight="1" x14ac:dyDescent="0.3">
      <c r="A2311" s="5" t="s">
        <v>3178</v>
      </c>
      <c r="B2311" s="11">
        <v>45507</v>
      </c>
      <c r="C2311" s="5" t="s">
        <v>676</v>
      </c>
      <c r="D2311" s="5" t="s">
        <v>89</v>
      </c>
      <c r="E2311" s="5" t="s">
        <v>21</v>
      </c>
      <c r="F2311" s="5">
        <v>5</v>
      </c>
      <c r="G2311" s="19">
        <v>0.05</v>
      </c>
      <c r="H2311" s="5" t="s">
        <v>454</v>
      </c>
      <c r="I2311" s="10">
        <f>IF(OR(D2311="", F2311=""), "", F2311 * VLOOKUP(D2311, Products!A:E, 5, FALSE) * (1 - G2311))</f>
        <v>5390.3</v>
      </c>
      <c r="J2311" s="10"/>
    </row>
    <row r="2312" spans="1:10" ht="15.75" customHeight="1" x14ac:dyDescent="0.3">
      <c r="A2312" s="5" t="s">
        <v>3179</v>
      </c>
      <c r="B2312" s="11">
        <v>45437</v>
      </c>
      <c r="C2312" s="5" t="s">
        <v>240</v>
      </c>
      <c r="D2312" s="5" t="s">
        <v>134</v>
      </c>
      <c r="E2312" s="5" t="s">
        <v>21</v>
      </c>
      <c r="F2312" s="5">
        <v>5</v>
      </c>
      <c r="G2312" s="19">
        <v>0.15</v>
      </c>
      <c r="H2312" s="5" t="s">
        <v>776</v>
      </c>
      <c r="I2312" s="10">
        <f>IF(OR(D2312="", F2312=""), "", F2312 * VLOOKUP(D2312, Products!A:E, 5, FALSE) * (1 - G2312))</f>
        <v>5215.7699999999995</v>
      </c>
      <c r="J2312" s="10"/>
    </row>
    <row r="2313" spans="1:10" ht="15.75" customHeight="1" x14ac:dyDescent="0.3">
      <c r="A2313" s="5" t="s">
        <v>3180</v>
      </c>
      <c r="B2313" s="11">
        <v>45617</v>
      </c>
      <c r="C2313" s="5" t="s">
        <v>649</v>
      </c>
      <c r="D2313" s="5" t="s">
        <v>221</v>
      </c>
      <c r="E2313" s="5" t="s">
        <v>21</v>
      </c>
      <c r="F2313" s="5">
        <v>2</v>
      </c>
      <c r="G2313" s="19">
        <v>0.05</v>
      </c>
      <c r="H2313" s="5" t="s">
        <v>454</v>
      </c>
      <c r="I2313" s="10">
        <f>IF(OR(D2313="", F2313=""), "", F2313 * VLOOKUP(D2313, Products!A:E, 5, FALSE) * (1 - G2313))</f>
        <v>2968.6170000000002</v>
      </c>
      <c r="J2313" s="10"/>
    </row>
    <row r="2314" spans="1:10" ht="15.75" customHeight="1" x14ac:dyDescent="0.3">
      <c r="A2314" s="5" t="s">
        <v>3181</v>
      </c>
      <c r="B2314" s="11">
        <v>45471</v>
      </c>
      <c r="C2314" s="5" t="s">
        <v>705</v>
      </c>
      <c r="D2314" s="5" t="s">
        <v>57</v>
      </c>
      <c r="E2314" s="5" t="s">
        <v>29</v>
      </c>
      <c r="F2314" s="5">
        <v>4</v>
      </c>
      <c r="G2314" s="19">
        <v>0</v>
      </c>
      <c r="H2314" s="5" t="s">
        <v>637</v>
      </c>
      <c r="I2314" s="10">
        <f>IF(OR(D2314="", F2314=""), "", F2314 * VLOOKUP(D2314, Products!A:E, 5, FALSE) * (1 - G2314))</f>
        <v>5584.88</v>
      </c>
      <c r="J2314" s="10"/>
    </row>
    <row r="2315" spans="1:10" ht="15.75" customHeight="1" x14ac:dyDescent="0.3">
      <c r="A2315" s="5" t="s">
        <v>3182</v>
      </c>
      <c r="B2315" s="11">
        <v>45363</v>
      </c>
      <c r="C2315" s="5" t="s">
        <v>440</v>
      </c>
      <c r="D2315" s="5" t="s">
        <v>175</v>
      </c>
      <c r="E2315" s="5" t="s">
        <v>25</v>
      </c>
      <c r="F2315" s="5">
        <v>1</v>
      </c>
      <c r="G2315" s="19">
        <v>0.1</v>
      </c>
      <c r="H2315" s="5" t="s">
        <v>454</v>
      </c>
      <c r="I2315" s="10">
        <f>IF(OR(D2315="", F2315=""), "", F2315 * VLOOKUP(D2315, Products!A:E, 5, FALSE) * (1 - G2315))</f>
        <v>1145.0070000000001</v>
      </c>
      <c r="J2315" s="10"/>
    </row>
    <row r="2316" spans="1:10" ht="15.75" customHeight="1" x14ac:dyDescent="0.3">
      <c r="A2316" s="5" t="s">
        <v>3183</v>
      </c>
      <c r="B2316" s="11">
        <v>45223</v>
      </c>
      <c r="C2316" s="5" t="s">
        <v>488</v>
      </c>
      <c r="D2316" s="5" t="s">
        <v>226</v>
      </c>
      <c r="E2316" s="5" t="s">
        <v>33</v>
      </c>
      <c r="F2316" s="5">
        <v>3</v>
      </c>
      <c r="G2316" s="19">
        <v>0.15</v>
      </c>
      <c r="H2316" s="5" t="s">
        <v>454</v>
      </c>
      <c r="I2316" s="10">
        <f>IF(OR(D2316="", F2316=""), "", F2316 * VLOOKUP(D2316, Products!A:E, 5, FALSE) * (1 - G2316))</f>
        <v>3828.723</v>
      </c>
      <c r="J2316" s="10"/>
    </row>
    <row r="2317" spans="1:10" ht="15.75" customHeight="1" x14ac:dyDescent="0.3">
      <c r="A2317" s="5" t="s">
        <v>3184</v>
      </c>
      <c r="B2317" s="11">
        <v>45219</v>
      </c>
      <c r="C2317" s="5" t="s">
        <v>402</v>
      </c>
      <c r="D2317" s="5" t="s">
        <v>95</v>
      </c>
      <c r="E2317" s="5" t="s">
        <v>21</v>
      </c>
      <c r="F2317" s="5">
        <v>2</v>
      </c>
      <c r="G2317" s="19">
        <v>0.1</v>
      </c>
      <c r="H2317" s="5" t="s">
        <v>776</v>
      </c>
      <c r="I2317" s="10">
        <f>IF(OR(D2317="", F2317=""), "", F2317 * VLOOKUP(D2317, Products!A:E, 5, FALSE) * (1 - G2317))</f>
        <v>2416.9500000000003</v>
      </c>
      <c r="J2317" s="10"/>
    </row>
    <row r="2318" spans="1:10" ht="15.75" customHeight="1" x14ac:dyDescent="0.3">
      <c r="A2318" s="5" t="s">
        <v>3185</v>
      </c>
      <c r="B2318" s="11">
        <v>45770</v>
      </c>
      <c r="C2318" s="5" t="s">
        <v>447</v>
      </c>
      <c r="D2318" s="5" t="s">
        <v>134</v>
      </c>
      <c r="E2318" s="5" t="s">
        <v>25</v>
      </c>
      <c r="F2318" s="5">
        <v>5</v>
      </c>
      <c r="G2318" s="19">
        <v>0</v>
      </c>
      <c r="H2318" s="5" t="s">
        <v>776</v>
      </c>
      <c r="I2318" s="10">
        <f>IF(OR(D2318="", F2318=""), "", F2318 * VLOOKUP(D2318, Products!A:E, 5, FALSE) * (1 - G2318))</f>
        <v>6136.2</v>
      </c>
      <c r="J2318" s="10"/>
    </row>
    <row r="2319" spans="1:10" ht="15.75" customHeight="1" x14ac:dyDescent="0.3">
      <c r="A2319" s="5" t="s">
        <v>3186</v>
      </c>
      <c r="B2319" s="11">
        <v>45606</v>
      </c>
      <c r="C2319" s="5" t="s">
        <v>733</v>
      </c>
      <c r="D2319" s="5" t="s">
        <v>43</v>
      </c>
      <c r="E2319" s="5" t="s">
        <v>25</v>
      </c>
      <c r="F2319" s="5">
        <v>3</v>
      </c>
      <c r="G2319" s="19">
        <v>0.1</v>
      </c>
      <c r="H2319" s="5" t="s">
        <v>697</v>
      </c>
      <c r="I2319" s="10">
        <f>IF(OR(D2319="", F2319=""), "", F2319 * VLOOKUP(D2319, Products!A:E, 5, FALSE) * (1 - G2319))</f>
        <v>4518.9629999999997</v>
      </c>
      <c r="J2319" s="10"/>
    </row>
    <row r="2320" spans="1:10" ht="15.75" customHeight="1" x14ac:dyDescent="0.3">
      <c r="A2320" s="5" t="s">
        <v>3187</v>
      </c>
      <c r="B2320" s="11">
        <v>45221</v>
      </c>
      <c r="C2320" s="5" t="s">
        <v>528</v>
      </c>
      <c r="D2320" s="5" t="s">
        <v>128</v>
      </c>
      <c r="E2320" s="5" t="s">
        <v>37</v>
      </c>
      <c r="F2320" s="5">
        <v>1</v>
      </c>
      <c r="G2320" s="19">
        <v>0.05</v>
      </c>
      <c r="H2320" s="5" t="s">
        <v>637</v>
      </c>
      <c r="I2320" s="10">
        <f>IF(OR(D2320="", F2320=""), "", F2320 * VLOOKUP(D2320, Products!A:E, 5, FALSE) * (1 - G2320))</f>
        <v>307.72399999999999</v>
      </c>
      <c r="J2320" s="10"/>
    </row>
    <row r="2321" spans="1:10" ht="15.75" customHeight="1" x14ac:dyDescent="0.3">
      <c r="A2321" s="5" t="s">
        <v>3188</v>
      </c>
      <c r="B2321" s="11">
        <v>45243</v>
      </c>
      <c r="C2321" s="5" t="s">
        <v>865</v>
      </c>
      <c r="D2321" s="5" t="s">
        <v>65</v>
      </c>
      <c r="E2321" s="5" t="s">
        <v>21</v>
      </c>
      <c r="F2321" s="5">
        <v>1</v>
      </c>
      <c r="G2321" s="19">
        <v>0.05</v>
      </c>
      <c r="H2321" s="5" t="s">
        <v>637</v>
      </c>
      <c r="I2321" s="10">
        <f>IF(OR(D2321="", F2321=""), "", F2321 * VLOOKUP(D2321, Products!A:E, 5, FALSE) * (1 - G2321))</f>
        <v>1400.4139999999998</v>
      </c>
      <c r="J2321" s="10"/>
    </row>
    <row r="2322" spans="1:10" ht="15.75" customHeight="1" x14ac:dyDescent="0.3">
      <c r="A2322" s="5" t="s">
        <v>3189</v>
      </c>
      <c r="B2322" s="11">
        <v>45501</v>
      </c>
      <c r="C2322" s="5" t="s">
        <v>674</v>
      </c>
      <c r="D2322" s="5" t="s">
        <v>285</v>
      </c>
      <c r="E2322" s="5" t="s">
        <v>21</v>
      </c>
      <c r="F2322" s="5">
        <v>5</v>
      </c>
      <c r="G2322" s="19">
        <v>0</v>
      </c>
      <c r="H2322" s="5" t="s">
        <v>637</v>
      </c>
      <c r="I2322" s="10">
        <f>IF(OR(D2322="", F2322=""), "", F2322 * VLOOKUP(D2322, Products!A:E, 5, FALSE) * (1 - G2322))</f>
        <v>1941.3</v>
      </c>
      <c r="J2322" s="10"/>
    </row>
    <row r="2323" spans="1:10" ht="15.75" customHeight="1" x14ac:dyDescent="0.3">
      <c r="A2323" s="5" t="s">
        <v>3190</v>
      </c>
      <c r="B2323" s="11">
        <v>45396</v>
      </c>
      <c r="C2323" s="5" t="s">
        <v>773</v>
      </c>
      <c r="D2323" s="5" t="s">
        <v>103</v>
      </c>
      <c r="E2323" s="5" t="s">
        <v>37</v>
      </c>
      <c r="F2323" s="5">
        <v>5</v>
      </c>
      <c r="G2323" s="19">
        <v>0.15</v>
      </c>
      <c r="H2323" s="5" t="s">
        <v>454</v>
      </c>
      <c r="I2323" s="10">
        <f>IF(OR(D2323="", F2323=""), "", F2323 * VLOOKUP(D2323, Products!A:E, 5, FALSE) * (1 - G2323))</f>
        <v>1149.4124999999999</v>
      </c>
      <c r="J2323" s="10"/>
    </row>
    <row r="2324" spans="1:10" ht="15.75" customHeight="1" x14ac:dyDescent="0.3">
      <c r="A2324" s="5" t="s">
        <v>3191</v>
      </c>
      <c r="B2324" s="11">
        <v>45377</v>
      </c>
      <c r="C2324" s="5" t="s">
        <v>425</v>
      </c>
      <c r="D2324" s="5" t="s">
        <v>272</v>
      </c>
      <c r="E2324" s="5" t="s">
        <v>25</v>
      </c>
      <c r="F2324" s="5">
        <v>5</v>
      </c>
      <c r="G2324" s="19">
        <v>0.1</v>
      </c>
      <c r="H2324" s="5" t="s">
        <v>697</v>
      </c>
      <c r="I2324" s="10">
        <f>IF(OR(D2324="", F2324=""), "", F2324 * VLOOKUP(D2324, Products!A:E, 5, FALSE) * (1 - G2324))</f>
        <v>5244.165</v>
      </c>
      <c r="J2324" s="10"/>
    </row>
    <row r="2325" spans="1:10" ht="15.75" customHeight="1" x14ac:dyDescent="0.3">
      <c r="A2325" s="5" t="s">
        <v>3192</v>
      </c>
      <c r="B2325" s="11">
        <v>45361</v>
      </c>
      <c r="C2325" s="5" t="s">
        <v>484</v>
      </c>
      <c r="D2325" s="5" t="s">
        <v>95</v>
      </c>
      <c r="E2325" s="5" t="s">
        <v>25</v>
      </c>
      <c r="F2325" s="5">
        <v>3</v>
      </c>
      <c r="G2325" s="19">
        <v>0.05</v>
      </c>
      <c r="H2325" s="5" t="s">
        <v>637</v>
      </c>
      <c r="I2325" s="10">
        <f>IF(OR(D2325="", F2325=""), "", F2325 * VLOOKUP(D2325, Products!A:E, 5, FALSE) * (1 - G2325))</f>
        <v>3826.8374999999996</v>
      </c>
      <c r="J2325" s="10"/>
    </row>
    <row r="2326" spans="1:10" ht="15.75" customHeight="1" x14ac:dyDescent="0.3">
      <c r="A2326" s="5" t="s">
        <v>3193</v>
      </c>
      <c r="B2326" s="11">
        <v>45543</v>
      </c>
      <c r="C2326" s="5" t="s">
        <v>470</v>
      </c>
      <c r="D2326" s="5" t="s">
        <v>50</v>
      </c>
      <c r="E2326" s="5" t="s">
        <v>21</v>
      </c>
      <c r="F2326" s="5">
        <v>2</v>
      </c>
      <c r="G2326" s="19">
        <v>0.15</v>
      </c>
      <c r="H2326" s="5" t="s">
        <v>637</v>
      </c>
      <c r="I2326" s="10">
        <f>IF(OR(D2326="", F2326=""), "", F2326 * VLOOKUP(D2326, Products!A:E, 5, FALSE) * (1 - G2326))</f>
        <v>573.971</v>
      </c>
      <c r="J2326" s="10"/>
    </row>
    <row r="2327" spans="1:10" ht="15.75" customHeight="1" x14ac:dyDescent="0.3">
      <c r="A2327" s="5" t="s">
        <v>3194</v>
      </c>
      <c r="B2327" s="11">
        <v>45223</v>
      </c>
      <c r="C2327" s="5" t="s">
        <v>515</v>
      </c>
      <c r="D2327" s="5" t="s">
        <v>249</v>
      </c>
      <c r="E2327" s="5" t="s">
        <v>21</v>
      </c>
      <c r="F2327" s="5">
        <v>3</v>
      </c>
      <c r="G2327" s="19">
        <v>0</v>
      </c>
      <c r="H2327" s="5" t="s">
        <v>454</v>
      </c>
      <c r="I2327" s="10">
        <f>IF(OR(D2327="", F2327=""), "", F2327 * VLOOKUP(D2327, Products!A:E, 5, FALSE) * (1 - G2327))</f>
        <v>5236.83</v>
      </c>
      <c r="J2327" s="10"/>
    </row>
    <row r="2328" spans="1:10" ht="15.75" customHeight="1" x14ac:dyDescent="0.3">
      <c r="A2328" s="5" t="s">
        <v>3195</v>
      </c>
      <c r="B2328" s="11">
        <v>45535</v>
      </c>
      <c r="C2328" s="5" t="s">
        <v>774</v>
      </c>
      <c r="D2328" s="5" t="s">
        <v>226</v>
      </c>
      <c r="E2328" s="5" t="s">
        <v>33</v>
      </c>
      <c r="F2328" s="5">
        <v>5</v>
      </c>
      <c r="G2328" s="19">
        <v>0.05</v>
      </c>
      <c r="H2328" s="5" t="s">
        <v>637</v>
      </c>
      <c r="I2328" s="10">
        <f>IF(OR(D2328="", F2328=""), "", F2328 * VLOOKUP(D2328, Products!A:E, 5, FALSE) * (1 - G2328))</f>
        <v>7131.9349999999995</v>
      </c>
      <c r="J2328" s="10"/>
    </row>
    <row r="2329" spans="1:10" ht="15.75" customHeight="1" x14ac:dyDescent="0.3">
      <c r="A2329" s="5" t="s">
        <v>3196</v>
      </c>
      <c r="B2329" s="11">
        <v>45716</v>
      </c>
      <c r="C2329" s="5" t="s">
        <v>567</v>
      </c>
      <c r="D2329" s="5" t="s">
        <v>140</v>
      </c>
      <c r="E2329" s="5" t="s">
        <v>25</v>
      </c>
      <c r="F2329" s="5">
        <v>5</v>
      </c>
      <c r="G2329" s="19">
        <v>0.05</v>
      </c>
      <c r="H2329" s="5" t="s">
        <v>697</v>
      </c>
      <c r="I2329" s="10">
        <f>IF(OR(D2329="", F2329=""), "", F2329 * VLOOKUP(D2329, Products!A:E, 5, FALSE) * (1 - G2329))</f>
        <v>121.4575</v>
      </c>
      <c r="J2329" s="10"/>
    </row>
    <row r="2330" spans="1:10" ht="15.75" customHeight="1" x14ac:dyDescent="0.3">
      <c r="A2330" s="5" t="s">
        <v>3197</v>
      </c>
      <c r="B2330" s="11">
        <v>45392</v>
      </c>
      <c r="C2330" s="5" t="s">
        <v>876</v>
      </c>
      <c r="D2330" s="5" t="s">
        <v>265</v>
      </c>
      <c r="E2330" s="5" t="s">
        <v>33</v>
      </c>
      <c r="F2330" s="5">
        <v>5</v>
      </c>
      <c r="G2330" s="19">
        <v>0.05</v>
      </c>
      <c r="H2330" s="5" t="s">
        <v>454</v>
      </c>
      <c r="I2330" s="10">
        <f>IF(OR(D2330="", F2330=""), "", F2330 * VLOOKUP(D2330, Products!A:E, 5, FALSE) * (1 - G2330))</f>
        <v>2680.9949999999999</v>
      </c>
      <c r="J2330" s="10"/>
    </row>
    <row r="2331" spans="1:10" ht="15.75" customHeight="1" x14ac:dyDescent="0.3">
      <c r="A2331" s="5" t="s">
        <v>3198</v>
      </c>
      <c r="B2331" s="11">
        <v>45417</v>
      </c>
      <c r="C2331" s="5" t="s">
        <v>443</v>
      </c>
      <c r="D2331" s="5" t="s">
        <v>272</v>
      </c>
      <c r="E2331" s="5" t="s">
        <v>29</v>
      </c>
      <c r="F2331" s="5">
        <v>3</v>
      </c>
      <c r="G2331" s="19">
        <v>0</v>
      </c>
      <c r="H2331" s="5" t="s">
        <v>776</v>
      </c>
      <c r="I2331" s="10">
        <f>IF(OR(D2331="", F2331=""), "", F2331 * VLOOKUP(D2331, Products!A:E, 5, FALSE) * (1 - G2331))</f>
        <v>3496.1099999999997</v>
      </c>
      <c r="J2331" s="10"/>
    </row>
    <row r="2332" spans="1:10" ht="15.75" customHeight="1" x14ac:dyDescent="0.3">
      <c r="A2332" s="5" t="s">
        <v>3199</v>
      </c>
      <c r="B2332" s="11">
        <v>45632</v>
      </c>
      <c r="C2332" s="5" t="s">
        <v>557</v>
      </c>
      <c r="D2332" s="5" t="s">
        <v>206</v>
      </c>
      <c r="E2332" s="5" t="s">
        <v>33</v>
      </c>
      <c r="F2332" s="5">
        <v>5</v>
      </c>
      <c r="G2332" s="19">
        <v>0.05</v>
      </c>
      <c r="H2332" s="5" t="s">
        <v>637</v>
      </c>
      <c r="I2332" s="10">
        <f>IF(OR(D2332="", F2332=""), "", F2332 * VLOOKUP(D2332, Products!A:E, 5, FALSE) * (1 - G2332))</f>
        <v>1447.3724999999999</v>
      </c>
      <c r="J2332" s="10"/>
    </row>
    <row r="2333" spans="1:10" ht="15.75" customHeight="1" x14ac:dyDescent="0.3">
      <c r="A2333" s="5" t="s">
        <v>3200</v>
      </c>
      <c r="B2333" s="11">
        <v>45867</v>
      </c>
      <c r="C2333" s="5" t="s">
        <v>752</v>
      </c>
      <c r="D2333" s="5" t="s">
        <v>280</v>
      </c>
      <c r="E2333" s="5" t="s">
        <v>25</v>
      </c>
      <c r="F2333" s="5">
        <v>2</v>
      </c>
      <c r="G2333" s="19">
        <v>0.15</v>
      </c>
      <c r="H2333" s="5" t="s">
        <v>776</v>
      </c>
      <c r="I2333" s="10">
        <f>IF(OR(D2333="", F2333=""), "", F2333 * VLOOKUP(D2333, Products!A:E, 5, FALSE) * (1 - G2333))</f>
        <v>2067.8119999999999</v>
      </c>
      <c r="J2333" s="10"/>
    </row>
    <row r="2334" spans="1:10" ht="15.75" customHeight="1" x14ac:dyDescent="0.3">
      <c r="A2334" s="5" t="s">
        <v>3201</v>
      </c>
      <c r="B2334" s="11">
        <v>45856</v>
      </c>
      <c r="C2334" s="5" t="s">
        <v>322</v>
      </c>
      <c r="D2334" s="5" t="s">
        <v>232</v>
      </c>
      <c r="E2334" s="5" t="s">
        <v>21</v>
      </c>
      <c r="F2334" s="5">
        <v>4</v>
      </c>
      <c r="G2334" s="19">
        <v>0.1</v>
      </c>
      <c r="H2334" s="5" t="s">
        <v>637</v>
      </c>
      <c r="I2334" s="10">
        <f>IF(OR(D2334="", F2334=""), "", F2334 * VLOOKUP(D2334, Products!A:E, 5, FALSE) * (1 - G2334))</f>
        <v>7029.5400000000009</v>
      </c>
      <c r="J2334" s="10"/>
    </row>
    <row r="2335" spans="1:10" ht="15.75" customHeight="1" x14ac:dyDescent="0.3">
      <c r="A2335" s="5" t="s">
        <v>3202</v>
      </c>
      <c r="B2335" s="11">
        <v>45217</v>
      </c>
      <c r="C2335" s="5" t="s">
        <v>850</v>
      </c>
      <c r="D2335" s="5" t="s">
        <v>237</v>
      </c>
      <c r="E2335" s="5" t="s">
        <v>21</v>
      </c>
      <c r="F2335" s="5">
        <v>2</v>
      </c>
      <c r="G2335" s="19">
        <v>0</v>
      </c>
      <c r="H2335" s="5" t="s">
        <v>637</v>
      </c>
      <c r="I2335" s="10">
        <f>IF(OR(D2335="", F2335=""), "", F2335 * VLOOKUP(D2335, Products!A:E, 5, FALSE) * (1 - G2335))</f>
        <v>733.86</v>
      </c>
      <c r="J2335" s="10"/>
    </row>
    <row r="2336" spans="1:10" ht="15.75" customHeight="1" x14ac:dyDescent="0.3">
      <c r="A2336" s="5" t="s">
        <v>3203</v>
      </c>
      <c r="B2336" s="11">
        <v>45890</v>
      </c>
      <c r="C2336" s="5" t="s">
        <v>113</v>
      </c>
      <c r="D2336" s="5" t="s">
        <v>243</v>
      </c>
      <c r="E2336" s="5" t="s">
        <v>25</v>
      </c>
      <c r="F2336" s="5">
        <v>1</v>
      </c>
      <c r="G2336" s="19">
        <v>0.05</v>
      </c>
      <c r="H2336" s="5" t="s">
        <v>637</v>
      </c>
      <c r="I2336" s="10">
        <f>IF(OR(D2336="", F2336=""), "", F2336 * VLOOKUP(D2336, Products!A:E, 5, FALSE) * (1 - G2336))</f>
        <v>513.89300000000003</v>
      </c>
      <c r="J2336" s="10"/>
    </row>
    <row r="2337" spans="1:10" ht="15.75" customHeight="1" x14ac:dyDescent="0.3">
      <c r="A2337" s="5" t="s">
        <v>3204</v>
      </c>
      <c r="B2337" s="11">
        <v>45340</v>
      </c>
      <c r="C2337" s="5" t="s">
        <v>571</v>
      </c>
      <c r="D2337" s="5" t="s">
        <v>147</v>
      </c>
      <c r="E2337" s="5" t="s">
        <v>29</v>
      </c>
      <c r="F2337" s="5">
        <v>2</v>
      </c>
      <c r="G2337" s="19">
        <v>0.15</v>
      </c>
      <c r="H2337" s="5" t="s">
        <v>697</v>
      </c>
      <c r="I2337" s="10">
        <f>IF(OR(D2337="", F2337=""), "", F2337 * VLOOKUP(D2337, Products!A:E, 5, FALSE) * (1 - G2337))</f>
        <v>3193.3989999999999</v>
      </c>
      <c r="J2337" s="10"/>
    </row>
    <row r="2338" spans="1:10" ht="15.75" customHeight="1" x14ac:dyDescent="0.3">
      <c r="A2338" s="5" t="s">
        <v>3205</v>
      </c>
      <c r="B2338" s="11">
        <v>45608</v>
      </c>
      <c r="C2338" s="5" t="s">
        <v>823</v>
      </c>
      <c r="D2338" s="5" t="s">
        <v>243</v>
      </c>
      <c r="E2338" s="5" t="s">
        <v>29</v>
      </c>
      <c r="F2338" s="5">
        <v>1</v>
      </c>
      <c r="G2338" s="19">
        <v>0.1</v>
      </c>
      <c r="H2338" s="5" t="s">
        <v>454</v>
      </c>
      <c r="I2338" s="10">
        <f>IF(OR(D2338="", F2338=""), "", F2338 * VLOOKUP(D2338, Products!A:E, 5, FALSE) * (1 - G2338))</f>
        <v>486.84600000000006</v>
      </c>
      <c r="J2338" s="10"/>
    </row>
    <row r="2339" spans="1:10" ht="15.75" customHeight="1" x14ac:dyDescent="0.3">
      <c r="A2339" s="5" t="s">
        <v>3206</v>
      </c>
      <c r="B2339" s="11">
        <v>45670</v>
      </c>
      <c r="C2339" s="5" t="s">
        <v>722</v>
      </c>
      <c r="D2339" s="5" t="s">
        <v>276</v>
      </c>
      <c r="E2339" s="5" t="s">
        <v>37</v>
      </c>
      <c r="F2339" s="5">
        <v>5</v>
      </c>
      <c r="G2339" s="19">
        <v>0</v>
      </c>
      <c r="H2339" s="5" t="s">
        <v>776</v>
      </c>
      <c r="I2339" s="10">
        <f>IF(OR(D2339="", F2339=""), "", F2339 * VLOOKUP(D2339, Products!A:E, 5, FALSE) * (1 - G2339))</f>
        <v>5985.9000000000005</v>
      </c>
      <c r="J2339" s="10"/>
    </row>
    <row r="2340" spans="1:10" ht="15.75" customHeight="1" x14ac:dyDescent="0.3">
      <c r="A2340" s="5" t="s">
        <v>3207</v>
      </c>
      <c r="B2340" s="11">
        <v>45449</v>
      </c>
      <c r="C2340" s="5" t="s">
        <v>185</v>
      </c>
      <c r="D2340" s="5" t="s">
        <v>206</v>
      </c>
      <c r="E2340" s="5" t="s">
        <v>29</v>
      </c>
      <c r="F2340" s="5">
        <v>4</v>
      </c>
      <c r="G2340" s="19">
        <v>0.15</v>
      </c>
      <c r="H2340" s="5" t="s">
        <v>637</v>
      </c>
      <c r="I2340" s="10">
        <f>IF(OR(D2340="", F2340=""), "", F2340 * VLOOKUP(D2340, Products!A:E, 5, FALSE) * (1 - G2340))</f>
        <v>1036.0139999999999</v>
      </c>
      <c r="J2340" s="10"/>
    </row>
    <row r="2341" spans="1:10" ht="15.75" customHeight="1" x14ac:dyDescent="0.3">
      <c r="A2341" s="5" t="s">
        <v>3208</v>
      </c>
      <c r="B2341" s="11">
        <v>45409</v>
      </c>
      <c r="C2341" s="5" t="s">
        <v>847</v>
      </c>
      <c r="D2341" s="5" t="s">
        <v>57</v>
      </c>
      <c r="E2341" s="5" t="s">
        <v>33</v>
      </c>
      <c r="F2341" s="5">
        <v>3</v>
      </c>
      <c r="G2341" s="19">
        <v>0.15</v>
      </c>
      <c r="H2341" s="5" t="s">
        <v>697</v>
      </c>
      <c r="I2341" s="10">
        <f>IF(OR(D2341="", F2341=""), "", F2341 * VLOOKUP(D2341, Products!A:E, 5, FALSE) * (1 - G2341))</f>
        <v>3560.3609999999999</v>
      </c>
      <c r="J2341" s="10"/>
    </row>
    <row r="2342" spans="1:10" ht="15.75" customHeight="1" x14ac:dyDescent="0.3">
      <c r="A2342" s="5" t="s">
        <v>3209</v>
      </c>
      <c r="B2342" s="11">
        <v>45322</v>
      </c>
      <c r="C2342" s="5" t="s">
        <v>840</v>
      </c>
      <c r="D2342" s="5" t="s">
        <v>109</v>
      </c>
      <c r="E2342" s="5" t="s">
        <v>25</v>
      </c>
      <c r="F2342" s="5">
        <v>5</v>
      </c>
      <c r="G2342" s="19">
        <v>0</v>
      </c>
      <c r="H2342" s="5" t="s">
        <v>697</v>
      </c>
      <c r="I2342" s="10">
        <f>IF(OR(D2342="", F2342=""), "", F2342 * VLOOKUP(D2342, Products!A:E, 5, FALSE) * (1 - G2342))</f>
        <v>9293.75</v>
      </c>
      <c r="J2342" s="10"/>
    </row>
    <row r="2343" spans="1:10" ht="15.75" customHeight="1" x14ac:dyDescent="0.3">
      <c r="A2343" s="5" t="s">
        <v>3210</v>
      </c>
      <c r="B2343" s="11">
        <v>45837</v>
      </c>
      <c r="C2343" s="5" t="s">
        <v>69</v>
      </c>
      <c r="D2343" s="5" t="s">
        <v>180</v>
      </c>
      <c r="E2343" s="5" t="s">
        <v>37</v>
      </c>
      <c r="F2343" s="5">
        <v>5</v>
      </c>
      <c r="G2343" s="19">
        <v>0.1</v>
      </c>
      <c r="H2343" s="5" t="s">
        <v>637</v>
      </c>
      <c r="I2343" s="10">
        <f>IF(OR(D2343="", F2343=""), "", F2343 * VLOOKUP(D2343, Products!A:E, 5, FALSE) * (1 - G2343))</f>
        <v>3032.0099999999998</v>
      </c>
      <c r="J2343" s="10"/>
    </row>
    <row r="2344" spans="1:10" ht="15.75" customHeight="1" x14ac:dyDescent="0.3">
      <c r="A2344" s="5" t="s">
        <v>3211</v>
      </c>
      <c r="B2344" s="11">
        <v>45361</v>
      </c>
      <c r="C2344" s="5" t="s">
        <v>532</v>
      </c>
      <c r="D2344" s="5" t="s">
        <v>267</v>
      </c>
      <c r="E2344" s="5" t="s">
        <v>29</v>
      </c>
      <c r="F2344" s="5">
        <v>4</v>
      </c>
      <c r="G2344" s="19">
        <v>0.05</v>
      </c>
      <c r="H2344" s="5" t="s">
        <v>454</v>
      </c>
      <c r="I2344" s="10">
        <f>IF(OR(D2344="", F2344=""), "", F2344 * VLOOKUP(D2344, Products!A:E, 5, FALSE) * (1 - G2344))</f>
        <v>4888.8899999999994</v>
      </c>
      <c r="J2344" s="10"/>
    </row>
    <row r="2345" spans="1:10" ht="15.75" customHeight="1" x14ac:dyDescent="0.3">
      <c r="A2345" s="5" t="s">
        <v>3212</v>
      </c>
      <c r="B2345" s="11">
        <v>45876</v>
      </c>
      <c r="C2345" s="5" t="s">
        <v>872</v>
      </c>
      <c r="D2345" s="5" t="s">
        <v>193</v>
      </c>
      <c r="E2345" s="5" t="s">
        <v>21</v>
      </c>
      <c r="F2345" s="5">
        <v>2</v>
      </c>
      <c r="G2345" s="19">
        <v>0.1</v>
      </c>
      <c r="H2345" s="5" t="s">
        <v>637</v>
      </c>
      <c r="I2345" s="10">
        <f>IF(OR(D2345="", F2345=""), "", F2345 * VLOOKUP(D2345, Products!A:E, 5, FALSE) * (1 - G2345))</f>
        <v>52.631999999999998</v>
      </c>
      <c r="J2345" s="10"/>
    </row>
    <row r="2346" spans="1:10" ht="15.75" customHeight="1" x14ac:dyDescent="0.3">
      <c r="A2346" s="5" t="s">
        <v>3213</v>
      </c>
      <c r="B2346" s="11">
        <v>45727</v>
      </c>
      <c r="C2346" s="5" t="s">
        <v>495</v>
      </c>
      <c r="D2346" s="5" t="s">
        <v>140</v>
      </c>
      <c r="E2346" s="5" t="s">
        <v>21</v>
      </c>
      <c r="F2346" s="5">
        <v>5</v>
      </c>
      <c r="G2346" s="19">
        <v>0.15</v>
      </c>
      <c r="H2346" s="5" t="s">
        <v>454</v>
      </c>
      <c r="I2346" s="10">
        <f>IF(OR(D2346="", F2346=""), "", F2346 * VLOOKUP(D2346, Products!A:E, 5, FALSE) * (1 - G2346))</f>
        <v>108.67249999999999</v>
      </c>
      <c r="J2346" s="10"/>
    </row>
    <row r="2347" spans="1:10" ht="15.75" customHeight="1" x14ac:dyDescent="0.3">
      <c r="A2347" s="5" t="s">
        <v>3214</v>
      </c>
      <c r="B2347" s="11">
        <v>45394</v>
      </c>
      <c r="C2347" s="5" t="s">
        <v>477</v>
      </c>
      <c r="D2347" s="5" t="s">
        <v>89</v>
      </c>
      <c r="E2347" s="5" t="s">
        <v>33</v>
      </c>
      <c r="F2347" s="5">
        <v>3</v>
      </c>
      <c r="G2347" s="19">
        <v>0.05</v>
      </c>
      <c r="H2347" s="5" t="s">
        <v>697</v>
      </c>
      <c r="I2347" s="10">
        <f>IF(OR(D2347="", F2347=""), "", F2347 * VLOOKUP(D2347, Products!A:E, 5, FALSE) * (1 - G2347))</f>
        <v>3234.1799999999994</v>
      </c>
      <c r="J2347" s="10"/>
    </row>
    <row r="2348" spans="1:10" ht="15.75" customHeight="1" x14ac:dyDescent="0.3">
      <c r="A2348" s="5" t="s">
        <v>3215</v>
      </c>
      <c r="B2348" s="11">
        <v>45790</v>
      </c>
      <c r="C2348" s="5" t="s">
        <v>144</v>
      </c>
      <c r="D2348" s="5" t="s">
        <v>212</v>
      </c>
      <c r="E2348" s="5" t="s">
        <v>25</v>
      </c>
      <c r="F2348" s="5">
        <v>4</v>
      </c>
      <c r="G2348" s="19">
        <v>0.1</v>
      </c>
      <c r="H2348" s="5" t="s">
        <v>454</v>
      </c>
      <c r="I2348" s="10">
        <f>IF(OR(D2348="", F2348=""), "", F2348 * VLOOKUP(D2348, Products!A:E, 5, FALSE) * (1 - G2348))</f>
        <v>6476.2920000000004</v>
      </c>
      <c r="J2348" s="10"/>
    </row>
    <row r="2349" spans="1:10" ht="15.75" customHeight="1" x14ac:dyDescent="0.3">
      <c r="A2349" s="5" t="s">
        <v>3216</v>
      </c>
      <c r="B2349" s="11">
        <v>45470</v>
      </c>
      <c r="C2349" s="5" t="s">
        <v>229</v>
      </c>
      <c r="D2349" s="5" t="s">
        <v>276</v>
      </c>
      <c r="E2349" s="5" t="s">
        <v>29</v>
      </c>
      <c r="F2349" s="5">
        <v>3</v>
      </c>
      <c r="G2349" s="19">
        <v>0.05</v>
      </c>
      <c r="H2349" s="5" t="s">
        <v>776</v>
      </c>
      <c r="I2349" s="10">
        <f>IF(OR(D2349="", F2349=""), "", F2349 * VLOOKUP(D2349, Products!A:E, 5, FALSE) * (1 - G2349))</f>
        <v>3411.9629999999997</v>
      </c>
      <c r="J2349" s="10"/>
    </row>
    <row r="2350" spans="1:10" ht="15.75" customHeight="1" x14ac:dyDescent="0.3">
      <c r="A2350" s="5" t="s">
        <v>3217</v>
      </c>
      <c r="B2350" s="11">
        <v>45845</v>
      </c>
      <c r="C2350" s="5" t="s">
        <v>443</v>
      </c>
      <c r="D2350" s="5" t="s">
        <v>70</v>
      </c>
      <c r="E2350" s="5" t="s">
        <v>29</v>
      </c>
      <c r="F2350" s="5">
        <v>4</v>
      </c>
      <c r="G2350" s="19">
        <v>0.15</v>
      </c>
      <c r="H2350" s="5" t="s">
        <v>697</v>
      </c>
      <c r="I2350" s="10">
        <f>IF(OR(D2350="", F2350=""), "", F2350 * VLOOKUP(D2350, Products!A:E, 5, FALSE) * (1 - G2350))</f>
        <v>418.846</v>
      </c>
      <c r="J2350" s="10"/>
    </row>
    <row r="2351" spans="1:10" ht="15.75" customHeight="1" x14ac:dyDescent="0.3">
      <c r="A2351" s="5" t="s">
        <v>3218</v>
      </c>
      <c r="B2351" s="11">
        <v>45793</v>
      </c>
      <c r="C2351" s="5" t="s">
        <v>326</v>
      </c>
      <c r="D2351" s="5" t="s">
        <v>162</v>
      </c>
      <c r="E2351" s="5" t="s">
        <v>29</v>
      </c>
      <c r="F2351" s="5">
        <v>3</v>
      </c>
      <c r="G2351" s="19">
        <v>0</v>
      </c>
      <c r="H2351" s="5" t="s">
        <v>697</v>
      </c>
      <c r="I2351" s="10">
        <f>IF(OR(D2351="", F2351=""), "", F2351 * VLOOKUP(D2351, Products!A:E, 5, FALSE) * (1 - G2351))</f>
        <v>1287.4499999999998</v>
      </c>
      <c r="J2351" s="10"/>
    </row>
    <row r="2352" spans="1:10" ht="15.75" customHeight="1" x14ac:dyDescent="0.3">
      <c r="A2352" s="5" t="s">
        <v>3219</v>
      </c>
      <c r="B2352" s="11">
        <v>45459</v>
      </c>
      <c r="C2352" s="5" t="s">
        <v>602</v>
      </c>
      <c r="D2352" s="5" t="s">
        <v>115</v>
      </c>
      <c r="E2352" s="5" t="s">
        <v>29</v>
      </c>
      <c r="F2352" s="5">
        <v>2</v>
      </c>
      <c r="G2352" s="19">
        <v>0</v>
      </c>
      <c r="H2352" s="5" t="s">
        <v>697</v>
      </c>
      <c r="I2352" s="10">
        <f>IF(OR(D2352="", F2352=""), "", F2352 * VLOOKUP(D2352, Products!A:E, 5, FALSE) * (1 - G2352))</f>
        <v>2492.2199999999998</v>
      </c>
      <c r="J2352" s="10"/>
    </row>
    <row r="2353" spans="1:10" ht="15.75" customHeight="1" x14ac:dyDescent="0.3">
      <c r="A2353" s="5" t="s">
        <v>3220</v>
      </c>
      <c r="B2353" s="11">
        <v>45822</v>
      </c>
      <c r="C2353" s="5" t="s">
        <v>635</v>
      </c>
      <c r="D2353" s="5" t="s">
        <v>47</v>
      </c>
      <c r="E2353" s="5" t="s">
        <v>37</v>
      </c>
      <c r="F2353" s="5">
        <v>2</v>
      </c>
      <c r="G2353" s="19">
        <v>0</v>
      </c>
      <c r="H2353" s="5" t="s">
        <v>776</v>
      </c>
      <c r="I2353" s="10">
        <f>IF(OR(D2353="", F2353=""), "", F2353 * VLOOKUP(D2353, Products!A:E, 5, FALSE) * (1 - G2353))</f>
        <v>1637.52</v>
      </c>
      <c r="J2353" s="10"/>
    </row>
    <row r="2354" spans="1:10" ht="15.75" customHeight="1" x14ac:dyDescent="0.3">
      <c r="A2354" s="5" t="s">
        <v>3221</v>
      </c>
      <c r="B2354" s="11">
        <v>45389</v>
      </c>
      <c r="C2354" s="5" t="s">
        <v>676</v>
      </c>
      <c r="D2354" s="5" t="s">
        <v>95</v>
      </c>
      <c r="E2354" s="5" t="s">
        <v>37</v>
      </c>
      <c r="F2354" s="5">
        <v>2</v>
      </c>
      <c r="G2354" s="19">
        <v>0</v>
      </c>
      <c r="H2354" s="5" t="s">
        <v>637</v>
      </c>
      <c r="I2354" s="10">
        <f>IF(OR(D2354="", F2354=""), "", F2354 * VLOOKUP(D2354, Products!A:E, 5, FALSE) * (1 - G2354))</f>
        <v>2685.5</v>
      </c>
      <c r="J2354" s="10"/>
    </row>
    <row r="2355" spans="1:10" ht="15.75" customHeight="1" x14ac:dyDescent="0.3">
      <c r="A2355" s="5" t="s">
        <v>3222</v>
      </c>
      <c r="B2355" s="11">
        <v>45648</v>
      </c>
      <c r="C2355" s="5" t="s">
        <v>113</v>
      </c>
      <c r="D2355" s="5" t="s">
        <v>243</v>
      </c>
      <c r="E2355" s="5" t="s">
        <v>29</v>
      </c>
      <c r="F2355" s="5">
        <v>2</v>
      </c>
      <c r="G2355" s="19">
        <v>0.1</v>
      </c>
      <c r="H2355" s="5" t="s">
        <v>637</v>
      </c>
      <c r="I2355" s="10">
        <f>IF(OR(D2355="", F2355=""), "", F2355 * VLOOKUP(D2355, Products!A:E, 5, FALSE) * (1 - G2355))</f>
        <v>973.69200000000012</v>
      </c>
      <c r="J2355" s="10"/>
    </row>
    <row r="2356" spans="1:10" ht="15.75" customHeight="1" x14ac:dyDescent="0.3">
      <c r="A2356" s="5" t="s">
        <v>3223</v>
      </c>
      <c r="B2356" s="11">
        <v>45415</v>
      </c>
      <c r="C2356" s="5" t="s">
        <v>840</v>
      </c>
      <c r="D2356" s="5" t="s">
        <v>77</v>
      </c>
      <c r="E2356" s="5" t="s">
        <v>33</v>
      </c>
      <c r="F2356" s="5">
        <v>5</v>
      </c>
      <c r="G2356" s="19">
        <v>0.05</v>
      </c>
      <c r="H2356" s="5" t="s">
        <v>637</v>
      </c>
      <c r="I2356" s="10">
        <f>IF(OR(D2356="", F2356=""), "", F2356 * VLOOKUP(D2356, Products!A:E, 5, FALSE) * (1 - G2356))</f>
        <v>1180.7074999999998</v>
      </c>
      <c r="J2356" s="10"/>
    </row>
    <row r="2357" spans="1:10" ht="15.75" customHeight="1" x14ac:dyDescent="0.3">
      <c r="A2357" s="5" t="s">
        <v>3224</v>
      </c>
      <c r="B2357" s="11">
        <v>45285</v>
      </c>
      <c r="C2357" s="5" t="s">
        <v>450</v>
      </c>
      <c r="D2357" s="5" t="s">
        <v>77</v>
      </c>
      <c r="E2357" s="5" t="s">
        <v>21</v>
      </c>
      <c r="F2357" s="5">
        <v>1</v>
      </c>
      <c r="G2357" s="19">
        <v>0.15</v>
      </c>
      <c r="H2357" s="5" t="s">
        <v>637</v>
      </c>
      <c r="I2357" s="10">
        <f>IF(OR(D2357="", F2357=""), "", F2357 * VLOOKUP(D2357, Products!A:E, 5, FALSE) * (1 - G2357))</f>
        <v>211.28449999999998</v>
      </c>
      <c r="J2357" s="10"/>
    </row>
    <row r="2358" spans="1:10" ht="15.75" customHeight="1" x14ac:dyDescent="0.3">
      <c r="A2358" s="5" t="s">
        <v>3225</v>
      </c>
      <c r="B2358" s="11">
        <v>45280</v>
      </c>
      <c r="C2358" s="5" t="s">
        <v>634</v>
      </c>
      <c r="D2358" s="5" t="s">
        <v>212</v>
      </c>
      <c r="E2358" s="5" t="s">
        <v>29</v>
      </c>
      <c r="F2358" s="5">
        <v>1</v>
      </c>
      <c r="G2358" s="19">
        <v>0.05</v>
      </c>
      <c r="H2358" s="5" t="s">
        <v>454</v>
      </c>
      <c r="I2358" s="10">
        <f>IF(OR(D2358="", F2358=""), "", F2358 * VLOOKUP(D2358, Products!A:E, 5, FALSE) * (1 - G2358))</f>
        <v>1709.0214999999998</v>
      </c>
      <c r="J2358" s="10"/>
    </row>
    <row r="2359" spans="1:10" ht="15.75" customHeight="1" x14ac:dyDescent="0.3">
      <c r="A2359" s="5" t="s">
        <v>3226</v>
      </c>
      <c r="B2359" s="11">
        <v>45860</v>
      </c>
      <c r="C2359" s="5" t="s">
        <v>840</v>
      </c>
      <c r="D2359" s="5" t="s">
        <v>226</v>
      </c>
      <c r="E2359" s="5" t="s">
        <v>21</v>
      </c>
      <c r="F2359" s="5">
        <v>3</v>
      </c>
      <c r="G2359" s="19">
        <v>0</v>
      </c>
      <c r="H2359" s="5" t="s">
        <v>697</v>
      </c>
      <c r="I2359" s="10">
        <f>IF(OR(D2359="", F2359=""), "", F2359 * VLOOKUP(D2359, Products!A:E, 5, FALSE) * (1 - G2359))</f>
        <v>4504.38</v>
      </c>
      <c r="J2359" s="10"/>
    </row>
    <row r="2360" spans="1:10" ht="15.75" customHeight="1" x14ac:dyDescent="0.3">
      <c r="A2360" s="5" t="s">
        <v>3227</v>
      </c>
      <c r="B2360" s="11">
        <v>45601</v>
      </c>
      <c r="C2360" s="5" t="s">
        <v>837</v>
      </c>
      <c r="D2360" s="5" t="s">
        <v>134</v>
      </c>
      <c r="E2360" s="5" t="s">
        <v>21</v>
      </c>
      <c r="F2360" s="5">
        <v>3</v>
      </c>
      <c r="G2360" s="19">
        <v>0.05</v>
      </c>
      <c r="H2360" s="5" t="s">
        <v>454</v>
      </c>
      <c r="I2360" s="10">
        <f>IF(OR(D2360="", F2360=""), "", F2360 * VLOOKUP(D2360, Products!A:E, 5, FALSE) * (1 - G2360))</f>
        <v>3497.634</v>
      </c>
      <c r="J2360" s="10"/>
    </row>
    <row r="2361" spans="1:10" ht="15.75" customHeight="1" x14ac:dyDescent="0.3">
      <c r="A2361" s="5" t="s">
        <v>3228</v>
      </c>
      <c r="B2361" s="11">
        <v>45860</v>
      </c>
      <c r="C2361" s="5" t="s">
        <v>433</v>
      </c>
      <c r="D2361" s="5" t="s">
        <v>232</v>
      </c>
      <c r="E2361" s="5" t="s">
        <v>33</v>
      </c>
      <c r="F2361" s="5">
        <v>5</v>
      </c>
      <c r="G2361" s="19">
        <v>0</v>
      </c>
      <c r="H2361" s="5" t="s">
        <v>454</v>
      </c>
      <c r="I2361" s="10">
        <f>IF(OR(D2361="", F2361=""), "", F2361 * VLOOKUP(D2361, Products!A:E, 5, FALSE) * (1 - G2361))</f>
        <v>9763.25</v>
      </c>
      <c r="J2361" s="10"/>
    </row>
    <row r="2362" spans="1:10" ht="15.75" customHeight="1" x14ac:dyDescent="0.3">
      <c r="A2362" s="5" t="s">
        <v>3229</v>
      </c>
      <c r="B2362" s="11">
        <v>45730</v>
      </c>
      <c r="C2362" s="5" t="s">
        <v>137</v>
      </c>
      <c r="D2362" s="5" t="s">
        <v>82</v>
      </c>
      <c r="E2362" s="5" t="s">
        <v>33</v>
      </c>
      <c r="F2362" s="5">
        <v>1</v>
      </c>
      <c r="G2362" s="19">
        <v>0.1</v>
      </c>
      <c r="H2362" s="5" t="s">
        <v>697</v>
      </c>
      <c r="I2362" s="10">
        <f>IF(OR(D2362="", F2362=""), "", F2362 * VLOOKUP(D2362, Products!A:E, 5, FALSE) * (1 - G2362))</f>
        <v>1073.7809999999999</v>
      </c>
      <c r="J2362" s="10"/>
    </row>
    <row r="2363" spans="1:10" ht="15.75" customHeight="1" x14ac:dyDescent="0.3">
      <c r="A2363" s="5" t="s">
        <v>3230</v>
      </c>
      <c r="B2363" s="11">
        <v>45554</v>
      </c>
      <c r="C2363" s="5" t="s">
        <v>691</v>
      </c>
      <c r="D2363" s="5" t="s">
        <v>212</v>
      </c>
      <c r="E2363" s="5" t="s">
        <v>21</v>
      </c>
      <c r="F2363" s="5">
        <v>1</v>
      </c>
      <c r="G2363" s="19">
        <v>0.05</v>
      </c>
      <c r="H2363" s="5" t="s">
        <v>697</v>
      </c>
      <c r="I2363" s="10">
        <f>IF(OR(D2363="", F2363=""), "", F2363 * VLOOKUP(D2363, Products!A:E, 5, FALSE) * (1 - G2363))</f>
        <v>1709.0214999999998</v>
      </c>
      <c r="J2363" s="10"/>
    </row>
    <row r="2364" spans="1:10" ht="15.75" customHeight="1" x14ac:dyDescent="0.3">
      <c r="A2364" s="5" t="s">
        <v>3231</v>
      </c>
      <c r="B2364" s="11">
        <v>45393</v>
      </c>
      <c r="C2364" s="5" t="s">
        <v>718</v>
      </c>
      <c r="D2364" s="5" t="s">
        <v>256</v>
      </c>
      <c r="E2364" s="5" t="s">
        <v>33</v>
      </c>
      <c r="F2364" s="5">
        <v>2</v>
      </c>
      <c r="G2364" s="19">
        <v>0.05</v>
      </c>
      <c r="H2364" s="5" t="s">
        <v>454</v>
      </c>
      <c r="I2364" s="10">
        <f>IF(OR(D2364="", F2364=""), "", F2364 * VLOOKUP(D2364, Products!A:E, 5, FALSE) * (1 - G2364))</f>
        <v>3106.5189999999998</v>
      </c>
      <c r="J2364" s="10"/>
    </row>
    <row r="2365" spans="1:10" ht="15.75" customHeight="1" x14ac:dyDescent="0.3">
      <c r="A2365" s="5" t="s">
        <v>3232</v>
      </c>
      <c r="B2365" s="11">
        <v>45448</v>
      </c>
      <c r="C2365" s="5" t="s">
        <v>615</v>
      </c>
      <c r="D2365" s="5" t="s">
        <v>74</v>
      </c>
      <c r="E2365" s="5" t="s">
        <v>25</v>
      </c>
      <c r="F2365" s="5">
        <v>4</v>
      </c>
      <c r="G2365" s="19">
        <v>0.05</v>
      </c>
      <c r="H2365" s="5" t="s">
        <v>637</v>
      </c>
      <c r="I2365" s="10">
        <f>IF(OR(D2365="", F2365=""), "", F2365 * VLOOKUP(D2365, Products!A:E, 5, FALSE) * (1 - G2365))</f>
        <v>4537.655999999999</v>
      </c>
      <c r="J2365" s="10"/>
    </row>
    <row r="2366" spans="1:10" ht="15.75" customHeight="1" x14ac:dyDescent="0.3">
      <c r="A2366" s="5" t="s">
        <v>3233</v>
      </c>
      <c r="B2366" s="11">
        <v>45426</v>
      </c>
      <c r="C2366" s="5" t="s">
        <v>440</v>
      </c>
      <c r="D2366" s="5" t="s">
        <v>232</v>
      </c>
      <c r="E2366" s="5" t="s">
        <v>25</v>
      </c>
      <c r="F2366" s="5">
        <v>2</v>
      </c>
      <c r="G2366" s="19">
        <v>0</v>
      </c>
      <c r="H2366" s="5" t="s">
        <v>697</v>
      </c>
      <c r="I2366" s="10">
        <f>IF(OR(D2366="", F2366=""), "", F2366 * VLOOKUP(D2366, Products!A:E, 5, FALSE) * (1 - G2366))</f>
        <v>3905.3</v>
      </c>
      <c r="J2366" s="10"/>
    </row>
    <row r="2367" spans="1:10" ht="15.75" customHeight="1" x14ac:dyDescent="0.3">
      <c r="A2367" s="5" t="s">
        <v>3234</v>
      </c>
      <c r="B2367" s="11">
        <v>45434</v>
      </c>
      <c r="C2367" s="5" t="s">
        <v>16</v>
      </c>
      <c r="D2367" s="5" t="s">
        <v>122</v>
      </c>
      <c r="E2367" s="5" t="s">
        <v>33</v>
      </c>
      <c r="F2367" s="5">
        <v>1</v>
      </c>
      <c r="G2367" s="19">
        <v>0.15</v>
      </c>
      <c r="H2367" s="5" t="s">
        <v>697</v>
      </c>
      <c r="I2367" s="10">
        <f>IF(OR(D2367="", F2367=""), "", F2367 * VLOOKUP(D2367, Products!A:E, 5, FALSE) * (1 - G2367))</f>
        <v>1498.482</v>
      </c>
      <c r="J2367" s="10"/>
    </row>
    <row r="2368" spans="1:10" ht="15.75" customHeight="1" x14ac:dyDescent="0.3">
      <c r="A2368" s="5" t="s">
        <v>3235</v>
      </c>
      <c r="B2368" s="11">
        <v>45747</v>
      </c>
      <c r="C2368" s="5" t="s">
        <v>819</v>
      </c>
      <c r="D2368" s="5" t="s">
        <v>89</v>
      </c>
      <c r="E2368" s="5" t="s">
        <v>25</v>
      </c>
      <c r="F2368" s="5">
        <v>1</v>
      </c>
      <c r="G2368" s="19">
        <v>0.15</v>
      </c>
      <c r="H2368" s="5" t="s">
        <v>454</v>
      </c>
      <c r="I2368" s="10">
        <f>IF(OR(D2368="", F2368=""), "", F2368 * VLOOKUP(D2368, Products!A:E, 5, FALSE) * (1 - G2368))</f>
        <v>964.57999999999993</v>
      </c>
      <c r="J2368" s="10"/>
    </row>
    <row r="2369" spans="1:10" ht="15.75" customHeight="1" x14ac:dyDescent="0.3">
      <c r="A2369" s="5" t="s">
        <v>3236</v>
      </c>
      <c r="B2369" s="11">
        <v>45329</v>
      </c>
      <c r="C2369" s="5" t="s">
        <v>740</v>
      </c>
      <c r="D2369" s="5" t="s">
        <v>280</v>
      </c>
      <c r="E2369" s="5" t="s">
        <v>33</v>
      </c>
      <c r="F2369" s="5">
        <v>5</v>
      </c>
      <c r="G2369" s="19">
        <v>0.05</v>
      </c>
      <c r="H2369" s="5" t="s">
        <v>454</v>
      </c>
      <c r="I2369" s="10">
        <f>IF(OR(D2369="", F2369=""), "", F2369 * VLOOKUP(D2369, Products!A:E, 5, FALSE) * (1 - G2369))</f>
        <v>5777.7099999999991</v>
      </c>
      <c r="J2369" s="10"/>
    </row>
    <row r="2370" spans="1:10" ht="15.75" customHeight="1" x14ac:dyDescent="0.3">
      <c r="A2370" s="5" t="s">
        <v>3237</v>
      </c>
      <c r="B2370" s="11">
        <v>45193</v>
      </c>
      <c r="C2370" s="5" t="s">
        <v>624</v>
      </c>
      <c r="D2370" s="5" t="s">
        <v>134</v>
      </c>
      <c r="E2370" s="5" t="s">
        <v>37</v>
      </c>
      <c r="F2370" s="5">
        <v>2</v>
      </c>
      <c r="G2370" s="19">
        <v>0.1</v>
      </c>
      <c r="H2370" s="5" t="s">
        <v>697</v>
      </c>
      <c r="I2370" s="10">
        <f>IF(OR(D2370="", F2370=""), "", F2370 * VLOOKUP(D2370, Products!A:E, 5, FALSE) * (1 - G2370))</f>
        <v>2209.0320000000002</v>
      </c>
      <c r="J2370" s="10"/>
    </row>
    <row r="2371" spans="1:10" ht="15.75" customHeight="1" x14ac:dyDescent="0.3">
      <c r="A2371" s="5" t="s">
        <v>3238</v>
      </c>
      <c r="B2371" s="11">
        <v>45290</v>
      </c>
      <c r="C2371" s="5" t="s">
        <v>447</v>
      </c>
      <c r="D2371" s="5" t="s">
        <v>128</v>
      </c>
      <c r="E2371" s="5" t="s">
        <v>33</v>
      </c>
      <c r="F2371" s="5">
        <v>4</v>
      </c>
      <c r="G2371" s="19">
        <v>0.15</v>
      </c>
      <c r="H2371" s="5" t="s">
        <v>454</v>
      </c>
      <c r="I2371" s="10">
        <f>IF(OR(D2371="", F2371=""), "", F2371 * VLOOKUP(D2371, Products!A:E, 5, FALSE) * (1 - G2371))</f>
        <v>1101.328</v>
      </c>
      <c r="J2371" s="10"/>
    </row>
    <row r="2372" spans="1:10" ht="15.75" customHeight="1" x14ac:dyDescent="0.3">
      <c r="A2372" s="5" t="s">
        <v>3239</v>
      </c>
      <c r="B2372" s="11">
        <v>45237</v>
      </c>
      <c r="C2372" s="5" t="s">
        <v>680</v>
      </c>
      <c r="D2372" s="5" t="s">
        <v>109</v>
      </c>
      <c r="E2372" s="5" t="s">
        <v>33</v>
      </c>
      <c r="F2372" s="5">
        <v>3</v>
      </c>
      <c r="G2372" s="19">
        <v>0</v>
      </c>
      <c r="H2372" s="5" t="s">
        <v>697</v>
      </c>
      <c r="I2372" s="10">
        <f>IF(OR(D2372="", F2372=""), "", F2372 * VLOOKUP(D2372, Products!A:E, 5, FALSE) * (1 - G2372))</f>
        <v>5576.25</v>
      </c>
      <c r="J2372" s="10"/>
    </row>
    <row r="2373" spans="1:10" ht="15.75" customHeight="1" x14ac:dyDescent="0.3">
      <c r="A2373" s="5" t="s">
        <v>3240</v>
      </c>
      <c r="B2373" s="11">
        <v>45336</v>
      </c>
      <c r="C2373" s="5" t="s">
        <v>245</v>
      </c>
      <c r="D2373" s="5" t="s">
        <v>147</v>
      </c>
      <c r="E2373" s="5" t="s">
        <v>29</v>
      </c>
      <c r="F2373" s="5">
        <v>4</v>
      </c>
      <c r="G2373" s="19">
        <v>0.15</v>
      </c>
      <c r="H2373" s="5" t="s">
        <v>454</v>
      </c>
      <c r="I2373" s="10">
        <f>IF(OR(D2373="", F2373=""), "", F2373 * VLOOKUP(D2373, Products!A:E, 5, FALSE) * (1 - G2373))</f>
        <v>6386.7979999999998</v>
      </c>
      <c r="J2373" s="10"/>
    </row>
    <row r="2374" spans="1:10" ht="15.75" customHeight="1" x14ac:dyDescent="0.3">
      <c r="A2374" s="5" t="s">
        <v>3241</v>
      </c>
      <c r="B2374" s="11">
        <v>45223</v>
      </c>
      <c r="C2374" s="5" t="s">
        <v>405</v>
      </c>
      <c r="D2374" s="5" t="s">
        <v>95</v>
      </c>
      <c r="E2374" s="5" t="s">
        <v>33</v>
      </c>
      <c r="F2374" s="5">
        <v>1</v>
      </c>
      <c r="G2374" s="19">
        <v>0.05</v>
      </c>
      <c r="H2374" s="5" t="s">
        <v>637</v>
      </c>
      <c r="I2374" s="10">
        <f>IF(OR(D2374="", F2374=""), "", F2374 * VLOOKUP(D2374, Products!A:E, 5, FALSE) * (1 - G2374))</f>
        <v>1275.6125</v>
      </c>
      <c r="J2374" s="10"/>
    </row>
    <row r="2375" spans="1:10" ht="15.75" customHeight="1" x14ac:dyDescent="0.3">
      <c r="A2375" s="5" t="s">
        <v>3242</v>
      </c>
      <c r="B2375" s="11">
        <v>45708</v>
      </c>
      <c r="C2375" s="5" t="s">
        <v>474</v>
      </c>
      <c r="D2375" s="5" t="s">
        <v>249</v>
      </c>
      <c r="E2375" s="5" t="s">
        <v>21</v>
      </c>
      <c r="F2375" s="5">
        <v>3</v>
      </c>
      <c r="G2375" s="19">
        <v>0.15</v>
      </c>
      <c r="H2375" s="5" t="s">
        <v>697</v>
      </c>
      <c r="I2375" s="10">
        <f>IF(OR(D2375="", F2375=""), "", F2375 * VLOOKUP(D2375, Products!A:E, 5, FALSE) * (1 - G2375))</f>
        <v>4451.3054999999995</v>
      </c>
      <c r="J2375" s="10"/>
    </row>
    <row r="2376" spans="1:10" ht="15.75" customHeight="1" x14ac:dyDescent="0.3">
      <c r="A2376" s="5" t="s">
        <v>3243</v>
      </c>
      <c r="B2376" s="11">
        <v>45855</v>
      </c>
      <c r="C2376" s="5" t="s">
        <v>876</v>
      </c>
      <c r="D2376" s="5" t="s">
        <v>50</v>
      </c>
      <c r="E2376" s="5" t="s">
        <v>33</v>
      </c>
      <c r="F2376" s="5">
        <v>4</v>
      </c>
      <c r="G2376" s="19">
        <v>0.15</v>
      </c>
      <c r="H2376" s="5" t="s">
        <v>697</v>
      </c>
      <c r="I2376" s="10">
        <f>IF(OR(D2376="", F2376=""), "", F2376 * VLOOKUP(D2376, Products!A:E, 5, FALSE) * (1 - G2376))</f>
        <v>1147.942</v>
      </c>
      <c r="J2376" s="10"/>
    </row>
    <row r="2377" spans="1:10" ht="15.75" customHeight="1" x14ac:dyDescent="0.3">
      <c r="A2377" s="5" t="s">
        <v>3244</v>
      </c>
      <c r="B2377" s="11">
        <v>45689</v>
      </c>
      <c r="C2377" s="5" t="s">
        <v>121</v>
      </c>
      <c r="D2377" s="5" t="s">
        <v>249</v>
      </c>
      <c r="E2377" s="5" t="s">
        <v>29</v>
      </c>
      <c r="F2377" s="5">
        <v>3</v>
      </c>
      <c r="G2377" s="19">
        <v>0.05</v>
      </c>
      <c r="H2377" s="5" t="s">
        <v>637</v>
      </c>
      <c r="I2377" s="10">
        <f>IF(OR(D2377="", F2377=""), "", F2377 * VLOOKUP(D2377, Products!A:E, 5, FALSE) * (1 - G2377))</f>
        <v>4974.9884999999995</v>
      </c>
      <c r="J2377" s="10"/>
    </row>
    <row r="2378" spans="1:10" ht="15.75" customHeight="1" x14ac:dyDescent="0.3">
      <c r="A2378" s="5" t="s">
        <v>3245</v>
      </c>
      <c r="B2378" s="11">
        <v>45773</v>
      </c>
      <c r="C2378" s="5" t="s">
        <v>171</v>
      </c>
      <c r="D2378" s="5" t="s">
        <v>276</v>
      </c>
      <c r="E2378" s="5" t="s">
        <v>37</v>
      </c>
      <c r="F2378" s="5">
        <v>3</v>
      </c>
      <c r="G2378" s="19">
        <v>0.1</v>
      </c>
      <c r="H2378" s="5" t="s">
        <v>454</v>
      </c>
      <c r="I2378" s="10">
        <f>IF(OR(D2378="", F2378=""), "", F2378 * VLOOKUP(D2378, Products!A:E, 5, FALSE) * (1 - G2378))</f>
        <v>3232.386</v>
      </c>
      <c r="J2378" s="10"/>
    </row>
    <row r="2379" spans="1:10" ht="15.75" customHeight="1" x14ac:dyDescent="0.3">
      <c r="A2379" s="5" t="s">
        <v>3246</v>
      </c>
      <c r="B2379" s="11">
        <v>45795</v>
      </c>
      <c r="C2379" s="5" t="s">
        <v>560</v>
      </c>
      <c r="D2379" s="5" t="s">
        <v>128</v>
      </c>
      <c r="E2379" s="5" t="s">
        <v>33</v>
      </c>
      <c r="F2379" s="5">
        <v>4</v>
      </c>
      <c r="G2379" s="19">
        <v>0.15</v>
      </c>
      <c r="H2379" s="5" t="s">
        <v>637</v>
      </c>
      <c r="I2379" s="10">
        <f>IF(OR(D2379="", F2379=""), "", F2379 * VLOOKUP(D2379, Products!A:E, 5, FALSE) * (1 - G2379))</f>
        <v>1101.328</v>
      </c>
      <c r="J2379" s="10"/>
    </row>
    <row r="2380" spans="1:10" ht="15.75" customHeight="1" x14ac:dyDescent="0.3">
      <c r="A2380" s="5" t="s">
        <v>3247</v>
      </c>
      <c r="B2380" s="11">
        <v>45334</v>
      </c>
      <c r="C2380" s="5" t="s">
        <v>416</v>
      </c>
      <c r="D2380" s="5" t="s">
        <v>180</v>
      </c>
      <c r="E2380" s="5" t="s">
        <v>21</v>
      </c>
      <c r="F2380" s="5">
        <v>3</v>
      </c>
      <c r="G2380" s="19">
        <v>0.15</v>
      </c>
      <c r="H2380" s="5" t="s">
        <v>697</v>
      </c>
      <c r="I2380" s="10">
        <f>IF(OR(D2380="", F2380=""), "", F2380 * VLOOKUP(D2380, Products!A:E, 5, FALSE) * (1 - G2380))</f>
        <v>1718.1389999999999</v>
      </c>
      <c r="J2380" s="10"/>
    </row>
    <row r="2381" spans="1:10" ht="15.75" customHeight="1" x14ac:dyDescent="0.3">
      <c r="A2381" s="5" t="s">
        <v>3248</v>
      </c>
      <c r="B2381" s="11">
        <v>45261</v>
      </c>
      <c r="C2381" s="5" t="s">
        <v>491</v>
      </c>
      <c r="D2381" s="5" t="s">
        <v>153</v>
      </c>
      <c r="E2381" s="5" t="s">
        <v>21</v>
      </c>
      <c r="F2381" s="5">
        <v>3</v>
      </c>
      <c r="G2381" s="19">
        <v>0.15</v>
      </c>
      <c r="H2381" s="5" t="s">
        <v>637</v>
      </c>
      <c r="I2381" s="10">
        <f>IF(OR(D2381="", F2381=""), "", F2381 * VLOOKUP(D2381, Products!A:E, 5, FALSE) * (1 - G2381))</f>
        <v>3792.8955000000001</v>
      </c>
      <c r="J2381" s="10"/>
    </row>
    <row r="2382" spans="1:10" ht="15.75" customHeight="1" x14ac:dyDescent="0.3">
      <c r="A2382" s="5" t="s">
        <v>3249</v>
      </c>
      <c r="B2382" s="11">
        <v>45278</v>
      </c>
      <c r="C2382" s="5" t="s">
        <v>376</v>
      </c>
      <c r="D2382" s="5" t="s">
        <v>65</v>
      </c>
      <c r="E2382" s="5" t="s">
        <v>37</v>
      </c>
      <c r="F2382" s="5">
        <v>2</v>
      </c>
      <c r="G2382" s="19">
        <v>0.05</v>
      </c>
      <c r="H2382" s="5" t="s">
        <v>776</v>
      </c>
      <c r="I2382" s="10">
        <f>IF(OR(D2382="", F2382=""), "", F2382 * VLOOKUP(D2382, Products!A:E, 5, FALSE) * (1 - G2382))</f>
        <v>2800.8279999999995</v>
      </c>
      <c r="J2382" s="10"/>
    </row>
    <row r="2383" spans="1:10" ht="15.75" customHeight="1" x14ac:dyDescent="0.3">
      <c r="A2383" s="5" t="s">
        <v>3250</v>
      </c>
      <c r="B2383" s="11">
        <v>45816</v>
      </c>
      <c r="C2383" s="5" t="s">
        <v>740</v>
      </c>
      <c r="D2383" s="5" t="s">
        <v>221</v>
      </c>
      <c r="E2383" s="5" t="s">
        <v>37</v>
      </c>
      <c r="F2383" s="5">
        <v>3</v>
      </c>
      <c r="G2383" s="19">
        <v>0.05</v>
      </c>
      <c r="H2383" s="5" t="s">
        <v>776</v>
      </c>
      <c r="I2383" s="10">
        <f>IF(OR(D2383="", F2383=""), "", F2383 * VLOOKUP(D2383, Products!A:E, 5, FALSE) * (1 - G2383))</f>
        <v>4452.9254999999994</v>
      </c>
      <c r="J2383" s="10"/>
    </row>
    <row r="2384" spans="1:10" ht="15.75" customHeight="1" x14ac:dyDescent="0.3">
      <c r="A2384" s="5" t="s">
        <v>3251</v>
      </c>
      <c r="B2384" s="11">
        <v>45618</v>
      </c>
      <c r="C2384" s="5" t="s">
        <v>829</v>
      </c>
      <c r="D2384" s="5" t="s">
        <v>217</v>
      </c>
      <c r="E2384" s="5" t="s">
        <v>21</v>
      </c>
      <c r="F2384" s="5">
        <v>4</v>
      </c>
      <c r="G2384" s="19">
        <v>0</v>
      </c>
      <c r="H2384" s="5" t="s">
        <v>454</v>
      </c>
      <c r="I2384" s="10">
        <f>IF(OR(D2384="", F2384=""), "", F2384 * VLOOKUP(D2384, Products!A:E, 5, FALSE) * (1 - G2384))</f>
        <v>1712.2</v>
      </c>
      <c r="J2384" s="10"/>
    </row>
    <row r="2385" spans="1:10" ht="15.75" customHeight="1" x14ac:dyDescent="0.3">
      <c r="A2385" s="5" t="s">
        <v>3252</v>
      </c>
      <c r="B2385" s="11">
        <v>45424</v>
      </c>
      <c r="C2385" s="5" t="s">
        <v>507</v>
      </c>
      <c r="D2385" s="5" t="s">
        <v>285</v>
      </c>
      <c r="E2385" s="5" t="s">
        <v>37</v>
      </c>
      <c r="F2385" s="5">
        <v>1</v>
      </c>
      <c r="G2385" s="19">
        <v>0</v>
      </c>
      <c r="H2385" s="5" t="s">
        <v>697</v>
      </c>
      <c r="I2385" s="10">
        <f>IF(OR(D2385="", F2385=""), "", F2385 * VLOOKUP(D2385, Products!A:E, 5, FALSE) * (1 - G2385))</f>
        <v>388.26</v>
      </c>
      <c r="J2385" s="10"/>
    </row>
    <row r="2386" spans="1:10" ht="15.75" customHeight="1" x14ac:dyDescent="0.3">
      <c r="A2386" s="5" t="s">
        <v>3253</v>
      </c>
      <c r="B2386" s="11">
        <v>45828</v>
      </c>
      <c r="C2386" s="5" t="s">
        <v>515</v>
      </c>
      <c r="D2386" s="5" t="s">
        <v>262</v>
      </c>
      <c r="E2386" s="5" t="s">
        <v>37</v>
      </c>
      <c r="F2386" s="5">
        <v>2</v>
      </c>
      <c r="G2386" s="19">
        <v>0.05</v>
      </c>
      <c r="H2386" s="5" t="s">
        <v>637</v>
      </c>
      <c r="I2386" s="10">
        <f>IF(OR(D2386="", F2386=""), "", F2386 * VLOOKUP(D2386, Products!A:E, 5, FALSE) * (1 - G2386))</f>
        <v>861.87799999999993</v>
      </c>
      <c r="J2386" s="10"/>
    </row>
    <row r="2387" spans="1:10" ht="15.75" customHeight="1" x14ac:dyDescent="0.3">
      <c r="A2387" s="5" t="s">
        <v>3254</v>
      </c>
      <c r="B2387" s="11">
        <v>45903</v>
      </c>
      <c r="C2387" s="5" t="s">
        <v>826</v>
      </c>
      <c r="D2387" s="5" t="s">
        <v>276</v>
      </c>
      <c r="E2387" s="5" t="s">
        <v>25</v>
      </c>
      <c r="F2387" s="5">
        <v>3</v>
      </c>
      <c r="G2387" s="19">
        <v>0.05</v>
      </c>
      <c r="H2387" s="5" t="s">
        <v>454</v>
      </c>
      <c r="I2387" s="10">
        <f>IF(OR(D2387="", F2387=""), "", F2387 * VLOOKUP(D2387, Products!A:E, 5, FALSE) * (1 - G2387))</f>
        <v>3411.9629999999997</v>
      </c>
      <c r="J2387" s="10"/>
    </row>
    <row r="2388" spans="1:10" ht="15.75" customHeight="1" x14ac:dyDescent="0.3">
      <c r="A2388" s="5" t="s">
        <v>3255</v>
      </c>
      <c r="B2388" s="11">
        <v>45498</v>
      </c>
      <c r="C2388" s="5" t="s">
        <v>484</v>
      </c>
      <c r="D2388" s="5" t="s">
        <v>188</v>
      </c>
      <c r="E2388" s="5" t="s">
        <v>33</v>
      </c>
      <c r="F2388" s="5">
        <v>2</v>
      </c>
      <c r="G2388" s="19">
        <v>0.05</v>
      </c>
      <c r="H2388" s="5" t="s">
        <v>776</v>
      </c>
      <c r="I2388" s="10">
        <f>IF(OR(D2388="", F2388=""), "", F2388 * VLOOKUP(D2388, Products!A:E, 5, FALSE) * (1 - G2388))</f>
        <v>2821.5949999999998</v>
      </c>
      <c r="J2388" s="10"/>
    </row>
    <row r="2389" spans="1:10" ht="15.75" customHeight="1" x14ac:dyDescent="0.3">
      <c r="A2389" s="5" t="s">
        <v>3256</v>
      </c>
      <c r="B2389" s="11">
        <v>45204</v>
      </c>
      <c r="C2389" s="5" t="s">
        <v>137</v>
      </c>
      <c r="D2389" s="5" t="s">
        <v>291</v>
      </c>
      <c r="E2389" s="5" t="s">
        <v>21</v>
      </c>
      <c r="F2389" s="5">
        <v>5</v>
      </c>
      <c r="G2389" s="19">
        <v>0</v>
      </c>
      <c r="H2389" s="5" t="s">
        <v>637</v>
      </c>
      <c r="I2389" s="10">
        <f>IF(OR(D2389="", F2389=""), "", F2389 * VLOOKUP(D2389, Products!A:E, 5, FALSE) * (1 - G2389))</f>
        <v>5223.2000000000007</v>
      </c>
      <c r="J2389" s="10"/>
    </row>
    <row r="2390" spans="1:10" ht="15.75" customHeight="1" x14ac:dyDescent="0.3">
      <c r="A2390" s="5" t="s">
        <v>3257</v>
      </c>
      <c r="B2390" s="11">
        <v>45389</v>
      </c>
      <c r="C2390" s="5" t="s">
        <v>628</v>
      </c>
      <c r="D2390" s="5" t="s">
        <v>115</v>
      </c>
      <c r="E2390" s="5" t="s">
        <v>21</v>
      </c>
      <c r="F2390" s="5">
        <v>2</v>
      </c>
      <c r="G2390" s="19">
        <v>0.1</v>
      </c>
      <c r="H2390" s="5" t="s">
        <v>454</v>
      </c>
      <c r="I2390" s="10">
        <f>IF(OR(D2390="", F2390=""), "", F2390 * VLOOKUP(D2390, Products!A:E, 5, FALSE) * (1 - G2390))</f>
        <v>2242.998</v>
      </c>
      <c r="J2390" s="10"/>
    </row>
    <row r="2391" spans="1:10" ht="15.75" customHeight="1" x14ac:dyDescent="0.3">
      <c r="A2391" s="5" t="s">
        <v>3258</v>
      </c>
      <c r="B2391" s="11">
        <v>45895</v>
      </c>
      <c r="C2391" s="5" t="s">
        <v>113</v>
      </c>
      <c r="D2391" s="5" t="s">
        <v>95</v>
      </c>
      <c r="E2391" s="5" t="s">
        <v>25</v>
      </c>
      <c r="F2391" s="5">
        <v>2</v>
      </c>
      <c r="G2391" s="19">
        <v>0</v>
      </c>
      <c r="H2391" s="5" t="s">
        <v>454</v>
      </c>
      <c r="I2391" s="10">
        <f>IF(OR(D2391="", F2391=""), "", F2391 * VLOOKUP(D2391, Products!A:E, 5, FALSE) * (1 - G2391))</f>
        <v>2685.5</v>
      </c>
      <c r="J2391" s="10"/>
    </row>
    <row r="2392" spans="1:10" ht="15.75" customHeight="1" x14ac:dyDescent="0.3">
      <c r="A2392" s="5" t="s">
        <v>3259</v>
      </c>
      <c r="B2392" s="11">
        <v>45626</v>
      </c>
      <c r="C2392" s="5" t="s">
        <v>854</v>
      </c>
      <c r="D2392" s="5" t="s">
        <v>115</v>
      </c>
      <c r="E2392" s="5" t="s">
        <v>21</v>
      </c>
      <c r="F2392" s="5">
        <v>4</v>
      </c>
      <c r="G2392" s="19">
        <v>0.15</v>
      </c>
      <c r="H2392" s="5" t="s">
        <v>697</v>
      </c>
      <c r="I2392" s="10">
        <f>IF(OR(D2392="", F2392=""), "", F2392 * VLOOKUP(D2392, Products!A:E, 5, FALSE) * (1 - G2392))</f>
        <v>4236.7739999999994</v>
      </c>
      <c r="J2392" s="10"/>
    </row>
    <row r="2393" spans="1:10" ht="15.75" customHeight="1" x14ac:dyDescent="0.3">
      <c r="A2393" s="5" t="s">
        <v>3260</v>
      </c>
      <c r="B2393" s="11">
        <v>45757</v>
      </c>
      <c r="C2393" s="5" t="s">
        <v>847</v>
      </c>
      <c r="D2393" s="5" t="s">
        <v>200</v>
      </c>
      <c r="E2393" s="5" t="s">
        <v>29</v>
      </c>
      <c r="F2393" s="5">
        <v>1</v>
      </c>
      <c r="G2393" s="19">
        <v>0</v>
      </c>
      <c r="H2393" s="5" t="s">
        <v>776</v>
      </c>
      <c r="I2393" s="10">
        <f>IF(OR(D2393="", F2393=""), "", F2393 * VLOOKUP(D2393, Products!A:E, 5, FALSE) * (1 - G2393))</f>
        <v>1095.72</v>
      </c>
      <c r="J2393" s="10"/>
    </row>
    <row r="2394" spans="1:10" ht="15.75" customHeight="1" x14ac:dyDescent="0.3">
      <c r="A2394" s="5" t="s">
        <v>3261</v>
      </c>
      <c r="B2394" s="11">
        <v>45313</v>
      </c>
      <c r="C2394" s="5" t="s">
        <v>645</v>
      </c>
      <c r="D2394" s="5" t="s">
        <v>193</v>
      </c>
      <c r="E2394" s="5" t="s">
        <v>33</v>
      </c>
      <c r="F2394" s="5">
        <v>1</v>
      </c>
      <c r="G2394" s="19">
        <v>0</v>
      </c>
      <c r="H2394" s="5" t="s">
        <v>697</v>
      </c>
      <c r="I2394" s="10">
        <f>IF(OR(D2394="", F2394=""), "", F2394 * VLOOKUP(D2394, Products!A:E, 5, FALSE) * (1 - G2394))</f>
        <v>29.24</v>
      </c>
      <c r="J2394" s="10"/>
    </row>
    <row r="2395" spans="1:10" ht="15.75" customHeight="1" x14ac:dyDescent="0.3">
      <c r="A2395" s="5" t="s">
        <v>3262</v>
      </c>
      <c r="B2395" s="11">
        <v>45477</v>
      </c>
      <c r="C2395" s="5" t="s">
        <v>223</v>
      </c>
      <c r="D2395" s="5" t="s">
        <v>217</v>
      </c>
      <c r="E2395" s="5" t="s">
        <v>37</v>
      </c>
      <c r="F2395" s="5">
        <v>4</v>
      </c>
      <c r="G2395" s="19">
        <v>0.05</v>
      </c>
      <c r="H2395" s="5" t="s">
        <v>454</v>
      </c>
      <c r="I2395" s="10">
        <f>IF(OR(D2395="", F2395=""), "", F2395 * VLOOKUP(D2395, Products!A:E, 5, FALSE) * (1 - G2395))</f>
        <v>1626.59</v>
      </c>
      <c r="J2395" s="10"/>
    </row>
    <row r="2396" spans="1:10" ht="15.75" customHeight="1" x14ac:dyDescent="0.3">
      <c r="A2396" s="5" t="s">
        <v>3263</v>
      </c>
      <c r="B2396" s="11">
        <v>45465</v>
      </c>
      <c r="C2396" s="5" t="s">
        <v>477</v>
      </c>
      <c r="D2396" s="5" t="s">
        <v>280</v>
      </c>
      <c r="E2396" s="5" t="s">
        <v>33</v>
      </c>
      <c r="F2396" s="5">
        <v>5</v>
      </c>
      <c r="G2396" s="19">
        <v>0</v>
      </c>
      <c r="H2396" s="5" t="s">
        <v>454</v>
      </c>
      <c r="I2396" s="10">
        <f>IF(OR(D2396="", F2396=""), "", F2396 * VLOOKUP(D2396, Products!A:E, 5, FALSE) * (1 - G2396))</f>
        <v>6081.7999999999993</v>
      </c>
      <c r="J2396" s="10"/>
    </row>
    <row r="2397" spans="1:10" ht="15.75" customHeight="1" x14ac:dyDescent="0.3">
      <c r="A2397" s="5" t="s">
        <v>3264</v>
      </c>
      <c r="B2397" s="11">
        <v>45766</v>
      </c>
      <c r="C2397" s="5" t="s">
        <v>433</v>
      </c>
      <c r="D2397" s="5" t="s">
        <v>103</v>
      </c>
      <c r="E2397" s="5" t="s">
        <v>33</v>
      </c>
      <c r="F2397" s="5">
        <v>2</v>
      </c>
      <c r="G2397" s="19">
        <v>0</v>
      </c>
      <c r="H2397" s="5" t="s">
        <v>454</v>
      </c>
      <c r="I2397" s="10">
        <f>IF(OR(D2397="", F2397=""), "", F2397 * VLOOKUP(D2397, Products!A:E, 5, FALSE) * (1 - G2397))</f>
        <v>540.9</v>
      </c>
      <c r="J2397" s="10"/>
    </row>
    <row r="2398" spans="1:10" ht="15.75" customHeight="1" x14ac:dyDescent="0.3">
      <c r="A2398" s="5" t="s">
        <v>3265</v>
      </c>
      <c r="B2398" s="11">
        <v>45860</v>
      </c>
      <c r="C2398" s="5" t="s">
        <v>774</v>
      </c>
      <c r="D2398" s="5" t="s">
        <v>243</v>
      </c>
      <c r="E2398" s="5" t="s">
        <v>37</v>
      </c>
      <c r="F2398" s="5">
        <v>4</v>
      </c>
      <c r="G2398" s="19">
        <v>0.15</v>
      </c>
      <c r="H2398" s="5" t="s">
        <v>454</v>
      </c>
      <c r="I2398" s="10">
        <f>IF(OR(D2398="", F2398=""), "", F2398 * VLOOKUP(D2398, Products!A:E, 5, FALSE) * (1 - G2398))</f>
        <v>1839.1960000000001</v>
      </c>
      <c r="J2398" s="10"/>
    </row>
    <row r="2399" spans="1:10" ht="15.75" customHeight="1" x14ac:dyDescent="0.3">
      <c r="A2399" s="5" t="s">
        <v>3266</v>
      </c>
      <c r="B2399" s="11">
        <v>45442</v>
      </c>
      <c r="C2399" s="5" t="s">
        <v>575</v>
      </c>
      <c r="D2399" s="5" t="s">
        <v>134</v>
      </c>
      <c r="E2399" s="5" t="s">
        <v>21</v>
      </c>
      <c r="F2399" s="5">
        <v>2</v>
      </c>
      <c r="G2399" s="19">
        <v>0.15</v>
      </c>
      <c r="H2399" s="5" t="s">
        <v>454</v>
      </c>
      <c r="I2399" s="10">
        <f>IF(OR(D2399="", F2399=""), "", F2399 * VLOOKUP(D2399, Products!A:E, 5, FALSE) * (1 - G2399))</f>
        <v>2086.308</v>
      </c>
      <c r="J2399" s="10"/>
    </row>
    <row r="2400" spans="1:10" ht="15.75" customHeight="1" x14ac:dyDescent="0.3">
      <c r="A2400" s="5" t="s">
        <v>3267</v>
      </c>
      <c r="B2400" s="11">
        <v>45466</v>
      </c>
      <c r="C2400" s="5" t="s">
        <v>624</v>
      </c>
      <c r="D2400" s="5" t="s">
        <v>243</v>
      </c>
      <c r="E2400" s="5" t="s">
        <v>29</v>
      </c>
      <c r="F2400" s="5">
        <v>5</v>
      </c>
      <c r="G2400" s="19">
        <v>0.05</v>
      </c>
      <c r="H2400" s="5" t="s">
        <v>637</v>
      </c>
      <c r="I2400" s="10">
        <f>IF(OR(D2400="", F2400=""), "", F2400 * VLOOKUP(D2400, Products!A:E, 5, FALSE) * (1 - G2400))</f>
        <v>2569.4650000000001</v>
      </c>
      <c r="J2400" s="10"/>
    </row>
    <row r="2401" spans="1:10" ht="15.75" customHeight="1" x14ac:dyDescent="0.3">
      <c r="A2401" s="5" t="s">
        <v>3268</v>
      </c>
      <c r="B2401" s="11">
        <v>45724</v>
      </c>
      <c r="C2401" s="5" t="s">
        <v>100</v>
      </c>
      <c r="D2401" s="5" t="s">
        <v>237</v>
      </c>
      <c r="E2401" s="5" t="s">
        <v>33</v>
      </c>
      <c r="F2401" s="5">
        <v>4</v>
      </c>
      <c r="G2401" s="19">
        <v>0.1</v>
      </c>
      <c r="H2401" s="5" t="s">
        <v>776</v>
      </c>
      <c r="I2401" s="10">
        <f>IF(OR(D2401="", F2401=""), "", F2401 * VLOOKUP(D2401, Products!A:E, 5, FALSE) * (1 - G2401))</f>
        <v>1320.9480000000001</v>
      </c>
      <c r="J2401" s="10"/>
    </row>
    <row r="2402" spans="1:10" ht="15.75" customHeight="1" x14ac:dyDescent="0.3">
      <c r="A2402" s="5" t="s">
        <v>3269</v>
      </c>
      <c r="B2402" s="11">
        <v>45293</v>
      </c>
      <c r="C2402" s="5" t="s">
        <v>597</v>
      </c>
      <c r="D2402" s="5" t="s">
        <v>103</v>
      </c>
      <c r="E2402" s="5" t="s">
        <v>25</v>
      </c>
      <c r="F2402" s="5">
        <v>5</v>
      </c>
      <c r="G2402" s="19">
        <v>0</v>
      </c>
      <c r="H2402" s="5" t="s">
        <v>637</v>
      </c>
      <c r="I2402" s="10">
        <f>IF(OR(D2402="", F2402=""), "", F2402 * VLOOKUP(D2402, Products!A:E, 5, FALSE) * (1 - G2402))</f>
        <v>1352.25</v>
      </c>
      <c r="J2402" s="10"/>
    </row>
    <row r="2403" spans="1:10" ht="15.75" customHeight="1" x14ac:dyDescent="0.3">
      <c r="A2403" s="5" t="s">
        <v>3270</v>
      </c>
      <c r="B2403" s="11">
        <v>45684</v>
      </c>
      <c r="C2403" s="5" t="s">
        <v>872</v>
      </c>
      <c r="D2403" s="5" t="s">
        <v>206</v>
      </c>
      <c r="E2403" s="5" t="s">
        <v>25</v>
      </c>
      <c r="F2403" s="5">
        <v>4</v>
      </c>
      <c r="G2403" s="19">
        <v>0.1</v>
      </c>
      <c r="H2403" s="5" t="s">
        <v>637</v>
      </c>
      <c r="I2403" s="10">
        <f>IF(OR(D2403="", F2403=""), "", F2403 * VLOOKUP(D2403, Products!A:E, 5, FALSE) * (1 - G2403))</f>
        <v>1096.9559999999999</v>
      </c>
      <c r="J2403" s="10"/>
    </row>
    <row r="2404" spans="1:10" ht="15.75" customHeight="1" x14ac:dyDescent="0.3">
      <c r="A2404" s="5" t="s">
        <v>3271</v>
      </c>
      <c r="B2404" s="11">
        <v>45783</v>
      </c>
      <c r="C2404" s="5" t="s">
        <v>699</v>
      </c>
      <c r="D2404" s="5" t="s">
        <v>256</v>
      </c>
      <c r="E2404" s="5" t="s">
        <v>21</v>
      </c>
      <c r="F2404" s="5">
        <v>3</v>
      </c>
      <c r="G2404" s="19">
        <v>0.1</v>
      </c>
      <c r="H2404" s="5" t="s">
        <v>697</v>
      </c>
      <c r="I2404" s="10">
        <f>IF(OR(D2404="", F2404=""), "", F2404 * VLOOKUP(D2404, Products!A:E, 5, FALSE) * (1 - G2404))</f>
        <v>4414.527</v>
      </c>
      <c r="J2404" s="10"/>
    </row>
    <row r="2405" spans="1:10" ht="15.75" customHeight="1" x14ac:dyDescent="0.3">
      <c r="A2405" s="5" t="s">
        <v>3272</v>
      </c>
      <c r="B2405" s="11">
        <v>45432</v>
      </c>
      <c r="C2405" s="5" t="s">
        <v>752</v>
      </c>
      <c r="D2405" s="5" t="s">
        <v>95</v>
      </c>
      <c r="E2405" s="5" t="s">
        <v>21</v>
      </c>
      <c r="F2405" s="5">
        <v>1</v>
      </c>
      <c r="G2405" s="19">
        <v>0.05</v>
      </c>
      <c r="H2405" s="5" t="s">
        <v>697</v>
      </c>
      <c r="I2405" s="10">
        <f>IF(OR(D2405="", F2405=""), "", F2405 * VLOOKUP(D2405, Products!A:E, 5, FALSE) * (1 - G2405))</f>
        <v>1275.6125</v>
      </c>
      <c r="J2405" s="10"/>
    </row>
    <row r="2406" spans="1:10" ht="15.75" customHeight="1" x14ac:dyDescent="0.3">
      <c r="A2406" s="5" t="s">
        <v>3273</v>
      </c>
      <c r="B2406" s="11">
        <v>45905</v>
      </c>
      <c r="C2406" s="5" t="s">
        <v>631</v>
      </c>
      <c r="D2406" s="5" t="s">
        <v>140</v>
      </c>
      <c r="E2406" s="5" t="s">
        <v>37</v>
      </c>
      <c r="F2406" s="5">
        <v>2</v>
      </c>
      <c r="G2406" s="19">
        <v>0</v>
      </c>
      <c r="H2406" s="5" t="s">
        <v>697</v>
      </c>
      <c r="I2406" s="10">
        <f>IF(OR(D2406="", F2406=""), "", F2406 * VLOOKUP(D2406, Products!A:E, 5, FALSE) * (1 - G2406))</f>
        <v>51.14</v>
      </c>
      <c r="J2406" s="10"/>
    </row>
    <row r="2407" spans="1:10" ht="15.75" customHeight="1" x14ac:dyDescent="0.3">
      <c r="A2407" s="5" t="s">
        <v>3274</v>
      </c>
      <c r="B2407" s="11">
        <v>45185</v>
      </c>
      <c r="C2407" s="5" t="s">
        <v>554</v>
      </c>
      <c r="D2407" s="5" t="s">
        <v>262</v>
      </c>
      <c r="E2407" s="5" t="s">
        <v>37</v>
      </c>
      <c r="F2407" s="5">
        <v>4</v>
      </c>
      <c r="G2407" s="19">
        <v>0.05</v>
      </c>
      <c r="H2407" s="5" t="s">
        <v>776</v>
      </c>
      <c r="I2407" s="10">
        <f>IF(OR(D2407="", F2407=""), "", F2407 * VLOOKUP(D2407, Products!A:E, 5, FALSE) * (1 - G2407))</f>
        <v>1723.7559999999999</v>
      </c>
      <c r="J2407" s="10"/>
    </row>
    <row r="2408" spans="1:10" ht="15.75" customHeight="1" x14ac:dyDescent="0.3">
      <c r="A2408" s="5" t="s">
        <v>3275</v>
      </c>
      <c r="B2408" s="11">
        <v>45585</v>
      </c>
      <c r="C2408" s="5" t="s">
        <v>869</v>
      </c>
      <c r="D2408" s="5" t="s">
        <v>82</v>
      </c>
      <c r="E2408" s="5" t="s">
        <v>33</v>
      </c>
      <c r="F2408" s="5">
        <v>3</v>
      </c>
      <c r="G2408" s="19">
        <v>0.15</v>
      </c>
      <c r="H2408" s="5" t="s">
        <v>454</v>
      </c>
      <c r="I2408" s="10">
        <f>IF(OR(D2408="", F2408=""), "", F2408 * VLOOKUP(D2408, Products!A:E, 5, FALSE) * (1 - G2408))</f>
        <v>3042.3794999999996</v>
      </c>
      <c r="J2408" s="10"/>
    </row>
    <row r="2409" spans="1:10" ht="15.75" customHeight="1" x14ac:dyDescent="0.3">
      <c r="A2409" s="5" t="s">
        <v>3276</v>
      </c>
      <c r="B2409" s="11">
        <v>45747</v>
      </c>
      <c r="C2409" s="5" t="s">
        <v>847</v>
      </c>
      <c r="D2409" s="5" t="s">
        <v>291</v>
      </c>
      <c r="E2409" s="5" t="s">
        <v>29</v>
      </c>
      <c r="F2409" s="5">
        <v>2</v>
      </c>
      <c r="G2409" s="19">
        <v>0</v>
      </c>
      <c r="H2409" s="5" t="s">
        <v>454</v>
      </c>
      <c r="I2409" s="10">
        <f>IF(OR(D2409="", F2409=""), "", F2409 * VLOOKUP(D2409, Products!A:E, 5, FALSE) * (1 - G2409))</f>
        <v>2089.2800000000002</v>
      </c>
      <c r="J2409" s="10"/>
    </row>
    <row r="2410" spans="1:10" ht="15.75" customHeight="1" x14ac:dyDescent="0.3">
      <c r="A2410" s="5" t="s">
        <v>3277</v>
      </c>
      <c r="B2410" s="11">
        <v>45476</v>
      </c>
      <c r="C2410" s="5" t="s">
        <v>802</v>
      </c>
      <c r="D2410" s="5" t="s">
        <v>212</v>
      </c>
      <c r="E2410" s="5" t="s">
        <v>37</v>
      </c>
      <c r="F2410" s="5">
        <v>5</v>
      </c>
      <c r="G2410" s="19">
        <v>0.15</v>
      </c>
      <c r="H2410" s="5" t="s">
        <v>776</v>
      </c>
      <c r="I2410" s="10">
        <f>IF(OR(D2410="", F2410=""), "", F2410 * VLOOKUP(D2410, Products!A:E, 5, FALSE) * (1 - G2410))</f>
        <v>7645.6225000000004</v>
      </c>
      <c r="J2410" s="10"/>
    </row>
    <row r="2411" spans="1:10" ht="15.75" customHeight="1" x14ac:dyDescent="0.3">
      <c r="A2411" s="5" t="s">
        <v>3278</v>
      </c>
      <c r="B2411" s="11">
        <v>45666</v>
      </c>
      <c r="C2411" s="5" t="s">
        <v>425</v>
      </c>
      <c r="D2411" s="5" t="s">
        <v>47</v>
      </c>
      <c r="E2411" s="5" t="s">
        <v>25</v>
      </c>
      <c r="F2411" s="5">
        <v>5</v>
      </c>
      <c r="G2411" s="19">
        <v>0.15</v>
      </c>
      <c r="H2411" s="5" t="s">
        <v>637</v>
      </c>
      <c r="I2411" s="10">
        <f>IF(OR(D2411="", F2411=""), "", F2411 * VLOOKUP(D2411, Products!A:E, 5, FALSE) * (1 - G2411))</f>
        <v>3479.73</v>
      </c>
      <c r="J2411" s="10"/>
    </row>
    <row r="2412" spans="1:10" ht="15.75" customHeight="1" x14ac:dyDescent="0.3">
      <c r="A2412" s="5" t="s">
        <v>3279</v>
      </c>
      <c r="B2412" s="11">
        <v>45191</v>
      </c>
      <c r="C2412" s="5" t="s">
        <v>470</v>
      </c>
      <c r="D2412" s="5" t="s">
        <v>285</v>
      </c>
      <c r="E2412" s="5" t="s">
        <v>25</v>
      </c>
      <c r="F2412" s="5">
        <v>3</v>
      </c>
      <c r="G2412" s="19">
        <v>0.15</v>
      </c>
      <c r="H2412" s="5" t="s">
        <v>637</v>
      </c>
      <c r="I2412" s="10">
        <f>IF(OR(D2412="", F2412=""), "", F2412 * VLOOKUP(D2412, Products!A:E, 5, FALSE) * (1 - G2412))</f>
        <v>990.06299999999999</v>
      </c>
      <c r="J2412" s="10"/>
    </row>
    <row r="2413" spans="1:10" ht="15.75" customHeight="1" x14ac:dyDescent="0.3">
      <c r="A2413" s="5" t="s">
        <v>3280</v>
      </c>
      <c r="B2413" s="11">
        <v>45751</v>
      </c>
      <c r="C2413" s="5" t="s">
        <v>652</v>
      </c>
      <c r="D2413" s="5" t="s">
        <v>95</v>
      </c>
      <c r="E2413" s="5" t="s">
        <v>37</v>
      </c>
      <c r="F2413" s="5">
        <v>1</v>
      </c>
      <c r="G2413" s="19">
        <v>0</v>
      </c>
      <c r="H2413" s="5" t="s">
        <v>637</v>
      </c>
      <c r="I2413" s="10">
        <f>IF(OR(D2413="", F2413=""), "", F2413 * VLOOKUP(D2413, Products!A:E, 5, FALSE) * (1 - G2413))</f>
        <v>1342.75</v>
      </c>
      <c r="J2413" s="10"/>
    </row>
    <row r="2414" spans="1:10" ht="15.75" customHeight="1" x14ac:dyDescent="0.3">
      <c r="A2414" s="5" t="s">
        <v>3281</v>
      </c>
      <c r="B2414" s="11">
        <v>45765</v>
      </c>
      <c r="C2414" s="5" t="s">
        <v>811</v>
      </c>
      <c r="D2414" s="5" t="s">
        <v>175</v>
      </c>
      <c r="E2414" s="5" t="s">
        <v>21</v>
      </c>
      <c r="F2414" s="5">
        <v>4</v>
      </c>
      <c r="G2414" s="19">
        <v>0.05</v>
      </c>
      <c r="H2414" s="5" t="s">
        <v>776</v>
      </c>
      <c r="I2414" s="10">
        <f>IF(OR(D2414="", F2414=""), "", F2414 * VLOOKUP(D2414, Products!A:E, 5, FALSE) * (1 - G2414))</f>
        <v>4834.4740000000002</v>
      </c>
      <c r="J2414" s="10"/>
    </row>
    <row r="2415" spans="1:10" ht="15.75" customHeight="1" x14ac:dyDescent="0.3">
      <c r="A2415" s="5" t="s">
        <v>3282</v>
      </c>
      <c r="B2415" s="11">
        <v>45734</v>
      </c>
      <c r="C2415" s="5" t="s">
        <v>317</v>
      </c>
      <c r="D2415" s="5" t="s">
        <v>89</v>
      </c>
      <c r="E2415" s="5" t="s">
        <v>37</v>
      </c>
      <c r="F2415" s="5">
        <v>1</v>
      </c>
      <c r="G2415" s="19">
        <v>0.05</v>
      </c>
      <c r="H2415" s="5" t="s">
        <v>697</v>
      </c>
      <c r="I2415" s="10">
        <f>IF(OR(D2415="", F2415=""), "", F2415 * VLOOKUP(D2415, Products!A:E, 5, FALSE) * (1 - G2415))</f>
        <v>1078.06</v>
      </c>
      <c r="J2415" s="10"/>
    </row>
    <row r="2416" spans="1:10" ht="15.75" customHeight="1" x14ac:dyDescent="0.3">
      <c r="A2416" s="5" t="s">
        <v>3283</v>
      </c>
      <c r="B2416" s="11">
        <v>45885</v>
      </c>
      <c r="C2416" s="5" t="s">
        <v>586</v>
      </c>
      <c r="D2416" s="5" t="s">
        <v>269</v>
      </c>
      <c r="E2416" s="5" t="s">
        <v>21</v>
      </c>
      <c r="F2416" s="5">
        <v>1</v>
      </c>
      <c r="G2416" s="19">
        <v>0.15</v>
      </c>
      <c r="H2416" s="5" t="s">
        <v>637</v>
      </c>
      <c r="I2416" s="10">
        <f>IF(OR(D2416="", F2416=""), "", F2416 * VLOOKUP(D2416, Products!A:E, 5, FALSE) * (1 - G2416))</f>
        <v>1597.2179999999998</v>
      </c>
      <c r="J2416" s="10"/>
    </row>
    <row r="2417" spans="1:10" ht="15.75" customHeight="1" x14ac:dyDescent="0.3">
      <c r="A2417" s="5" t="s">
        <v>3284</v>
      </c>
      <c r="B2417" s="11">
        <v>45545</v>
      </c>
      <c r="C2417" s="5" t="s">
        <v>326</v>
      </c>
      <c r="D2417" s="5" t="s">
        <v>134</v>
      </c>
      <c r="E2417" s="5" t="s">
        <v>37</v>
      </c>
      <c r="F2417" s="5">
        <v>4</v>
      </c>
      <c r="G2417" s="19">
        <v>0.05</v>
      </c>
      <c r="H2417" s="5" t="s">
        <v>637</v>
      </c>
      <c r="I2417" s="10">
        <f>IF(OR(D2417="", F2417=""), "", F2417 * VLOOKUP(D2417, Products!A:E, 5, FALSE) * (1 - G2417))</f>
        <v>4663.5119999999997</v>
      </c>
      <c r="J2417" s="10"/>
    </row>
    <row r="2418" spans="1:10" ht="15.75" customHeight="1" x14ac:dyDescent="0.3">
      <c r="A2418" s="5" t="s">
        <v>3285</v>
      </c>
      <c r="B2418" s="11">
        <v>45513</v>
      </c>
      <c r="C2418" s="5" t="s">
        <v>550</v>
      </c>
      <c r="D2418" s="5" t="s">
        <v>291</v>
      </c>
      <c r="E2418" s="5" t="s">
        <v>21</v>
      </c>
      <c r="F2418" s="5">
        <v>3</v>
      </c>
      <c r="G2418" s="19">
        <v>0</v>
      </c>
      <c r="H2418" s="5" t="s">
        <v>637</v>
      </c>
      <c r="I2418" s="10">
        <f>IF(OR(D2418="", F2418=""), "", F2418 * VLOOKUP(D2418, Products!A:E, 5, FALSE) * (1 - G2418))</f>
        <v>3133.92</v>
      </c>
      <c r="J2418" s="10"/>
    </row>
    <row r="2419" spans="1:10" ht="15.75" customHeight="1" x14ac:dyDescent="0.3">
      <c r="A2419" s="5" t="s">
        <v>3286</v>
      </c>
      <c r="B2419" s="11">
        <v>45241</v>
      </c>
      <c r="C2419" s="5" t="s">
        <v>450</v>
      </c>
      <c r="D2419" s="5" t="s">
        <v>269</v>
      </c>
      <c r="E2419" s="5" t="s">
        <v>29</v>
      </c>
      <c r="F2419" s="5">
        <v>5</v>
      </c>
      <c r="G2419" s="19">
        <v>0.1</v>
      </c>
      <c r="H2419" s="5" t="s">
        <v>454</v>
      </c>
      <c r="I2419" s="10">
        <f>IF(OR(D2419="", F2419=""), "", F2419 * VLOOKUP(D2419, Products!A:E, 5, FALSE) * (1 - G2419))</f>
        <v>8455.86</v>
      </c>
      <c r="J2419" s="10"/>
    </row>
    <row r="2420" spans="1:10" ht="15.75" customHeight="1" x14ac:dyDescent="0.3">
      <c r="A2420" s="5" t="s">
        <v>3287</v>
      </c>
      <c r="B2420" s="11">
        <v>45893</v>
      </c>
      <c r="C2420" s="5" t="s">
        <v>699</v>
      </c>
      <c r="D2420" s="5" t="s">
        <v>232</v>
      </c>
      <c r="E2420" s="5" t="s">
        <v>25</v>
      </c>
      <c r="F2420" s="5">
        <v>2</v>
      </c>
      <c r="G2420" s="19">
        <v>0.1</v>
      </c>
      <c r="H2420" s="5" t="s">
        <v>697</v>
      </c>
      <c r="I2420" s="10">
        <f>IF(OR(D2420="", F2420=""), "", F2420 * VLOOKUP(D2420, Products!A:E, 5, FALSE) * (1 - G2420))</f>
        <v>3514.7700000000004</v>
      </c>
      <c r="J2420" s="10"/>
    </row>
    <row r="2421" spans="1:10" ht="15.75" customHeight="1" x14ac:dyDescent="0.3">
      <c r="A2421" s="5" t="s">
        <v>3288</v>
      </c>
      <c r="B2421" s="11">
        <v>45324</v>
      </c>
      <c r="C2421" s="5" t="s">
        <v>740</v>
      </c>
      <c r="D2421" s="5" t="s">
        <v>77</v>
      </c>
      <c r="E2421" s="5" t="s">
        <v>29</v>
      </c>
      <c r="F2421" s="5">
        <v>5</v>
      </c>
      <c r="G2421" s="19">
        <v>0.1</v>
      </c>
      <c r="H2421" s="5" t="s">
        <v>637</v>
      </c>
      <c r="I2421" s="10">
        <f>IF(OR(D2421="", F2421=""), "", F2421 * VLOOKUP(D2421, Products!A:E, 5, FALSE) * (1 - G2421))</f>
        <v>1118.5650000000001</v>
      </c>
      <c r="J2421" s="10"/>
    </row>
    <row r="2422" spans="1:10" ht="15.75" customHeight="1" x14ac:dyDescent="0.3">
      <c r="A2422" s="5" t="s">
        <v>3289</v>
      </c>
      <c r="B2422" s="11">
        <v>45854</v>
      </c>
      <c r="C2422" s="5" t="s">
        <v>608</v>
      </c>
      <c r="D2422" s="5" t="s">
        <v>77</v>
      </c>
      <c r="E2422" s="5" t="s">
        <v>25</v>
      </c>
      <c r="F2422" s="5">
        <v>3</v>
      </c>
      <c r="G2422" s="19">
        <v>0.05</v>
      </c>
      <c r="H2422" s="5" t="s">
        <v>697</v>
      </c>
      <c r="I2422" s="10">
        <f>IF(OR(D2422="", F2422=""), "", F2422 * VLOOKUP(D2422, Products!A:E, 5, FALSE) * (1 - G2422))</f>
        <v>708.42449999999997</v>
      </c>
      <c r="J2422" s="10"/>
    </row>
    <row r="2423" spans="1:10" ht="15.75" customHeight="1" x14ac:dyDescent="0.3">
      <c r="A2423" s="5" t="s">
        <v>3290</v>
      </c>
      <c r="B2423" s="11">
        <v>45835</v>
      </c>
      <c r="C2423" s="5" t="s">
        <v>665</v>
      </c>
      <c r="D2423" s="5" t="s">
        <v>61</v>
      </c>
      <c r="E2423" s="5" t="s">
        <v>33</v>
      </c>
      <c r="F2423" s="5">
        <v>1</v>
      </c>
      <c r="G2423" s="19">
        <v>0.1</v>
      </c>
      <c r="H2423" s="5" t="s">
        <v>637</v>
      </c>
      <c r="I2423" s="10">
        <f>IF(OR(D2423="", F2423=""), "", F2423 * VLOOKUP(D2423, Products!A:E, 5, FALSE) * (1 - G2423))</f>
        <v>286.245</v>
      </c>
      <c r="J2423" s="10"/>
    </row>
    <row r="2424" spans="1:10" ht="15.75" customHeight="1" x14ac:dyDescent="0.3">
      <c r="A2424" s="5" t="s">
        <v>3291</v>
      </c>
      <c r="B2424" s="11">
        <v>45901</v>
      </c>
      <c r="C2424" s="5" t="s">
        <v>334</v>
      </c>
      <c r="D2424" s="5" t="s">
        <v>267</v>
      </c>
      <c r="E2424" s="5" t="s">
        <v>25</v>
      </c>
      <c r="F2424" s="5">
        <v>4</v>
      </c>
      <c r="G2424" s="19">
        <v>0</v>
      </c>
      <c r="H2424" s="5" t="s">
        <v>776</v>
      </c>
      <c r="I2424" s="10">
        <f>IF(OR(D2424="", F2424=""), "", F2424 * VLOOKUP(D2424, Products!A:E, 5, FALSE) * (1 - G2424))</f>
        <v>5146.2</v>
      </c>
      <c r="J2424" s="10"/>
    </row>
    <row r="2425" spans="1:10" ht="15.75" customHeight="1" x14ac:dyDescent="0.3">
      <c r="A2425" s="5" t="s">
        <v>3292</v>
      </c>
      <c r="B2425" s="11">
        <v>45722</v>
      </c>
      <c r="C2425" s="5" t="s">
        <v>466</v>
      </c>
      <c r="D2425" s="5" t="s">
        <v>256</v>
      </c>
      <c r="E2425" s="5" t="s">
        <v>25</v>
      </c>
      <c r="F2425" s="5">
        <v>2</v>
      </c>
      <c r="G2425" s="19">
        <v>0</v>
      </c>
      <c r="H2425" s="5" t="s">
        <v>637</v>
      </c>
      <c r="I2425" s="10">
        <f>IF(OR(D2425="", F2425=""), "", F2425 * VLOOKUP(D2425, Products!A:E, 5, FALSE) * (1 - G2425))</f>
        <v>3270.02</v>
      </c>
      <c r="J2425" s="10"/>
    </row>
    <row r="2426" spans="1:10" ht="15.75" customHeight="1" x14ac:dyDescent="0.3">
      <c r="A2426" s="5" t="s">
        <v>3293</v>
      </c>
      <c r="B2426" s="11">
        <v>45680</v>
      </c>
      <c r="C2426" s="5" t="s">
        <v>484</v>
      </c>
      <c r="D2426" s="5" t="s">
        <v>70</v>
      </c>
      <c r="E2426" s="5" t="s">
        <v>21</v>
      </c>
      <c r="F2426" s="5">
        <v>1</v>
      </c>
      <c r="G2426" s="19">
        <v>0.15</v>
      </c>
      <c r="H2426" s="5" t="s">
        <v>697</v>
      </c>
      <c r="I2426" s="10">
        <f>IF(OR(D2426="", F2426=""), "", F2426 * VLOOKUP(D2426, Products!A:E, 5, FALSE) * (1 - G2426))</f>
        <v>104.7115</v>
      </c>
      <c r="J2426" s="10"/>
    </row>
    <row r="2427" spans="1:10" ht="15.75" customHeight="1" x14ac:dyDescent="0.3">
      <c r="A2427" s="5" t="s">
        <v>3294</v>
      </c>
      <c r="B2427" s="11">
        <v>45501</v>
      </c>
      <c r="C2427" s="5" t="s">
        <v>181</v>
      </c>
      <c r="D2427" s="5" t="s">
        <v>291</v>
      </c>
      <c r="E2427" s="5" t="s">
        <v>29</v>
      </c>
      <c r="F2427" s="5">
        <v>5</v>
      </c>
      <c r="G2427" s="19">
        <v>0.05</v>
      </c>
      <c r="H2427" s="5" t="s">
        <v>454</v>
      </c>
      <c r="I2427" s="10">
        <f>IF(OR(D2427="", F2427=""), "", F2427 * VLOOKUP(D2427, Products!A:E, 5, FALSE) * (1 - G2427))</f>
        <v>4962.0400000000009</v>
      </c>
      <c r="J2427" s="10"/>
    </row>
    <row r="2428" spans="1:10" ht="15.75" customHeight="1" x14ac:dyDescent="0.3">
      <c r="A2428" s="5" t="s">
        <v>3295</v>
      </c>
      <c r="B2428" s="11">
        <v>45787</v>
      </c>
      <c r="C2428" s="5" t="s">
        <v>750</v>
      </c>
      <c r="D2428" s="5" t="s">
        <v>77</v>
      </c>
      <c r="E2428" s="5" t="s">
        <v>21</v>
      </c>
      <c r="F2428" s="5">
        <v>2</v>
      </c>
      <c r="G2428" s="19">
        <v>0.1</v>
      </c>
      <c r="H2428" s="5" t="s">
        <v>454</v>
      </c>
      <c r="I2428" s="10">
        <f>IF(OR(D2428="", F2428=""), "", F2428 * VLOOKUP(D2428, Products!A:E, 5, FALSE) * (1 - G2428))</f>
        <v>447.42599999999999</v>
      </c>
      <c r="J2428" s="10"/>
    </row>
    <row r="2429" spans="1:10" ht="15.75" customHeight="1" x14ac:dyDescent="0.3">
      <c r="A2429" s="5" t="s">
        <v>3296</v>
      </c>
      <c r="B2429" s="11">
        <v>45771</v>
      </c>
      <c r="C2429" s="5" t="s">
        <v>575</v>
      </c>
      <c r="D2429" s="5" t="s">
        <v>206</v>
      </c>
      <c r="E2429" s="5" t="s">
        <v>37</v>
      </c>
      <c r="F2429" s="5">
        <v>3</v>
      </c>
      <c r="G2429" s="19">
        <v>0.1</v>
      </c>
      <c r="H2429" s="5" t="s">
        <v>637</v>
      </c>
      <c r="I2429" s="10">
        <f>IF(OR(D2429="", F2429=""), "", F2429 * VLOOKUP(D2429, Products!A:E, 5, FALSE) * (1 - G2429))</f>
        <v>822.71699999999987</v>
      </c>
      <c r="J2429" s="10"/>
    </row>
    <row r="2430" spans="1:10" ht="15.75" customHeight="1" x14ac:dyDescent="0.3">
      <c r="A2430" s="5" t="s">
        <v>3297</v>
      </c>
      <c r="B2430" s="11">
        <v>45179</v>
      </c>
      <c r="C2430" s="5" t="s">
        <v>412</v>
      </c>
      <c r="D2430" s="5" t="s">
        <v>82</v>
      </c>
      <c r="E2430" s="5" t="s">
        <v>37</v>
      </c>
      <c r="F2430" s="5">
        <v>5</v>
      </c>
      <c r="G2430" s="19">
        <v>0.05</v>
      </c>
      <c r="H2430" s="5" t="s">
        <v>776</v>
      </c>
      <c r="I2430" s="10">
        <f>IF(OR(D2430="", F2430=""), "", F2430 * VLOOKUP(D2430, Products!A:E, 5, FALSE) * (1 - G2430))</f>
        <v>5667.1774999999998</v>
      </c>
      <c r="J2430" s="10"/>
    </row>
    <row r="2431" spans="1:10" ht="15.75" customHeight="1" x14ac:dyDescent="0.3">
      <c r="A2431" s="5" t="s">
        <v>3298</v>
      </c>
      <c r="B2431" s="11">
        <v>45239</v>
      </c>
      <c r="C2431" s="5" t="s">
        <v>722</v>
      </c>
      <c r="D2431" s="5" t="s">
        <v>212</v>
      </c>
      <c r="E2431" s="5" t="s">
        <v>25</v>
      </c>
      <c r="F2431" s="5">
        <v>1</v>
      </c>
      <c r="G2431" s="19">
        <v>0.05</v>
      </c>
      <c r="H2431" s="5" t="s">
        <v>454</v>
      </c>
      <c r="I2431" s="10">
        <f>IF(OR(D2431="", F2431=""), "", F2431 * VLOOKUP(D2431, Products!A:E, 5, FALSE) * (1 - G2431))</f>
        <v>1709.0214999999998</v>
      </c>
      <c r="J2431" s="10"/>
    </row>
    <row r="2432" spans="1:10" ht="15.75" customHeight="1" x14ac:dyDescent="0.3">
      <c r="A2432" s="5" t="s">
        <v>3299</v>
      </c>
      <c r="B2432" s="11">
        <v>45372</v>
      </c>
      <c r="C2432" s="5" t="s">
        <v>334</v>
      </c>
      <c r="D2432" s="5" t="s">
        <v>180</v>
      </c>
      <c r="E2432" s="5" t="s">
        <v>29</v>
      </c>
      <c r="F2432" s="5">
        <v>5</v>
      </c>
      <c r="G2432" s="19">
        <v>0</v>
      </c>
      <c r="H2432" s="5" t="s">
        <v>697</v>
      </c>
      <c r="I2432" s="10">
        <f>IF(OR(D2432="", F2432=""), "", F2432 * VLOOKUP(D2432, Products!A:E, 5, FALSE) * (1 - G2432))</f>
        <v>3368.8999999999996</v>
      </c>
      <c r="J2432" s="10"/>
    </row>
    <row r="2433" spans="1:10" ht="15.75" customHeight="1" x14ac:dyDescent="0.3">
      <c r="A2433" s="5" t="s">
        <v>3300</v>
      </c>
      <c r="B2433" s="11">
        <v>45564</v>
      </c>
      <c r="C2433" s="5" t="s">
        <v>661</v>
      </c>
      <c r="D2433" s="5" t="s">
        <v>54</v>
      </c>
      <c r="E2433" s="5" t="s">
        <v>37</v>
      </c>
      <c r="F2433" s="5">
        <v>4</v>
      </c>
      <c r="G2433" s="19">
        <v>0.1</v>
      </c>
      <c r="H2433" s="5" t="s">
        <v>454</v>
      </c>
      <c r="I2433" s="10">
        <f>IF(OR(D2433="", F2433=""), "", F2433 * VLOOKUP(D2433, Products!A:E, 5, FALSE) * (1 - G2433))</f>
        <v>6673.5720000000001</v>
      </c>
      <c r="J2433" s="10"/>
    </row>
    <row r="2434" spans="1:10" ht="15.75" customHeight="1" x14ac:dyDescent="0.3">
      <c r="A2434" s="5" t="s">
        <v>3301</v>
      </c>
      <c r="B2434" s="11">
        <v>45365</v>
      </c>
      <c r="C2434" s="5" t="s">
        <v>842</v>
      </c>
      <c r="D2434" s="5" t="s">
        <v>115</v>
      </c>
      <c r="E2434" s="5" t="s">
        <v>37</v>
      </c>
      <c r="F2434" s="5">
        <v>4</v>
      </c>
      <c r="G2434" s="19">
        <v>0.05</v>
      </c>
      <c r="H2434" s="5" t="s">
        <v>697</v>
      </c>
      <c r="I2434" s="10">
        <f>IF(OR(D2434="", F2434=""), "", F2434 * VLOOKUP(D2434, Products!A:E, 5, FALSE) * (1 - G2434))</f>
        <v>4735.2179999999998</v>
      </c>
      <c r="J2434" s="10"/>
    </row>
    <row r="2435" spans="1:10" ht="15.75" customHeight="1" x14ac:dyDescent="0.3">
      <c r="A2435" s="5" t="s">
        <v>3302</v>
      </c>
      <c r="B2435" s="11">
        <v>45604</v>
      </c>
      <c r="C2435" s="5" t="s">
        <v>16</v>
      </c>
      <c r="D2435" s="5" t="s">
        <v>119</v>
      </c>
      <c r="E2435" s="5" t="s">
        <v>25</v>
      </c>
      <c r="F2435" s="5">
        <v>2</v>
      </c>
      <c r="G2435" s="19">
        <v>0</v>
      </c>
      <c r="H2435" s="5" t="s">
        <v>697</v>
      </c>
      <c r="I2435" s="10">
        <f>IF(OR(D2435="", F2435=""), "", F2435 * VLOOKUP(D2435, Products!A:E, 5, FALSE) * (1 - G2435))</f>
        <v>2159.7800000000002</v>
      </c>
      <c r="J2435" s="10"/>
    </row>
    <row r="2436" spans="1:10" ht="15.75" customHeight="1" x14ac:dyDescent="0.3">
      <c r="A2436" s="5" t="s">
        <v>3303</v>
      </c>
      <c r="B2436" s="11">
        <v>45742</v>
      </c>
      <c r="C2436" s="5" t="s">
        <v>296</v>
      </c>
      <c r="D2436" s="5" t="s">
        <v>212</v>
      </c>
      <c r="E2436" s="5" t="s">
        <v>25</v>
      </c>
      <c r="F2436" s="5">
        <v>4</v>
      </c>
      <c r="G2436" s="19">
        <v>0</v>
      </c>
      <c r="H2436" s="5" t="s">
        <v>454</v>
      </c>
      <c r="I2436" s="10">
        <f>IF(OR(D2436="", F2436=""), "", F2436 * VLOOKUP(D2436, Products!A:E, 5, FALSE) * (1 - G2436))</f>
        <v>7195.88</v>
      </c>
      <c r="J2436" s="10"/>
    </row>
    <row r="2437" spans="1:10" ht="15.75" customHeight="1" x14ac:dyDescent="0.3">
      <c r="A2437" s="5" t="s">
        <v>3304</v>
      </c>
      <c r="B2437" s="11">
        <v>45815</v>
      </c>
      <c r="C2437" s="5" t="s">
        <v>191</v>
      </c>
      <c r="D2437" s="5" t="s">
        <v>43</v>
      </c>
      <c r="E2437" s="5" t="s">
        <v>21</v>
      </c>
      <c r="F2437" s="5">
        <v>2</v>
      </c>
      <c r="G2437" s="19">
        <v>0.15</v>
      </c>
      <c r="H2437" s="5" t="s">
        <v>637</v>
      </c>
      <c r="I2437" s="10">
        <f>IF(OR(D2437="", F2437=""), "", F2437 * VLOOKUP(D2437, Products!A:E, 5, FALSE) * (1 - G2437))</f>
        <v>2845.2730000000001</v>
      </c>
      <c r="J2437" s="10"/>
    </row>
    <row r="2438" spans="1:10" ht="15.75" customHeight="1" x14ac:dyDescent="0.3">
      <c r="A2438" s="5" t="s">
        <v>3305</v>
      </c>
      <c r="B2438" s="11">
        <v>45891</v>
      </c>
      <c r="C2438" s="5" t="s">
        <v>602</v>
      </c>
      <c r="D2438" s="5" t="s">
        <v>47</v>
      </c>
      <c r="E2438" s="5" t="s">
        <v>33</v>
      </c>
      <c r="F2438" s="5">
        <v>3</v>
      </c>
      <c r="G2438" s="19">
        <v>0.1</v>
      </c>
      <c r="H2438" s="5" t="s">
        <v>776</v>
      </c>
      <c r="I2438" s="10">
        <f>IF(OR(D2438="", F2438=""), "", F2438 * VLOOKUP(D2438, Products!A:E, 5, FALSE) * (1 - G2438))</f>
        <v>2210.652</v>
      </c>
      <c r="J2438" s="10"/>
    </row>
    <row r="2439" spans="1:10" ht="15.75" customHeight="1" x14ac:dyDescent="0.3">
      <c r="A2439" s="5" t="s">
        <v>3306</v>
      </c>
      <c r="B2439" s="11">
        <v>45835</v>
      </c>
      <c r="C2439" s="5" t="s">
        <v>397</v>
      </c>
      <c r="D2439" s="5" t="s">
        <v>200</v>
      </c>
      <c r="E2439" s="5" t="s">
        <v>37</v>
      </c>
      <c r="F2439" s="5">
        <v>4</v>
      </c>
      <c r="G2439" s="19">
        <v>0.15</v>
      </c>
      <c r="H2439" s="5" t="s">
        <v>637</v>
      </c>
      <c r="I2439" s="10">
        <f>IF(OR(D2439="", F2439=""), "", F2439 * VLOOKUP(D2439, Products!A:E, 5, FALSE) * (1 - G2439))</f>
        <v>3725.4479999999999</v>
      </c>
      <c r="J2439" s="10"/>
    </row>
    <row r="2440" spans="1:10" ht="15.75" customHeight="1" x14ac:dyDescent="0.3">
      <c r="A2440" s="5" t="s">
        <v>3307</v>
      </c>
      <c r="B2440" s="11">
        <v>45217</v>
      </c>
      <c r="C2440" s="5" t="s">
        <v>815</v>
      </c>
      <c r="D2440" s="5" t="s">
        <v>50</v>
      </c>
      <c r="E2440" s="5" t="s">
        <v>33</v>
      </c>
      <c r="F2440" s="5">
        <v>3</v>
      </c>
      <c r="G2440" s="19">
        <v>0.1</v>
      </c>
      <c r="H2440" s="5" t="s">
        <v>454</v>
      </c>
      <c r="I2440" s="10">
        <f>IF(OR(D2440="", F2440=""), "", F2440 * VLOOKUP(D2440, Products!A:E, 5, FALSE) * (1 - G2440))</f>
        <v>911.601</v>
      </c>
      <c r="J2440" s="10"/>
    </row>
    <row r="2441" spans="1:10" ht="15.75" customHeight="1" x14ac:dyDescent="0.3">
      <c r="A2441" s="5" t="s">
        <v>3308</v>
      </c>
      <c r="B2441" s="11">
        <v>45727</v>
      </c>
      <c r="C2441" s="5" t="s">
        <v>669</v>
      </c>
      <c r="D2441" s="5" t="s">
        <v>269</v>
      </c>
      <c r="E2441" s="5" t="s">
        <v>21</v>
      </c>
      <c r="F2441" s="5">
        <v>5</v>
      </c>
      <c r="G2441" s="19">
        <v>0.05</v>
      </c>
      <c r="H2441" s="5" t="s">
        <v>697</v>
      </c>
      <c r="I2441" s="10">
        <f>IF(OR(D2441="", F2441=""), "", F2441 * VLOOKUP(D2441, Products!A:E, 5, FALSE) * (1 - G2441))</f>
        <v>8925.6299999999992</v>
      </c>
      <c r="J2441" s="10"/>
    </row>
    <row r="2442" spans="1:10" ht="15.75" customHeight="1" x14ac:dyDescent="0.3">
      <c r="A2442" s="5" t="s">
        <v>3309</v>
      </c>
      <c r="B2442" s="11">
        <v>45902</v>
      </c>
      <c r="C2442" s="5" t="s">
        <v>755</v>
      </c>
      <c r="D2442" s="5" t="s">
        <v>276</v>
      </c>
      <c r="E2442" s="5" t="s">
        <v>29</v>
      </c>
      <c r="F2442" s="5">
        <v>2</v>
      </c>
      <c r="G2442" s="19">
        <v>0.15</v>
      </c>
      <c r="H2442" s="5" t="s">
        <v>637</v>
      </c>
      <c r="I2442" s="10">
        <f>IF(OR(D2442="", F2442=""), "", F2442 * VLOOKUP(D2442, Products!A:E, 5, FALSE) * (1 - G2442))</f>
        <v>2035.2060000000001</v>
      </c>
      <c r="J2442" s="10"/>
    </row>
    <row r="2443" spans="1:10" ht="15.75" customHeight="1" x14ac:dyDescent="0.3">
      <c r="A2443" s="5" t="s">
        <v>3310</v>
      </c>
      <c r="B2443" s="11">
        <v>45248</v>
      </c>
      <c r="C2443" s="5" t="s">
        <v>631</v>
      </c>
      <c r="D2443" s="5" t="s">
        <v>128</v>
      </c>
      <c r="E2443" s="5" t="s">
        <v>29</v>
      </c>
      <c r="F2443" s="5">
        <v>1</v>
      </c>
      <c r="G2443" s="19">
        <v>0.15</v>
      </c>
      <c r="H2443" s="5" t="s">
        <v>454</v>
      </c>
      <c r="I2443" s="10">
        <f>IF(OR(D2443="", F2443=""), "", F2443 * VLOOKUP(D2443, Products!A:E, 5, FALSE) * (1 - G2443))</f>
        <v>275.33199999999999</v>
      </c>
      <c r="J2443" s="10"/>
    </row>
    <row r="2444" spans="1:10" ht="15.75" customHeight="1" x14ac:dyDescent="0.3">
      <c r="A2444" s="5" t="s">
        <v>3311</v>
      </c>
      <c r="B2444" s="11">
        <v>45337</v>
      </c>
      <c r="C2444" s="5" t="s">
        <v>334</v>
      </c>
      <c r="D2444" s="5" t="s">
        <v>180</v>
      </c>
      <c r="E2444" s="5" t="s">
        <v>21</v>
      </c>
      <c r="F2444" s="5">
        <v>3</v>
      </c>
      <c r="G2444" s="19">
        <v>0.15</v>
      </c>
      <c r="H2444" s="5" t="s">
        <v>454</v>
      </c>
      <c r="I2444" s="10">
        <f>IF(OR(D2444="", F2444=""), "", F2444 * VLOOKUP(D2444, Products!A:E, 5, FALSE) * (1 - G2444))</f>
        <v>1718.1389999999999</v>
      </c>
      <c r="J2444" s="10"/>
    </row>
    <row r="2445" spans="1:10" ht="15.75" customHeight="1" x14ac:dyDescent="0.3">
      <c r="A2445" s="5" t="s">
        <v>3312</v>
      </c>
      <c r="B2445" s="11">
        <v>45768</v>
      </c>
      <c r="C2445" s="5" t="s">
        <v>837</v>
      </c>
      <c r="D2445" s="5" t="s">
        <v>193</v>
      </c>
      <c r="E2445" s="5" t="s">
        <v>33</v>
      </c>
      <c r="F2445" s="5">
        <v>2</v>
      </c>
      <c r="G2445" s="19">
        <v>0.05</v>
      </c>
      <c r="H2445" s="5" t="s">
        <v>637</v>
      </c>
      <c r="I2445" s="10">
        <f>IF(OR(D2445="", F2445=""), "", F2445 * VLOOKUP(D2445, Products!A:E, 5, FALSE) * (1 - G2445))</f>
        <v>55.555999999999997</v>
      </c>
      <c r="J2445" s="10"/>
    </row>
    <row r="2446" spans="1:10" ht="15.75" customHeight="1" x14ac:dyDescent="0.3">
      <c r="A2446" s="5" t="s">
        <v>3313</v>
      </c>
      <c r="B2446" s="11">
        <v>45331</v>
      </c>
      <c r="C2446" s="5" t="s">
        <v>526</v>
      </c>
      <c r="D2446" s="5" t="s">
        <v>285</v>
      </c>
      <c r="E2446" s="5" t="s">
        <v>25</v>
      </c>
      <c r="F2446" s="5">
        <v>1</v>
      </c>
      <c r="G2446" s="19">
        <v>0.05</v>
      </c>
      <c r="H2446" s="5" t="s">
        <v>637</v>
      </c>
      <c r="I2446" s="10">
        <f>IF(OR(D2446="", F2446=""), "", F2446 * VLOOKUP(D2446, Products!A:E, 5, FALSE) * (1 - G2446))</f>
        <v>368.84699999999998</v>
      </c>
      <c r="J2446" s="10"/>
    </row>
    <row r="2447" spans="1:10" ht="15.75" customHeight="1" x14ac:dyDescent="0.3">
      <c r="A2447" s="5" t="s">
        <v>3314</v>
      </c>
      <c r="B2447" s="11">
        <v>45214</v>
      </c>
      <c r="C2447" s="5" t="s">
        <v>515</v>
      </c>
      <c r="D2447" s="5" t="s">
        <v>256</v>
      </c>
      <c r="E2447" s="5" t="s">
        <v>37</v>
      </c>
      <c r="F2447" s="5">
        <v>2</v>
      </c>
      <c r="G2447" s="19">
        <v>0</v>
      </c>
      <c r="H2447" s="5" t="s">
        <v>454</v>
      </c>
      <c r="I2447" s="10">
        <f>IF(OR(D2447="", F2447=""), "", F2447 * VLOOKUP(D2447, Products!A:E, 5, FALSE) * (1 - G2447))</f>
        <v>3270.02</v>
      </c>
      <c r="J2447" s="10"/>
    </row>
    <row r="2448" spans="1:10" ht="15.75" customHeight="1" x14ac:dyDescent="0.3">
      <c r="A2448" s="5" t="s">
        <v>3315</v>
      </c>
      <c r="B2448" s="11">
        <v>45495</v>
      </c>
      <c r="C2448" s="5" t="s">
        <v>484</v>
      </c>
      <c r="D2448" s="5" t="s">
        <v>77</v>
      </c>
      <c r="E2448" s="5" t="s">
        <v>21</v>
      </c>
      <c r="F2448" s="5">
        <v>3</v>
      </c>
      <c r="G2448" s="19">
        <v>0.1</v>
      </c>
      <c r="H2448" s="5" t="s">
        <v>776</v>
      </c>
      <c r="I2448" s="10">
        <f>IF(OR(D2448="", F2448=""), "", F2448 * VLOOKUP(D2448, Products!A:E, 5, FALSE) * (1 - G2448))</f>
        <v>671.13900000000001</v>
      </c>
      <c r="J2448" s="10"/>
    </row>
    <row r="2449" spans="1:10" ht="15.75" customHeight="1" x14ac:dyDescent="0.3">
      <c r="A2449" s="5" t="s">
        <v>3316</v>
      </c>
      <c r="B2449" s="11">
        <v>45523</v>
      </c>
      <c r="C2449" s="5" t="s">
        <v>733</v>
      </c>
      <c r="D2449" s="5" t="s">
        <v>243</v>
      </c>
      <c r="E2449" s="5" t="s">
        <v>29</v>
      </c>
      <c r="F2449" s="5">
        <v>1</v>
      </c>
      <c r="G2449" s="19">
        <v>0.1</v>
      </c>
      <c r="H2449" s="5" t="s">
        <v>637</v>
      </c>
      <c r="I2449" s="10">
        <f>IF(OR(D2449="", F2449=""), "", F2449 * VLOOKUP(D2449, Products!A:E, 5, FALSE) * (1 - G2449))</f>
        <v>486.84600000000006</v>
      </c>
      <c r="J2449" s="10"/>
    </row>
    <row r="2450" spans="1:10" ht="15.75" customHeight="1" x14ac:dyDescent="0.3">
      <c r="A2450" s="5" t="s">
        <v>3317</v>
      </c>
      <c r="B2450" s="11">
        <v>45767</v>
      </c>
      <c r="C2450" s="5" t="s">
        <v>546</v>
      </c>
      <c r="D2450" s="5" t="s">
        <v>54</v>
      </c>
      <c r="E2450" s="5" t="s">
        <v>21</v>
      </c>
      <c r="F2450" s="5">
        <v>3</v>
      </c>
      <c r="G2450" s="19">
        <v>0.1</v>
      </c>
      <c r="H2450" s="5" t="s">
        <v>776</v>
      </c>
      <c r="I2450" s="10">
        <f>IF(OR(D2450="", F2450=""), "", F2450 * VLOOKUP(D2450, Products!A:E, 5, FALSE) * (1 - G2450))</f>
        <v>5005.1790000000001</v>
      </c>
      <c r="J2450" s="10"/>
    </row>
    <row r="2451" spans="1:10" ht="15.75" customHeight="1" x14ac:dyDescent="0.3">
      <c r="A2451" s="5" t="s">
        <v>3318</v>
      </c>
      <c r="B2451" s="11">
        <v>45220</v>
      </c>
      <c r="C2451" s="5" t="s">
        <v>705</v>
      </c>
      <c r="D2451" s="5" t="s">
        <v>70</v>
      </c>
      <c r="E2451" s="5" t="s">
        <v>21</v>
      </c>
      <c r="F2451" s="5">
        <v>4</v>
      </c>
      <c r="G2451" s="19">
        <v>0.15</v>
      </c>
      <c r="H2451" s="5" t="s">
        <v>637</v>
      </c>
      <c r="I2451" s="10">
        <f>IF(OR(D2451="", F2451=""), "", F2451 * VLOOKUP(D2451, Products!A:E, 5, FALSE) * (1 - G2451))</f>
        <v>418.846</v>
      </c>
      <c r="J2451" s="10"/>
    </row>
    <row r="2452" spans="1:10" ht="15.75" customHeight="1" x14ac:dyDescent="0.3">
      <c r="A2452" s="5" t="s">
        <v>3319</v>
      </c>
      <c r="B2452" s="11">
        <v>45577</v>
      </c>
      <c r="C2452" s="5" t="s">
        <v>330</v>
      </c>
      <c r="D2452" s="5" t="s">
        <v>285</v>
      </c>
      <c r="E2452" s="5" t="s">
        <v>33</v>
      </c>
      <c r="F2452" s="5">
        <v>5</v>
      </c>
      <c r="G2452" s="19">
        <v>0</v>
      </c>
      <c r="H2452" s="5" t="s">
        <v>776</v>
      </c>
      <c r="I2452" s="10">
        <f>IF(OR(D2452="", F2452=""), "", F2452 * VLOOKUP(D2452, Products!A:E, 5, FALSE) * (1 - G2452))</f>
        <v>1941.3</v>
      </c>
      <c r="J2452" s="10"/>
    </row>
    <row r="2453" spans="1:10" ht="15.75" customHeight="1" x14ac:dyDescent="0.3">
      <c r="A2453" s="5" t="s">
        <v>3320</v>
      </c>
      <c r="B2453" s="11">
        <v>45738</v>
      </c>
      <c r="C2453" s="5" t="s">
        <v>522</v>
      </c>
      <c r="D2453" s="5" t="s">
        <v>57</v>
      </c>
      <c r="E2453" s="5" t="s">
        <v>21</v>
      </c>
      <c r="F2453" s="5">
        <v>5</v>
      </c>
      <c r="G2453" s="19">
        <v>0.05</v>
      </c>
      <c r="H2453" s="5" t="s">
        <v>697</v>
      </c>
      <c r="I2453" s="10">
        <f>IF(OR(D2453="", F2453=""), "", F2453 * VLOOKUP(D2453, Products!A:E, 5, FALSE) * (1 - G2453))</f>
        <v>6632.0450000000001</v>
      </c>
      <c r="J2453" s="10"/>
    </row>
    <row r="2454" spans="1:10" ht="15.75" customHeight="1" x14ac:dyDescent="0.3">
      <c r="A2454" s="5" t="s">
        <v>3321</v>
      </c>
      <c r="B2454" s="11">
        <v>45838</v>
      </c>
      <c r="C2454" s="5" t="s">
        <v>281</v>
      </c>
      <c r="D2454" s="5" t="s">
        <v>134</v>
      </c>
      <c r="E2454" s="5" t="s">
        <v>21</v>
      </c>
      <c r="F2454" s="5">
        <v>4</v>
      </c>
      <c r="G2454" s="19">
        <v>0</v>
      </c>
      <c r="H2454" s="5" t="s">
        <v>776</v>
      </c>
      <c r="I2454" s="10">
        <f>IF(OR(D2454="", F2454=""), "", F2454 * VLOOKUP(D2454, Products!A:E, 5, FALSE) * (1 - G2454))</f>
        <v>4908.96</v>
      </c>
      <c r="J2454" s="10"/>
    </row>
    <row r="2455" spans="1:10" ht="15.75" customHeight="1" x14ac:dyDescent="0.3">
      <c r="A2455" s="5" t="s">
        <v>3322</v>
      </c>
      <c r="B2455" s="11">
        <v>45764</v>
      </c>
      <c r="C2455" s="5" t="s">
        <v>590</v>
      </c>
      <c r="D2455" s="5" t="s">
        <v>168</v>
      </c>
      <c r="E2455" s="5" t="s">
        <v>21</v>
      </c>
      <c r="F2455" s="5">
        <v>3</v>
      </c>
      <c r="G2455" s="19">
        <v>0</v>
      </c>
      <c r="H2455" s="5" t="s">
        <v>454</v>
      </c>
      <c r="I2455" s="10">
        <f>IF(OR(D2455="", F2455=""), "", F2455 * VLOOKUP(D2455, Products!A:E, 5, FALSE) * (1 - G2455))</f>
        <v>3047.2799999999997</v>
      </c>
      <c r="J2455" s="10"/>
    </row>
    <row r="2456" spans="1:10" ht="15.75" customHeight="1" x14ac:dyDescent="0.3">
      <c r="A2456" s="5" t="s">
        <v>3323</v>
      </c>
      <c r="B2456" s="11">
        <v>45478</v>
      </c>
      <c r="C2456" s="5" t="s">
        <v>350</v>
      </c>
      <c r="D2456" s="5" t="s">
        <v>280</v>
      </c>
      <c r="E2456" s="5" t="s">
        <v>37</v>
      </c>
      <c r="F2456" s="5">
        <v>1</v>
      </c>
      <c r="G2456" s="19">
        <v>0.1</v>
      </c>
      <c r="H2456" s="5" t="s">
        <v>454</v>
      </c>
      <c r="I2456" s="10">
        <f>IF(OR(D2456="", F2456=""), "", F2456 * VLOOKUP(D2456, Products!A:E, 5, FALSE) * (1 - G2456))</f>
        <v>1094.7239999999999</v>
      </c>
      <c r="J2456" s="10"/>
    </row>
    <row r="2457" spans="1:10" ht="15.75" customHeight="1" x14ac:dyDescent="0.3">
      <c r="A2457" s="5" t="s">
        <v>3324</v>
      </c>
      <c r="B2457" s="11">
        <v>45210</v>
      </c>
      <c r="C2457" s="5" t="s">
        <v>819</v>
      </c>
      <c r="D2457" s="5" t="s">
        <v>134</v>
      </c>
      <c r="E2457" s="5" t="s">
        <v>25</v>
      </c>
      <c r="F2457" s="5">
        <v>5</v>
      </c>
      <c r="G2457" s="19">
        <v>0.1</v>
      </c>
      <c r="H2457" s="5" t="s">
        <v>776</v>
      </c>
      <c r="I2457" s="10">
        <f>IF(OR(D2457="", F2457=""), "", F2457 * VLOOKUP(D2457, Products!A:E, 5, FALSE) * (1 - G2457))</f>
        <v>5522.58</v>
      </c>
      <c r="J2457" s="10"/>
    </row>
    <row r="2458" spans="1:10" ht="15.75" customHeight="1" x14ac:dyDescent="0.3">
      <c r="A2458" s="5" t="s">
        <v>3325</v>
      </c>
      <c r="B2458" s="11">
        <v>45484</v>
      </c>
      <c r="C2458" s="5" t="s">
        <v>602</v>
      </c>
      <c r="D2458" s="5" t="s">
        <v>188</v>
      </c>
      <c r="E2458" s="5" t="s">
        <v>33</v>
      </c>
      <c r="F2458" s="5">
        <v>4</v>
      </c>
      <c r="G2458" s="19">
        <v>0</v>
      </c>
      <c r="H2458" s="5" t="s">
        <v>776</v>
      </c>
      <c r="I2458" s="10">
        <f>IF(OR(D2458="", F2458=""), "", F2458 * VLOOKUP(D2458, Products!A:E, 5, FALSE) * (1 - G2458))</f>
        <v>5940.2</v>
      </c>
      <c r="J2458" s="10"/>
    </row>
    <row r="2459" spans="1:10" ht="15.75" customHeight="1" x14ac:dyDescent="0.3">
      <c r="A2459" s="5" t="s">
        <v>3326</v>
      </c>
      <c r="B2459" s="11">
        <v>45775</v>
      </c>
      <c r="C2459" s="5" t="s">
        <v>350</v>
      </c>
      <c r="D2459" s="5" t="s">
        <v>237</v>
      </c>
      <c r="E2459" s="5" t="s">
        <v>37</v>
      </c>
      <c r="F2459" s="5">
        <v>2</v>
      </c>
      <c r="G2459" s="19">
        <v>0.1</v>
      </c>
      <c r="H2459" s="5" t="s">
        <v>776</v>
      </c>
      <c r="I2459" s="10">
        <f>IF(OR(D2459="", F2459=""), "", F2459 * VLOOKUP(D2459, Products!A:E, 5, FALSE) * (1 - G2459))</f>
        <v>660.47400000000005</v>
      </c>
      <c r="J2459" s="10"/>
    </row>
    <row r="2460" spans="1:10" ht="15.75" customHeight="1" x14ac:dyDescent="0.3">
      <c r="A2460" s="5" t="s">
        <v>3327</v>
      </c>
      <c r="B2460" s="11">
        <v>45274</v>
      </c>
      <c r="C2460" s="5" t="s">
        <v>330</v>
      </c>
      <c r="D2460" s="5" t="s">
        <v>128</v>
      </c>
      <c r="E2460" s="5" t="s">
        <v>33</v>
      </c>
      <c r="F2460" s="5">
        <v>1</v>
      </c>
      <c r="G2460" s="19">
        <v>0.1</v>
      </c>
      <c r="H2460" s="5" t="s">
        <v>697</v>
      </c>
      <c r="I2460" s="10">
        <f>IF(OR(D2460="", F2460=""), "", F2460 * VLOOKUP(D2460, Products!A:E, 5, FALSE) * (1 - G2460))</f>
        <v>291.52800000000002</v>
      </c>
      <c r="J2460" s="10"/>
    </row>
    <row r="2461" spans="1:10" ht="15.75" customHeight="1" x14ac:dyDescent="0.3">
      <c r="A2461" s="5" t="s">
        <v>3328</v>
      </c>
      <c r="B2461" s="11">
        <v>45500</v>
      </c>
      <c r="C2461" s="5" t="s">
        <v>802</v>
      </c>
      <c r="D2461" s="5" t="s">
        <v>61</v>
      </c>
      <c r="E2461" s="5" t="s">
        <v>37</v>
      </c>
      <c r="F2461" s="5">
        <v>4</v>
      </c>
      <c r="G2461" s="19">
        <v>0.05</v>
      </c>
      <c r="H2461" s="5" t="s">
        <v>776</v>
      </c>
      <c r="I2461" s="10">
        <f>IF(OR(D2461="", F2461=""), "", F2461 * VLOOKUP(D2461, Products!A:E, 5, FALSE) * (1 - G2461))</f>
        <v>1208.5899999999999</v>
      </c>
      <c r="J2461" s="10"/>
    </row>
    <row r="2462" spans="1:10" ht="15.75" customHeight="1" x14ac:dyDescent="0.3">
      <c r="A2462" s="5" t="s">
        <v>3329</v>
      </c>
      <c r="B2462" s="11">
        <v>45477</v>
      </c>
      <c r="C2462" s="5" t="s">
        <v>466</v>
      </c>
      <c r="D2462" s="5" t="s">
        <v>180</v>
      </c>
      <c r="E2462" s="5" t="s">
        <v>29</v>
      </c>
      <c r="F2462" s="5">
        <v>5</v>
      </c>
      <c r="G2462" s="19">
        <v>0.1</v>
      </c>
      <c r="H2462" s="5" t="s">
        <v>776</v>
      </c>
      <c r="I2462" s="10">
        <f>IF(OR(D2462="", F2462=""), "", F2462 * VLOOKUP(D2462, Products!A:E, 5, FALSE) * (1 - G2462))</f>
        <v>3032.0099999999998</v>
      </c>
      <c r="J2462" s="10"/>
    </row>
    <row r="2463" spans="1:10" ht="15.75" customHeight="1" x14ac:dyDescent="0.3">
      <c r="A2463" s="5" t="s">
        <v>3330</v>
      </c>
      <c r="B2463" s="11">
        <v>45819</v>
      </c>
      <c r="C2463" s="5" t="s">
        <v>495</v>
      </c>
      <c r="D2463" s="5" t="s">
        <v>82</v>
      </c>
      <c r="E2463" s="5" t="s">
        <v>33</v>
      </c>
      <c r="F2463" s="5">
        <v>5</v>
      </c>
      <c r="G2463" s="19">
        <v>0</v>
      </c>
      <c r="H2463" s="5" t="s">
        <v>637</v>
      </c>
      <c r="I2463" s="10">
        <f>IF(OR(D2463="", F2463=""), "", F2463 * VLOOKUP(D2463, Products!A:E, 5, FALSE) * (1 - G2463))</f>
        <v>5965.45</v>
      </c>
      <c r="J2463" s="10"/>
    </row>
    <row r="2464" spans="1:10" ht="15.75" customHeight="1" x14ac:dyDescent="0.3">
      <c r="A2464" s="5" t="s">
        <v>3331</v>
      </c>
      <c r="B2464" s="11">
        <v>45269</v>
      </c>
      <c r="C2464" s="5" t="s">
        <v>209</v>
      </c>
      <c r="D2464" s="5" t="s">
        <v>188</v>
      </c>
      <c r="E2464" s="5" t="s">
        <v>21</v>
      </c>
      <c r="F2464" s="5">
        <v>1</v>
      </c>
      <c r="G2464" s="19">
        <v>0.05</v>
      </c>
      <c r="H2464" s="5" t="s">
        <v>776</v>
      </c>
      <c r="I2464" s="10">
        <f>IF(OR(D2464="", F2464=""), "", F2464 * VLOOKUP(D2464, Products!A:E, 5, FALSE) * (1 - G2464))</f>
        <v>1410.7974999999999</v>
      </c>
      <c r="J2464" s="10"/>
    </row>
    <row r="2465" spans="1:10" ht="15.75" customHeight="1" x14ac:dyDescent="0.3">
      <c r="A2465" s="5" t="s">
        <v>3332</v>
      </c>
      <c r="B2465" s="11">
        <v>45350</v>
      </c>
      <c r="C2465" s="5" t="s">
        <v>342</v>
      </c>
      <c r="D2465" s="5" t="s">
        <v>162</v>
      </c>
      <c r="E2465" s="5" t="s">
        <v>29</v>
      </c>
      <c r="F2465" s="5">
        <v>5</v>
      </c>
      <c r="G2465" s="19">
        <v>0</v>
      </c>
      <c r="H2465" s="5" t="s">
        <v>697</v>
      </c>
      <c r="I2465" s="10">
        <f>IF(OR(D2465="", F2465=""), "", F2465 * VLOOKUP(D2465, Products!A:E, 5, FALSE) * (1 - G2465))</f>
        <v>2145.75</v>
      </c>
      <c r="J2465" s="10"/>
    </row>
    <row r="2466" spans="1:10" ht="15.75" customHeight="1" x14ac:dyDescent="0.3">
      <c r="A2466" s="5" t="s">
        <v>3333</v>
      </c>
      <c r="B2466" s="11">
        <v>45455</v>
      </c>
      <c r="C2466" s="5" t="s">
        <v>81</v>
      </c>
      <c r="D2466" s="5" t="s">
        <v>115</v>
      </c>
      <c r="E2466" s="5" t="s">
        <v>25</v>
      </c>
      <c r="F2466" s="5">
        <v>3</v>
      </c>
      <c r="G2466" s="19">
        <v>0.15</v>
      </c>
      <c r="H2466" s="5" t="s">
        <v>776</v>
      </c>
      <c r="I2466" s="10">
        <f>IF(OR(D2466="", F2466=""), "", F2466 * VLOOKUP(D2466, Products!A:E, 5, FALSE) * (1 - G2466))</f>
        <v>3177.5805</v>
      </c>
      <c r="J2466" s="10"/>
    </row>
    <row r="2467" spans="1:10" ht="15.75" customHeight="1" x14ac:dyDescent="0.3">
      <c r="A2467" s="5" t="s">
        <v>3334</v>
      </c>
      <c r="B2467" s="11">
        <v>45593</v>
      </c>
      <c r="C2467" s="5" t="s">
        <v>833</v>
      </c>
      <c r="D2467" s="5" t="s">
        <v>285</v>
      </c>
      <c r="E2467" s="5" t="s">
        <v>25</v>
      </c>
      <c r="F2467" s="5">
        <v>3</v>
      </c>
      <c r="G2467" s="19">
        <v>0.05</v>
      </c>
      <c r="H2467" s="5" t="s">
        <v>697</v>
      </c>
      <c r="I2467" s="10">
        <f>IF(OR(D2467="", F2467=""), "", F2467 * VLOOKUP(D2467, Products!A:E, 5, FALSE) * (1 - G2467))</f>
        <v>1106.5409999999999</v>
      </c>
      <c r="J2467" s="10"/>
    </row>
    <row r="2468" spans="1:10" ht="15.75" customHeight="1" x14ac:dyDescent="0.3">
      <c r="A2468" s="5" t="s">
        <v>3335</v>
      </c>
      <c r="B2468" s="11">
        <v>45702</v>
      </c>
      <c r="C2468" s="5" t="s">
        <v>466</v>
      </c>
      <c r="D2468" s="5" t="s">
        <v>70</v>
      </c>
      <c r="E2468" s="5" t="s">
        <v>21</v>
      </c>
      <c r="F2468" s="5">
        <v>4</v>
      </c>
      <c r="G2468" s="19">
        <v>0.1</v>
      </c>
      <c r="H2468" s="5" t="s">
        <v>697</v>
      </c>
      <c r="I2468" s="10">
        <f>IF(OR(D2468="", F2468=""), "", F2468 * VLOOKUP(D2468, Products!A:E, 5, FALSE) * (1 - G2468))</f>
        <v>443.48399999999998</v>
      </c>
      <c r="J2468" s="10"/>
    </row>
    <row r="2469" spans="1:10" ht="15.75" customHeight="1" x14ac:dyDescent="0.3">
      <c r="A2469" s="5" t="s">
        <v>3336</v>
      </c>
      <c r="B2469" s="11">
        <v>45383</v>
      </c>
      <c r="C2469" s="5" t="s">
        <v>437</v>
      </c>
      <c r="D2469" s="5" t="s">
        <v>285</v>
      </c>
      <c r="E2469" s="5" t="s">
        <v>25</v>
      </c>
      <c r="F2469" s="5">
        <v>5</v>
      </c>
      <c r="G2469" s="19">
        <v>0.1</v>
      </c>
      <c r="H2469" s="5" t="s">
        <v>637</v>
      </c>
      <c r="I2469" s="10">
        <f>IF(OR(D2469="", F2469=""), "", F2469 * VLOOKUP(D2469, Products!A:E, 5, FALSE) * (1 - G2469))</f>
        <v>1747.17</v>
      </c>
      <c r="J2469" s="10"/>
    </row>
    <row r="2470" spans="1:10" ht="15.75" customHeight="1" x14ac:dyDescent="0.3">
      <c r="A2470" s="5" t="s">
        <v>3337</v>
      </c>
      <c r="B2470" s="11">
        <v>45506</v>
      </c>
      <c r="C2470" s="5" t="s">
        <v>380</v>
      </c>
      <c r="D2470" s="5" t="s">
        <v>82</v>
      </c>
      <c r="E2470" s="5" t="s">
        <v>25</v>
      </c>
      <c r="F2470" s="5">
        <v>3</v>
      </c>
      <c r="G2470" s="19">
        <v>0.05</v>
      </c>
      <c r="H2470" s="5" t="s">
        <v>697</v>
      </c>
      <c r="I2470" s="10">
        <f>IF(OR(D2470="", F2470=""), "", F2470 * VLOOKUP(D2470, Products!A:E, 5, FALSE) * (1 - G2470))</f>
        <v>3400.3064999999992</v>
      </c>
      <c r="J2470" s="10"/>
    </row>
    <row r="2471" spans="1:10" ht="15.75" customHeight="1" x14ac:dyDescent="0.3">
      <c r="A2471" s="5" t="s">
        <v>3338</v>
      </c>
      <c r="B2471" s="11">
        <v>45611</v>
      </c>
      <c r="C2471" s="5" t="s">
        <v>450</v>
      </c>
      <c r="D2471" s="5" t="s">
        <v>262</v>
      </c>
      <c r="E2471" s="5" t="s">
        <v>29</v>
      </c>
      <c r="F2471" s="5">
        <v>4</v>
      </c>
      <c r="G2471" s="19">
        <v>0.1</v>
      </c>
      <c r="H2471" s="5" t="s">
        <v>776</v>
      </c>
      <c r="I2471" s="10">
        <f>IF(OR(D2471="", F2471=""), "", F2471 * VLOOKUP(D2471, Products!A:E, 5, FALSE) * (1 - G2471))</f>
        <v>1633.0320000000002</v>
      </c>
      <c r="J2471" s="10"/>
    </row>
    <row r="2472" spans="1:10" ht="15.75" customHeight="1" x14ac:dyDescent="0.3">
      <c r="A2472" s="5" t="s">
        <v>3339</v>
      </c>
      <c r="B2472" s="11">
        <v>45225</v>
      </c>
      <c r="C2472" s="5" t="s">
        <v>631</v>
      </c>
      <c r="D2472" s="5" t="s">
        <v>43</v>
      </c>
      <c r="E2472" s="5" t="s">
        <v>29</v>
      </c>
      <c r="F2472" s="5">
        <v>5</v>
      </c>
      <c r="G2472" s="19">
        <v>0.1</v>
      </c>
      <c r="H2472" s="5" t="s">
        <v>454</v>
      </c>
      <c r="I2472" s="10">
        <f>IF(OR(D2472="", F2472=""), "", F2472 * VLOOKUP(D2472, Products!A:E, 5, FALSE) * (1 - G2472))</f>
        <v>7531.6050000000005</v>
      </c>
      <c r="J2472" s="10"/>
    </row>
    <row r="2473" spans="1:10" ht="15.75" customHeight="1" x14ac:dyDescent="0.3">
      <c r="A2473" s="5" t="s">
        <v>3340</v>
      </c>
      <c r="B2473" s="11">
        <v>45480</v>
      </c>
      <c r="C2473" s="5" t="s">
        <v>872</v>
      </c>
      <c r="D2473" s="5" t="s">
        <v>67</v>
      </c>
      <c r="E2473" s="5" t="s">
        <v>37</v>
      </c>
      <c r="F2473" s="5">
        <v>4</v>
      </c>
      <c r="G2473" s="19">
        <v>0.05</v>
      </c>
      <c r="H2473" s="5" t="s">
        <v>776</v>
      </c>
      <c r="I2473" s="10">
        <f>IF(OR(D2473="", F2473=""), "", F2473 * VLOOKUP(D2473, Products!A:E, 5, FALSE) * (1 - G2473))</f>
        <v>417.16399999999999</v>
      </c>
      <c r="J2473" s="10"/>
    </row>
    <row r="2474" spans="1:10" ht="15.75" customHeight="1" x14ac:dyDescent="0.3">
      <c r="A2474" s="5" t="s">
        <v>3341</v>
      </c>
      <c r="B2474" s="11">
        <v>45542</v>
      </c>
      <c r="C2474" s="5" t="s">
        <v>715</v>
      </c>
      <c r="D2474" s="5" t="s">
        <v>134</v>
      </c>
      <c r="E2474" s="5" t="s">
        <v>33</v>
      </c>
      <c r="F2474" s="5">
        <v>2</v>
      </c>
      <c r="G2474" s="19">
        <v>0.05</v>
      </c>
      <c r="H2474" s="5" t="s">
        <v>637</v>
      </c>
      <c r="I2474" s="10">
        <f>IF(OR(D2474="", F2474=""), "", F2474 * VLOOKUP(D2474, Products!A:E, 5, FALSE) * (1 - G2474))</f>
        <v>2331.7559999999999</v>
      </c>
      <c r="J2474" s="10"/>
    </row>
    <row r="2475" spans="1:10" ht="15.75" customHeight="1" x14ac:dyDescent="0.3">
      <c r="A2475" s="5" t="s">
        <v>3342</v>
      </c>
      <c r="B2475" s="11">
        <v>45447</v>
      </c>
      <c r="C2475" s="5" t="s">
        <v>499</v>
      </c>
      <c r="D2475" s="5" t="s">
        <v>243</v>
      </c>
      <c r="E2475" s="5" t="s">
        <v>29</v>
      </c>
      <c r="F2475" s="5">
        <v>2</v>
      </c>
      <c r="G2475" s="19">
        <v>0.1</v>
      </c>
      <c r="H2475" s="5" t="s">
        <v>454</v>
      </c>
      <c r="I2475" s="10">
        <f>IF(OR(D2475="", F2475=""), "", F2475 * VLOOKUP(D2475, Products!A:E, 5, FALSE) * (1 - G2475))</f>
        <v>973.69200000000012</v>
      </c>
      <c r="J2475" s="10"/>
    </row>
    <row r="2476" spans="1:10" ht="15.75" customHeight="1" x14ac:dyDescent="0.3">
      <c r="A2476" s="5" t="s">
        <v>3343</v>
      </c>
      <c r="B2476" s="11">
        <v>45650</v>
      </c>
      <c r="C2476" s="5" t="s">
        <v>215</v>
      </c>
      <c r="D2476" s="5" t="s">
        <v>43</v>
      </c>
      <c r="E2476" s="5" t="s">
        <v>37</v>
      </c>
      <c r="F2476" s="5">
        <v>2</v>
      </c>
      <c r="G2476" s="19">
        <v>0.1</v>
      </c>
      <c r="H2476" s="5" t="s">
        <v>697</v>
      </c>
      <c r="I2476" s="10">
        <f>IF(OR(D2476="", F2476=""), "", F2476 * VLOOKUP(D2476, Products!A:E, 5, FALSE) * (1 - G2476))</f>
        <v>3012.6420000000003</v>
      </c>
      <c r="J2476" s="10"/>
    </row>
    <row r="2477" spans="1:10" ht="15.75" customHeight="1" x14ac:dyDescent="0.3">
      <c r="A2477" s="5" t="s">
        <v>3344</v>
      </c>
      <c r="B2477" s="11">
        <v>45594</v>
      </c>
      <c r="C2477" s="5" t="s">
        <v>611</v>
      </c>
      <c r="D2477" s="5" t="s">
        <v>262</v>
      </c>
      <c r="E2477" s="5" t="s">
        <v>29</v>
      </c>
      <c r="F2477" s="5">
        <v>1</v>
      </c>
      <c r="G2477" s="19">
        <v>0</v>
      </c>
      <c r="H2477" s="5" t="s">
        <v>697</v>
      </c>
      <c r="I2477" s="10">
        <f>IF(OR(D2477="", F2477=""), "", F2477 * VLOOKUP(D2477, Products!A:E, 5, FALSE) * (1 - G2477))</f>
        <v>453.62</v>
      </c>
      <c r="J2477" s="10"/>
    </row>
    <row r="2478" spans="1:10" ht="15.75" customHeight="1" x14ac:dyDescent="0.3">
      <c r="A2478" s="5" t="s">
        <v>3345</v>
      </c>
      <c r="B2478" s="11">
        <v>45776</v>
      </c>
      <c r="C2478" s="5" t="s">
        <v>618</v>
      </c>
      <c r="D2478" s="5" t="s">
        <v>82</v>
      </c>
      <c r="E2478" s="5" t="s">
        <v>25</v>
      </c>
      <c r="F2478" s="5">
        <v>4</v>
      </c>
      <c r="G2478" s="19">
        <v>0.1</v>
      </c>
      <c r="H2478" s="5" t="s">
        <v>454</v>
      </c>
      <c r="I2478" s="10">
        <f>IF(OR(D2478="", F2478=""), "", F2478 * VLOOKUP(D2478, Products!A:E, 5, FALSE) * (1 - G2478))</f>
        <v>4295.1239999999998</v>
      </c>
      <c r="J2478" s="10"/>
    </row>
    <row r="2479" spans="1:10" ht="15.75" customHeight="1" x14ac:dyDescent="0.3">
      <c r="A2479" s="5" t="s">
        <v>3346</v>
      </c>
      <c r="B2479" s="11">
        <v>45839</v>
      </c>
      <c r="C2479" s="5" t="s">
        <v>699</v>
      </c>
      <c r="D2479" s="5" t="s">
        <v>119</v>
      </c>
      <c r="E2479" s="5" t="s">
        <v>33</v>
      </c>
      <c r="F2479" s="5">
        <v>5</v>
      </c>
      <c r="G2479" s="19">
        <v>0</v>
      </c>
      <c r="H2479" s="5" t="s">
        <v>454</v>
      </c>
      <c r="I2479" s="10">
        <f>IF(OR(D2479="", F2479=""), "", F2479 * VLOOKUP(D2479, Products!A:E, 5, FALSE) * (1 - G2479))</f>
        <v>5399.4500000000007</v>
      </c>
      <c r="J2479" s="10"/>
    </row>
    <row r="2480" spans="1:10" ht="15.75" customHeight="1" x14ac:dyDescent="0.3">
      <c r="A2480" s="5" t="s">
        <v>3347</v>
      </c>
      <c r="B2480" s="11">
        <v>45183</v>
      </c>
      <c r="C2480" s="5" t="s">
        <v>811</v>
      </c>
      <c r="D2480" s="5" t="s">
        <v>128</v>
      </c>
      <c r="E2480" s="5" t="s">
        <v>21</v>
      </c>
      <c r="F2480" s="5">
        <v>3</v>
      </c>
      <c r="G2480" s="19">
        <v>0</v>
      </c>
      <c r="H2480" s="5" t="s">
        <v>697</v>
      </c>
      <c r="I2480" s="10">
        <f>IF(OR(D2480="", F2480=""), "", F2480 * VLOOKUP(D2480, Products!A:E, 5, FALSE) * (1 - G2480))</f>
        <v>971.76</v>
      </c>
      <c r="J2480" s="10"/>
    </row>
    <row r="2481" spans="1:10" ht="15.75" customHeight="1" x14ac:dyDescent="0.3">
      <c r="A2481" s="5" t="s">
        <v>3348</v>
      </c>
      <c r="B2481" s="11">
        <v>45582</v>
      </c>
      <c r="C2481" s="5" t="s">
        <v>567</v>
      </c>
      <c r="D2481" s="5" t="s">
        <v>180</v>
      </c>
      <c r="E2481" s="5" t="s">
        <v>33</v>
      </c>
      <c r="F2481" s="5">
        <v>3</v>
      </c>
      <c r="G2481" s="19">
        <v>0.1</v>
      </c>
      <c r="H2481" s="5" t="s">
        <v>776</v>
      </c>
      <c r="I2481" s="10">
        <f>IF(OR(D2481="", F2481=""), "", F2481 * VLOOKUP(D2481, Products!A:E, 5, FALSE) * (1 - G2481))</f>
        <v>1819.2059999999999</v>
      </c>
      <c r="J2481" s="10"/>
    </row>
    <row r="2482" spans="1:10" ht="15.75" customHeight="1" x14ac:dyDescent="0.3">
      <c r="A2482" s="5" t="s">
        <v>3349</v>
      </c>
      <c r="B2482" s="11">
        <v>45419</v>
      </c>
      <c r="C2482" s="5" t="s">
        <v>342</v>
      </c>
      <c r="D2482" s="5" t="s">
        <v>249</v>
      </c>
      <c r="E2482" s="5" t="s">
        <v>29</v>
      </c>
      <c r="F2482" s="5">
        <v>3</v>
      </c>
      <c r="G2482" s="19">
        <v>0.05</v>
      </c>
      <c r="H2482" s="5" t="s">
        <v>637</v>
      </c>
      <c r="I2482" s="10">
        <f>IF(OR(D2482="", F2482=""), "", F2482 * VLOOKUP(D2482, Products!A:E, 5, FALSE) * (1 - G2482))</f>
        <v>4974.9884999999995</v>
      </c>
      <c r="J2482" s="10"/>
    </row>
    <row r="2483" spans="1:10" ht="15.75" customHeight="1" x14ac:dyDescent="0.3">
      <c r="A2483" s="5" t="s">
        <v>3350</v>
      </c>
      <c r="B2483" s="11">
        <v>45892</v>
      </c>
      <c r="C2483" s="5" t="s">
        <v>680</v>
      </c>
      <c r="D2483" s="5" t="s">
        <v>89</v>
      </c>
      <c r="E2483" s="5" t="s">
        <v>25</v>
      </c>
      <c r="F2483" s="5">
        <v>1</v>
      </c>
      <c r="G2483" s="19">
        <v>0.15</v>
      </c>
      <c r="H2483" s="5" t="s">
        <v>637</v>
      </c>
      <c r="I2483" s="10">
        <f>IF(OR(D2483="", F2483=""), "", F2483 * VLOOKUP(D2483, Products!A:E, 5, FALSE) * (1 - G2483))</f>
        <v>964.57999999999993</v>
      </c>
      <c r="J2483" s="10"/>
    </row>
    <row r="2484" spans="1:10" ht="15.75" customHeight="1" x14ac:dyDescent="0.3">
      <c r="A2484" s="5" t="s">
        <v>3351</v>
      </c>
      <c r="B2484" s="11">
        <v>45663</v>
      </c>
      <c r="C2484" s="5" t="s">
        <v>722</v>
      </c>
      <c r="D2484" s="5" t="s">
        <v>206</v>
      </c>
      <c r="E2484" s="5" t="s">
        <v>37</v>
      </c>
      <c r="F2484" s="5">
        <v>4</v>
      </c>
      <c r="G2484" s="19">
        <v>0.15</v>
      </c>
      <c r="H2484" s="5" t="s">
        <v>637</v>
      </c>
      <c r="I2484" s="10">
        <f>IF(OR(D2484="", F2484=""), "", F2484 * VLOOKUP(D2484, Products!A:E, 5, FALSE) * (1 - G2484))</f>
        <v>1036.0139999999999</v>
      </c>
      <c r="J2484" s="10"/>
    </row>
    <row r="2485" spans="1:10" ht="15.75" customHeight="1" x14ac:dyDescent="0.3">
      <c r="A2485" s="5" t="s">
        <v>3352</v>
      </c>
      <c r="B2485" s="11">
        <v>45230</v>
      </c>
      <c r="C2485" s="5" t="s">
        <v>401</v>
      </c>
      <c r="D2485" s="5" t="s">
        <v>140</v>
      </c>
      <c r="E2485" s="5" t="s">
        <v>29</v>
      </c>
      <c r="F2485" s="5">
        <v>3</v>
      </c>
      <c r="G2485" s="19">
        <v>0.1</v>
      </c>
      <c r="H2485" s="5" t="s">
        <v>637</v>
      </c>
      <c r="I2485" s="10">
        <f>IF(OR(D2485="", F2485=""), "", F2485 * VLOOKUP(D2485, Products!A:E, 5, FALSE) * (1 - G2485))</f>
        <v>69.039000000000016</v>
      </c>
      <c r="J2485" s="10"/>
    </row>
    <row r="2486" spans="1:10" ht="15.75" customHeight="1" x14ac:dyDescent="0.3">
      <c r="A2486" s="5" t="s">
        <v>3353</v>
      </c>
      <c r="B2486" s="11">
        <v>45770</v>
      </c>
      <c r="C2486" s="5" t="s">
        <v>662</v>
      </c>
      <c r="D2486" s="5" t="s">
        <v>280</v>
      </c>
      <c r="E2486" s="5" t="s">
        <v>33</v>
      </c>
      <c r="F2486" s="5">
        <v>3</v>
      </c>
      <c r="G2486" s="19">
        <v>0</v>
      </c>
      <c r="H2486" s="5" t="s">
        <v>697</v>
      </c>
      <c r="I2486" s="10">
        <f>IF(OR(D2486="", F2486=""), "", F2486 * VLOOKUP(D2486, Products!A:E, 5, FALSE) * (1 - G2486))</f>
        <v>3649.08</v>
      </c>
      <c r="J2486" s="10"/>
    </row>
    <row r="2487" spans="1:10" ht="15.75" customHeight="1" x14ac:dyDescent="0.3">
      <c r="A2487" s="5" t="s">
        <v>3354</v>
      </c>
      <c r="B2487" s="11">
        <v>45231</v>
      </c>
      <c r="C2487" s="5" t="s">
        <v>865</v>
      </c>
      <c r="D2487" s="5" t="s">
        <v>61</v>
      </c>
      <c r="E2487" s="5" t="s">
        <v>37</v>
      </c>
      <c r="F2487" s="5">
        <v>1</v>
      </c>
      <c r="G2487" s="19">
        <v>0.15</v>
      </c>
      <c r="H2487" s="5" t="s">
        <v>637</v>
      </c>
      <c r="I2487" s="10">
        <f>IF(OR(D2487="", F2487=""), "", F2487 * VLOOKUP(D2487, Products!A:E, 5, FALSE) * (1 - G2487))</f>
        <v>270.34250000000003</v>
      </c>
      <c r="J2487" s="10"/>
    </row>
    <row r="2488" spans="1:10" ht="15.75" customHeight="1" x14ac:dyDescent="0.3">
      <c r="A2488" s="5" t="s">
        <v>3355</v>
      </c>
      <c r="B2488" s="11">
        <v>45586</v>
      </c>
      <c r="C2488" s="5" t="s">
        <v>876</v>
      </c>
      <c r="D2488" s="5" t="s">
        <v>119</v>
      </c>
      <c r="E2488" s="5" t="s">
        <v>29</v>
      </c>
      <c r="F2488" s="5">
        <v>5</v>
      </c>
      <c r="G2488" s="19">
        <v>0.15</v>
      </c>
      <c r="H2488" s="5" t="s">
        <v>776</v>
      </c>
      <c r="I2488" s="10">
        <f>IF(OR(D2488="", F2488=""), "", F2488 * VLOOKUP(D2488, Products!A:E, 5, FALSE) * (1 - G2488))</f>
        <v>4589.5325000000003</v>
      </c>
      <c r="J2488" s="10"/>
    </row>
    <row r="2489" spans="1:10" ht="15.75" customHeight="1" x14ac:dyDescent="0.3">
      <c r="A2489" s="5" t="s">
        <v>3356</v>
      </c>
      <c r="B2489" s="11">
        <v>45581</v>
      </c>
      <c r="C2489" s="5" t="s">
        <v>317</v>
      </c>
      <c r="D2489" s="5" t="s">
        <v>147</v>
      </c>
      <c r="E2489" s="5" t="s">
        <v>37</v>
      </c>
      <c r="F2489" s="5">
        <v>2</v>
      </c>
      <c r="G2489" s="19">
        <v>0.1</v>
      </c>
      <c r="H2489" s="5" t="s">
        <v>697</v>
      </c>
      <c r="I2489" s="10">
        <f>IF(OR(D2489="", F2489=""), "", F2489 * VLOOKUP(D2489, Products!A:E, 5, FALSE) * (1 - G2489))</f>
        <v>3381.2460000000001</v>
      </c>
      <c r="J2489" s="10"/>
    </row>
    <row r="2490" spans="1:10" ht="15.75" customHeight="1" x14ac:dyDescent="0.3">
      <c r="A2490" s="5" t="s">
        <v>3357</v>
      </c>
      <c r="B2490" s="11">
        <v>45353</v>
      </c>
      <c r="C2490" s="5" t="s">
        <v>703</v>
      </c>
      <c r="D2490" s="5" t="s">
        <v>147</v>
      </c>
      <c r="E2490" s="5" t="s">
        <v>25</v>
      </c>
      <c r="F2490" s="5">
        <v>2</v>
      </c>
      <c r="G2490" s="19">
        <v>0.1</v>
      </c>
      <c r="H2490" s="5" t="s">
        <v>776</v>
      </c>
      <c r="I2490" s="10">
        <f>IF(OR(D2490="", F2490=""), "", F2490 * VLOOKUP(D2490, Products!A:E, 5, FALSE) * (1 - G2490))</f>
        <v>3381.2460000000001</v>
      </c>
      <c r="J2490" s="10"/>
    </row>
    <row r="2491" spans="1:10" ht="15.75" customHeight="1" x14ac:dyDescent="0.3">
      <c r="A2491" s="5" t="s">
        <v>3358</v>
      </c>
      <c r="B2491" s="11">
        <v>45549</v>
      </c>
      <c r="C2491" s="5" t="s">
        <v>215</v>
      </c>
      <c r="D2491" s="5" t="s">
        <v>249</v>
      </c>
      <c r="E2491" s="5" t="s">
        <v>29</v>
      </c>
      <c r="F2491" s="5">
        <v>2</v>
      </c>
      <c r="G2491" s="19">
        <v>0.1</v>
      </c>
      <c r="H2491" s="5" t="s">
        <v>637</v>
      </c>
      <c r="I2491" s="10">
        <f>IF(OR(D2491="", F2491=""), "", F2491 * VLOOKUP(D2491, Products!A:E, 5, FALSE) * (1 - G2491))</f>
        <v>3142.098</v>
      </c>
      <c r="J2491" s="10"/>
    </row>
    <row r="2492" spans="1:10" ht="15.75" customHeight="1" x14ac:dyDescent="0.3">
      <c r="A2492" s="5" t="s">
        <v>3359</v>
      </c>
      <c r="B2492" s="11">
        <v>45321</v>
      </c>
      <c r="C2492" s="5" t="s">
        <v>546</v>
      </c>
      <c r="D2492" s="5" t="s">
        <v>212</v>
      </c>
      <c r="E2492" s="5" t="s">
        <v>25</v>
      </c>
      <c r="F2492" s="5">
        <v>4</v>
      </c>
      <c r="G2492" s="19">
        <v>0</v>
      </c>
      <c r="H2492" s="5" t="s">
        <v>697</v>
      </c>
      <c r="I2492" s="10">
        <f>IF(OR(D2492="", F2492=""), "", F2492 * VLOOKUP(D2492, Products!A:E, 5, FALSE) * (1 - G2492))</f>
        <v>7195.88</v>
      </c>
      <c r="J2492" s="10"/>
    </row>
    <row r="2493" spans="1:10" ht="15.75" customHeight="1" x14ac:dyDescent="0.3">
      <c r="A2493" s="5" t="s">
        <v>3360</v>
      </c>
      <c r="B2493" s="11">
        <v>45712</v>
      </c>
      <c r="C2493" s="5" t="s">
        <v>357</v>
      </c>
      <c r="D2493" s="5" t="s">
        <v>193</v>
      </c>
      <c r="E2493" s="5" t="s">
        <v>25</v>
      </c>
      <c r="F2493" s="5">
        <v>3</v>
      </c>
      <c r="G2493" s="19">
        <v>0.1</v>
      </c>
      <c r="H2493" s="5" t="s">
        <v>776</v>
      </c>
      <c r="I2493" s="10">
        <f>IF(OR(D2493="", F2493=""), "", F2493 * VLOOKUP(D2493, Products!A:E, 5, FALSE) * (1 - G2493))</f>
        <v>78.948000000000008</v>
      </c>
      <c r="J2493" s="10"/>
    </row>
    <row r="2494" spans="1:10" ht="15.75" customHeight="1" x14ac:dyDescent="0.3">
      <c r="A2494" s="5" t="s">
        <v>3361</v>
      </c>
      <c r="B2494" s="11">
        <v>45418</v>
      </c>
      <c r="C2494" s="5" t="s">
        <v>342</v>
      </c>
      <c r="D2494" s="5" t="s">
        <v>140</v>
      </c>
      <c r="E2494" s="5" t="s">
        <v>25</v>
      </c>
      <c r="F2494" s="5">
        <v>2</v>
      </c>
      <c r="G2494" s="19">
        <v>0.15</v>
      </c>
      <c r="H2494" s="5" t="s">
        <v>776</v>
      </c>
      <c r="I2494" s="10">
        <f>IF(OR(D2494="", F2494=""), "", F2494 * VLOOKUP(D2494, Products!A:E, 5, FALSE) * (1 - G2494))</f>
        <v>43.469000000000001</v>
      </c>
      <c r="J2494" s="10"/>
    </row>
    <row r="2495" spans="1:10" ht="15.75" customHeight="1" x14ac:dyDescent="0.3">
      <c r="A2495" s="5" t="s">
        <v>3362</v>
      </c>
      <c r="B2495" s="11">
        <v>45340</v>
      </c>
      <c r="C2495" s="5" t="s">
        <v>833</v>
      </c>
      <c r="D2495" s="5" t="s">
        <v>285</v>
      </c>
      <c r="E2495" s="5" t="s">
        <v>25</v>
      </c>
      <c r="F2495" s="5">
        <v>2</v>
      </c>
      <c r="G2495" s="19">
        <v>0.1</v>
      </c>
      <c r="H2495" s="5" t="s">
        <v>776</v>
      </c>
      <c r="I2495" s="10">
        <f>IF(OR(D2495="", F2495=""), "", F2495 * VLOOKUP(D2495, Products!A:E, 5, FALSE) * (1 - G2495))</f>
        <v>698.86800000000005</v>
      </c>
      <c r="J2495" s="10"/>
    </row>
    <row r="2496" spans="1:10" ht="15.75" customHeight="1" x14ac:dyDescent="0.3">
      <c r="A2496" s="5" t="s">
        <v>3363</v>
      </c>
      <c r="B2496" s="11">
        <v>45343</v>
      </c>
      <c r="C2496" s="5" t="s">
        <v>620</v>
      </c>
      <c r="D2496" s="5" t="s">
        <v>265</v>
      </c>
      <c r="E2496" s="5" t="s">
        <v>25</v>
      </c>
      <c r="F2496" s="5">
        <v>3</v>
      </c>
      <c r="G2496" s="19">
        <v>0</v>
      </c>
      <c r="H2496" s="5" t="s">
        <v>637</v>
      </c>
      <c r="I2496" s="10">
        <f>IF(OR(D2496="", F2496=""), "", F2496 * VLOOKUP(D2496, Products!A:E, 5, FALSE) * (1 - G2496))</f>
        <v>1693.2599999999998</v>
      </c>
      <c r="J2496" s="10"/>
    </row>
    <row r="2497" spans="1:10" ht="15.75" customHeight="1" x14ac:dyDescent="0.3">
      <c r="A2497" s="5" t="s">
        <v>3364</v>
      </c>
      <c r="B2497" s="11">
        <v>45909</v>
      </c>
      <c r="C2497" s="5" t="s">
        <v>683</v>
      </c>
      <c r="D2497" s="5" t="s">
        <v>249</v>
      </c>
      <c r="E2497" s="5" t="s">
        <v>33</v>
      </c>
      <c r="F2497" s="5">
        <v>2</v>
      </c>
      <c r="G2497" s="19">
        <v>0.15</v>
      </c>
      <c r="H2497" s="5" t="s">
        <v>637</v>
      </c>
      <c r="I2497" s="10">
        <f>IF(OR(D2497="", F2497=""), "", F2497 * VLOOKUP(D2497, Products!A:E, 5, FALSE) * (1 - G2497))</f>
        <v>2967.5369999999998</v>
      </c>
      <c r="J2497" s="10"/>
    </row>
    <row r="2498" spans="1:10" ht="15.75" customHeight="1" x14ac:dyDescent="0.3">
      <c r="A2498" s="5" t="s">
        <v>3365</v>
      </c>
      <c r="B2498" s="11">
        <v>45435</v>
      </c>
      <c r="C2498" s="5" t="s">
        <v>608</v>
      </c>
      <c r="D2498" s="5" t="s">
        <v>119</v>
      </c>
      <c r="E2498" s="5" t="s">
        <v>25</v>
      </c>
      <c r="F2498" s="5">
        <v>1</v>
      </c>
      <c r="G2498" s="19">
        <v>0.15</v>
      </c>
      <c r="H2498" s="5" t="s">
        <v>697</v>
      </c>
      <c r="I2498" s="10">
        <f>IF(OR(D2498="", F2498=""), "", F2498 * VLOOKUP(D2498, Products!A:E, 5, FALSE) * (1 - G2498))</f>
        <v>917.90650000000005</v>
      </c>
      <c r="J2498" s="10"/>
    </row>
    <row r="2499" spans="1:10" ht="15.75" customHeight="1" x14ac:dyDescent="0.3">
      <c r="A2499" s="5" t="s">
        <v>3366</v>
      </c>
      <c r="B2499" s="11">
        <v>45850</v>
      </c>
      <c r="C2499" s="5" t="s">
        <v>474</v>
      </c>
      <c r="D2499" s="5" t="s">
        <v>95</v>
      </c>
      <c r="E2499" s="5" t="s">
        <v>25</v>
      </c>
      <c r="F2499" s="5">
        <v>4</v>
      </c>
      <c r="G2499" s="19">
        <v>0.1</v>
      </c>
      <c r="H2499" s="5" t="s">
        <v>454</v>
      </c>
      <c r="I2499" s="10">
        <f>IF(OR(D2499="", F2499=""), "", F2499 * VLOOKUP(D2499, Products!A:E, 5, FALSE) * (1 - G2499))</f>
        <v>4833.9000000000005</v>
      </c>
      <c r="J2499" s="10"/>
    </row>
    <row r="2500" spans="1:10" ht="15.75" customHeight="1" x14ac:dyDescent="0.3">
      <c r="A2500" s="5" t="s">
        <v>3367</v>
      </c>
      <c r="B2500" s="11">
        <v>45680</v>
      </c>
      <c r="C2500" s="5" t="s">
        <v>789</v>
      </c>
      <c r="D2500" s="5" t="s">
        <v>226</v>
      </c>
      <c r="E2500" s="5" t="s">
        <v>33</v>
      </c>
      <c r="F2500" s="5">
        <v>5</v>
      </c>
      <c r="G2500" s="19">
        <v>0.15</v>
      </c>
      <c r="H2500" s="5" t="s">
        <v>776</v>
      </c>
      <c r="I2500" s="10">
        <f>IF(OR(D2500="", F2500=""), "", F2500 * VLOOKUP(D2500, Products!A:E, 5, FALSE) * (1 - G2500))</f>
        <v>6381.2049999999999</v>
      </c>
      <c r="J2500" s="10"/>
    </row>
    <row r="2501" spans="1:10" ht="15.75" customHeight="1" x14ac:dyDescent="0.3">
      <c r="A2501" s="5" t="s">
        <v>3368</v>
      </c>
      <c r="B2501" s="11">
        <v>45241</v>
      </c>
      <c r="C2501" s="5" t="s">
        <v>499</v>
      </c>
      <c r="D2501" s="5" t="s">
        <v>206</v>
      </c>
      <c r="E2501" s="5" t="s">
        <v>33</v>
      </c>
      <c r="F2501" s="5">
        <v>5</v>
      </c>
      <c r="G2501" s="19">
        <v>0</v>
      </c>
      <c r="H2501" s="5" t="s">
        <v>697</v>
      </c>
      <c r="I2501" s="10">
        <f>IF(OR(D2501="", F2501=""), "", F2501 * VLOOKUP(D2501, Products!A:E, 5, FALSE) * (1 - G2501))</f>
        <v>1523.55</v>
      </c>
      <c r="J2501" s="10"/>
    </row>
    <row r="2502" spans="1:10" ht="15.75" customHeight="1" x14ac:dyDescent="0.3">
      <c r="A2502" s="5" t="s">
        <v>3369</v>
      </c>
      <c r="B2502" s="11">
        <v>45723</v>
      </c>
      <c r="C2502" s="5" t="s">
        <v>733</v>
      </c>
      <c r="D2502" s="5" t="s">
        <v>74</v>
      </c>
      <c r="E2502" s="5" t="s">
        <v>25</v>
      </c>
      <c r="F2502" s="5">
        <v>2</v>
      </c>
      <c r="G2502" s="19">
        <v>0.1</v>
      </c>
      <c r="H2502" s="5" t="s">
        <v>454</v>
      </c>
      <c r="I2502" s="10">
        <f>IF(OR(D2502="", F2502=""), "", F2502 * VLOOKUP(D2502, Products!A:E, 5, FALSE) * (1 - G2502))</f>
        <v>2149.4159999999997</v>
      </c>
      <c r="J2502" s="10"/>
    </row>
    <row r="2503" spans="1:10" ht="15.75" customHeight="1" x14ac:dyDescent="0.3">
      <c r="A2503" s="5" t="s">
        <v>3370</v>
      </c>
      <c r="B2503" s="11">
        <v>45347</v>
      </c>
      <c r="C2503" s="5" t="s">
        <v>495</v>
      </c>
      <c r="D2503" s="5" t="s">
        <v>43</v>
      </c>
      <c r="E2503" s="5" t="s">
        <v>37</v>
      </c>
      <c r="F2503" s="5">
        <v>1</v>
      </c>
      <c r="G2503" s="19">
        <v>0.15</v>
      </c>
      <c r="H2503" s="5" t="s">
        <v>776</v>
      </c>
      <c r="I2503" s="10">
        <f>IF(OR(D2503="", F2503=""), "", F2503 * VLOOKUP(D2503, Products!A:E, 5, FALSE) * (1 - G2503))</f>
        <v>1422.6365000000001</v>
      </c>
      <c r="J2503" s="10"/>
    </row>
    <row r="2504" spans="1:10" ht="15.75" customHeight="1" x14ac:dyDescent="0.3">
      <c r="A2504" s="5" t="s">
        <v>3371</v>
      </c>
      <c r="B2504" s="11">
        <v>45670</v>
      </c>
      <c r="C2504" s="5" t="s">
        <v>766</v>
      </c>
      <c r="D2504" s="5" t="s">
        <v>276</v>
      </c>
      <c r="E2504" s="5" t="s">
        <v>25</v>
      </c>
      <c r="F2504" s="5">
        <v>2</v>
      </c>
      <c r="G2504" s="19">
        <v>0.15</v>
      </c>
      <c r="H2504" s="5" t="s">
        <v>697</v>
      </c>
      <c r="I2504" s="10">
        <f>IF(OR(D2504="", F2504=""), "", F2504 * VLOOKUP(D2504, Products!A:E, 5, FALSE) * (1 - G2504))</f>
        <v>2035.2060000000001</v>
      </c>
      <c r="J2504" s="10"/>
    </row>
    <row r="2505" spans="1:10" ht="15.75" customHeight="1" x14ac:dyDescent="0.3">
      <c r="A2505" s="5" t="s">
        <v>3372</v>
      </c>
      <c r="B2505" s="11">
        <v>45698</v>
      </c>
      <c r="C2505" s="5" t="s">
        <v>149</v>
      </c>
      <c r="D2505" s="5" t="s">
        <v>89</v>
      </c>
      <c r="E2505" s="5" t="s">
        <v>25</v>
      </c>
      <c r="F2505" s="5">
        <v>3</v>
      </c>
      <c r="G2505" s="19">
        <v>0.15</v>
      </c>
      <c r="H2505" s="5" t="s">
        <v>776</v>
      </c>
      <c r="I2505" s="10">
        <f>IF(OR(D2505="", F2505=""), "", F2505 * VLOOKUP(D2505, Products!A:E, 5, FALSE) * (1 - G2505))</f>
        <v>2893.74</v>
      </c>
      <c r="J2505" s="10"/>
    </row>
    <row r="2506" spans="1:10" ht="15.75" customHeight="1" x14ac:dyDescent="0.3">
      <c r="A2506" s="5" t="s">
        <v>3373</v>
      </c>
      <c r="B2506" s="11">
        <v>45308</v>
      </c>
      <c r="C2506" s="5" t="s">
        <v>491</v>
      </c>
      <c r="D2506" s="5" t="s">
        <v>188</v>
      </c>
      <c r="E2506" s="5" t="s">
        <v>33</v>
      </c>
      <c r="F2506" s="5">
        <v>2</v>
      </c>
      <c r="G2506" s="19">
        <v>0.15</v>
      </c>
      <c r="H2506" s="5" t="s">
        <v>697</v>
      </c>
      <c r="I2506" s="10">
        <f>IF(OR(D2506="", F2506=""), "", F2506 * VLOOKUP(D2506, Products!A:E, 5, FALSE) * (1 - G2506))</f>
        <v>2524.585</v>
      </c>
      <c r="J2506" s="10"/>
    </row>
    <row r="2507" spans="1:10" ht="15.75" customHeight="1" x14ac:dyDescent="0.3">
      <c r="A2507" s="5" t="s">
        <v>3374</v>
      </c>
      <c r="B2507" s="11">
        <v>45723</v>
      </c>
      <c r="C2507" s="5" t="s">
        <v>440</v>
      </c>
      <c r="D2507" s="5" t="s">
        <v>153</v>
      </c>
      <c r="E2507" s="5" t="s">
        <v>29</v>
      </c>
      <c r="F2507" s="5">
        <v>4</v>
      </c>
      <c r="G2507" s="19">
        <v>0.15</v>
      </c>
      <c r="H2507" s="5" t="s">
        <v>776</v>
      </c>
      <c r="I2507" s="10">
        <f>IF(OR(D2507="", F2507=""), "", F2507 * VLOOKUP(D2507, Products!A:E, 5, FALSE) * (1 - G2507))</f>
        <v>5057.1940000000004</v>
      </c>
      <c r="J2507" s="10"/>
    </row>
    <row r="2508" spans="1:10" ht="15.75" customHeight="1" x14ac:dyDescent="0.3">
      <c r="A2508" s="5" t="s">
        <v>3375</v>
      </c>
      <c r="B2508" s="11">
        <v>45733</v>
      </c>
      <c r="C2508" s="5" t="s">
        <v>416</v>
      </c>
      <c r="D2508" s="5" t="s">
        <v>122</v>
      </c>
      <c r="E2508" s="5" t="s">
        <v>33</v>
      </c>
      <c r="F2508" s="5">
        <v>2</v>
      </c>
      <c r="G2508" s="19">
        <v>0.05</v>
      </c>
      <c r="H2508" s="5" t="s">
        <v>637</v>
      </c>
      <c r="I2508" s="10">
        <f>IF(OR(D2508="", F2508=""), "", F2508 * VLOOKUP(D2508, Products!A:E, 5, FALSE) * (1 - G2508))</f>
        <v>3349.5479999999998</v>
      </c>
      <c r="J2508" s="10"/>
    </row>
    <row r="2509" spans="1:10" ht="15.75" customHeight="1" x14ac:dyDescent="0.3">
      <c r="A2509" s="5" t="s">
        <v>3376</v>
      </c>
      <c r="B2509" s="11">
        <v>45368</v>
      </c>
      <c r="C2509" s="5" t="s">
        <v>795</v>
      </c>
      <c r="D2509" s="5" t="s">
        <v>61</v>
      </c>
      <c r="E2509" s="5" t="s">
        <v>37</v>
      </c>
      <c r="F2509" s="5">
        <v>1</v>
      </c>
      <c r="G2509" s="19">
        <v>0.15</v>
      </c>
      <c r="H2509" s="5" t="s">
        <v>776</v>
      </c>
      <c r="I2509" s="10">
        <f>IF(OR(D2509="", F2509=""), "", F2509 * VLOOKUP(D2509, Products!A:E, 5, FALSE) * (1 - G2509))</f>
        <v>270.34250000000003</v>
      </c>
      <c r="J2509" s="10"/>
    </row>
    <row r="2510" spans="1:10" ht="15.75" customHeight="1" x14ac:dyDescent="0.3">
      <c r="A2510" s="5" t="s">
        <v>3377</v>
      </c>
      <c r="B2510" s="11">
        <v>45804</v>
      </c>
      <c r="C2510" s="5" t="s">
        <v>499</v>
      </c>
      <c r="D2510" s="5" t="s">
        <v>122</v>
      </c>
      <c r="E2510" s="5" t="s">
        <v>21</v>
      </c>
      <c r="F2510" s="5">
        <v>4</v>
      </c>
      <c r="G2510" s="19">
        <v>0</v>
      </c>
      <c r="H2510" s="5" t="s">
        <v>697</v>
      </c>
      <c r="I2510" s="10">
        <f>IF(OR(D2510="", F2510=""), "", F2510 * VLOOKUP(D2510, Products!A:E, 5, FALSE) * (1 - G2510))</f>
        <v>7051.68</v>
      </c>
      <c r="J2510" s="10"/>
    </row>
    <row r="2511" spans="1:10" ht="15.75" customHeight="1" x14ac:dyDescent="0.3">
      <c r="A2511" s="5" t="s">
        <v>3378</v>
      </c>
      <c r="B2511" s="11">
        <v>45450</v>
      </c>
      <c r="C2511" s="5" t="s">
        <v>474</v>
      </c>
      <c r="D2511" s="5" t="s">
        <v>237</v>
      </c>
      <c r="E2511" s="5" t="s">
        <v>25</v>
      </c>
      <c r="F2511" s="5">
        <v>5</v>
      </c>
      <c r="G2511" s="19">
        <v>0.15</v>
      </c>
      <c r="H2511" s="5" t="s">
        <v>637</v>
      </c>
      <c r="I2511" s="10">
        <f>IF(OR(D2511="", F2511=""), "", F2511 * VLOOKUP(D2511, Products!A:E, 5, FALSE) * (1 - G2511))</f>
        <v>1559.4525000000001</v>
      </c>
      <c r="J2511" s="10"/>
    </row>
    <row r="2512" spans="1:10" ht="15.75" customHeight="1" x14ac:dyDescent="0.3">
      <c r="A2512" s="5" t="s">
        <v>3379</v>
      </c>
      <c r="B2512" s="11">
        <v>45183</v>
      </c>
      <c r="C2512" s="5" t="s">
        <v>81</v>
      </c>
      <c r="D2512" s="5" t="s">
        <v>217</v>
      </c>
      <c r="E2512" s="5" t="s">
        <v>33</v>
      </c>
      <c r="F2512" s="5">
        <v>4</v>
      </c>
      <c r="G2512" s="19">
        <v>0.15</v>
      </c>
      <c r="H2512" s="5" t="s">
        <v>776</v>
      </c>
      <c r="I2512" s="10">
        <f>IF(OR(D2512="", F2512=""), "", F2512 * VLOOKUP(D2512, Products!A:E, 5, FALSE) * (1 - G2512))</f>
        <v>1455.37</v>
      </c>
      <c r="J2512" s="10"/>
    </row>
    <row r="2513" spans="1:10" ht="15.75" customHeight="1" x14ac:dyDescent="0.3">
      <c r="A2513" s="5" t="s">
        <v>3380</v>
      </c>
      <c r="B2513" s="11">
        <v>45213</v>
      </c>
      <c r="C2513" s="5" t="s">
        <v>458</v>
      </c>
      <c r="D2513" s="5" t="s">
        <v>249</v>
      </c>
      <c r="E2513" s="5" t="s">
        <v>33</v>
      </c>
      <c r="F2513" s="5">
        <v>3</v>
      </c>
      <c r="G2513" s="19">
        <v>0</v>
      </c>
      <c r="H2513" s="5" t="s">
        <v>637</v>
      </c>
      <c r="I2513" s="10">
        <f>IF(OR(D2513="", F2513=""), "", F2513 * VLOOKUP(D2513, Products!A:E, 5, FALSE) * (1 - G2513))</f>
        <v>5236.83</v>
      </c>
      <c r="J2513" s="10"/>
    </row>
    <row r="2514" spans="1:10" ht="15.75" customHeight="1" x14ac:dyDescent="0.3">
      <c r="A2514" s="5" t="s">
        <v>3381</v>
      </c>
      <c r="B2514" s="11">
        <v>45568</v>
      </c>
      <c r="C2514" s="5" t="s">
        <v>641</v>
      </c>
      <c r="D2514" s="5" t="s">
        <v>162</v>
      </c>
      <c r="E2514" s="5" t="s">
        <v>29</v>
      </c>
      <c r="F2514" s="5">
        <v>4</v>
      </c>
      <c r="G2514" s="19">
        <v>0.1</v>
      </c>
      <c r="H2514" s="5" t="s">
        <v>454</v>
      </c>
      <c r="I2514" s="10">
        <f>IF(OR(D2514="", F2514=""), "", F2514 * VLOOKUP(D2514, Products!A:E, 5, FALSE) * (1 - G2514))</f>
        <v>1544.94</v>
      </c>
      <c r="J2514" s="10"/>
    </row>
    <row r="2515" spans="1:10" ht="15.75" customHeight="1" x14ac:dyDescent="0.3">
      <c r="A2515" s="5" t="s">
        <v>3382</v>
      </c>
      <c r="B2515" s="11">
        <v>45542</v>
      </c>
      <c r="C2515" s="5" t="s">
        <v>245</v>
      </c>
      <c r="D2515" s="5" t="s">
        <v>237</v>
      </c>
      <c r="E2515" s="5" t="s">
        <v>25</v>
      </c>
      <c r="F2515" s="5">
        <v>4</v>
      </c>
      <c r="G2515" s="19">
        <v>0.15</v>
      </c>
      <c r="H2515" s="5" t="s">
        <v>776</v>
      </c>
      <c r="I2515" s="10">
        <f>IF(OR(D2515="", F2515=""), "", F2515 * VLOOKUP(D2515, Products!A:E, 5, FALSE) * (1 - G2515))</f>
        <v>1247.5619999999999</v>
      </c>
      <c r="J2515" s="10"/>
    </row>
    <row r="2516" spans="1:10" ht="15.75" customHeight="1" x14ac:dyDescent="0.3">
      <c r="A2516" s="5" t="s">
        <v>3383</v>
      </c>
      <c r="B2516" s="11">
        <v>45507</v>
      </c>
      <c r="C2516" s="5" t="s">
        <v>304</v>
      </c>
      <c r="D2516" s="5" t="s">
        <v>221</v>
      </c>
      <c r="E2516" s="5" t="s">
        <v>21</v>
      </c>
      <c r="F2516" s="5">
        <v>3</v>
      </c>
      <c r="G2516" s="19">
        <v>0.1</v>
      </c>
      <c r="H2516" s="5" t="s">
        <v>697</v>
      </c>
      <c r="I2516" s="10">
        <f>IF(OR(D2516="", F2516=""), "", F2516 * VLOOKUP(D2516, Products!A:E, 5, FALSE) * (1 - G2516))</f>
        <v>4218.5609999999997</v>
      </c>
      <c r="J2516" s="10"/>
    </row>
    <row r="2517" spans="1:10" ht="15.75" customHeight="1" x14ac:dyDescent="0.3">
      <c r="A2517" s="5" t="s">
        <v>3384</v>
      </c>
      <c r="B2517" s="11">
        <v>45231</v>
      </c>
      <c r="C2517" s="5" t="s">
        <v>652</v>
      </c>
      <c r="D2517" s="5" t="s">
        <v>267</v>
      </c>
      <c r="E2517" s="5" t="s">
        <v>37</v>
      </c>
      <c r="F2517" s="5">
        <v>4</v>
      </c>
      <c r="G2517" s="19">
        <v>0.15</v>
      </c>
      <c r="H2517" s="5" t="s">
        <v>776</v>
      </c>
      <c r="I2517" s="10">
        <f>IF(OR(D2517="", F2517=""), "", F2517 * VLOOKUP(D2517, Products!A:E, 5, FALSE) * (1 - G2517))</f>
        <v>4374.2699999999995</v>
      </c>
      <c r="J2517" s="10"/>
    </row>
    <row r="2518" spans="1:10" ht="15.75" customHeight="1" x14ac:dyDescent="0.3">
      <c r="A2518" s="5" t="s">
        <v>3385</v>
      </c>
      <c r="B2518" s="11">
        <v>45675</v>
      </c>
      <c r="C2518" s="5" t="s">
        <v>608</v>
      </c>
      <c r="D2518" s="5" t="s">
        <v>147</v>
      </c>
      <c r="E2518" s="5" t="s">
        <v>29</v>
      </c>
      <c r="F2518" s="5">
        <v>1</v>
      </c>
      <c r="G2518" s="19">
        <v>0</v>
      </c>
      <c r="H2518" s="5" t="s">
        <v>637</v>
      </c>
      <c r="I2518" s="10">
        <f>IF(OR(D2518="", F2518=""), "", F2518 * VLOOKUP(D2518, Products!A:E, 5, FALSE) * (1 - G2518))</f>
        <v>1878.47</v>
      </c>
      <c r="J2518" s="10"/>
    </row>
    <row r="2519" spans="1:10" ht="15.75" customHeight="1" x14ac:dyDescent="0.3">
      <c r="A2519" s="5" t="s">
        <v>3386</v>
      </c>
      <c r="B2519" s="11">
        <v>45843</v>
      </c>
      <c r="C2519" s="5" t="s">
        <v>604</v>
      </c>
      <c r="D2519" s="5" t="s">
        <v>285</v>
      </c>
      <c r="E2519" s="5" t="s">
        <v>29</v>
      </c>
      <c r="F2519" s="5">
        <v>1</v>
      </c>
      <c r="G2519" s="19">
        <v>0.1</v>
      </c>
      <c r="H2519" s="5" t="s">
        <v>454</v>
      </c>
      <c r="I2519" s="10">
        <f>IF(OR(D2519="", F2519=""), "", F2519 * VLOOKUP(D2519, Products!A:E, 5, FALSE) * (1 - G2519))</f>
        <v>349.43400000000003</v>
      </c>
      <c r="J2519" s="10"/>
    </row>
    <row r="2520" spans="1:10" ht="15.75" customHeight="1" x14ac:dyDescent="0.3">
      <c r="A2520" s="5" t="s">
        <v>3387</v>
      </c>
      <c r="B2520" s="11">
        <v>45655</v>
      </c>
      <c r="C2520" s="5" t="s">
        <v>571</v>
      </c>
      <c r="D2520" s="5" t="s">
        <v>147</v>
      </c>
      <c r="E2520" s="5" t="s">
        <v>29</v>
      </c>
      <c r="F2520" s="5">
        <v>3</v>
      </c>
      <c r="G2520" s="19">
        <v>0</v>
      </c>
      <c r="H2520" s="5" t="s">
        <v>454</v>
      </c>
      <c r="I2520" s="10">
        <f>IF(OR(D2520="", F2520=""), "", F2520 * VLOOKUP(D2520, Products!A:E, 5, FALSE) * (1 - G2520))</f>
        <v>5635.41</v>
      </c>
      <c r="J2520" s="10"/>
    </row>
    <row r="2521" spans="1:10" ht="15.75" customHeight="1" x14ac:dyDescent="0.3">
      <c r="A2521" s="5" t="s">
        <v>3388</v>
      </c>
      <c r="B2521" s="11">
        <v>45813</v>
      </c>
      <c r="C2521" s="5" t="s">
        <v>334</v>
      </c>
      <c r="D2521" s="5" t="s">
        <v>61</v>
      </c>
      <c r="E2521" s="5" t="s">
        <v>29</v>
      </c>
      <c r="F2521" s="5">
        <v>3</v>
      </c>
      <c r="G2521" s="19">
        <v>0.15</v>
      </c>
      <c r="H2521" s="5" t="s">
        <v>776</v>
      </c>
      <c r="I2521" s="10">
        <f>IF(OR(D2521="", F2521=""), "", F2521 * VLOOKUP(D2521, Products!A:E, 5, FALSE) * (1 - G2521))</f>
        <v>811.02750000000003</v>
      </c>
      <c r="J2521" s="10"/>
    </row>
    <row r="2522" spans="1:10" ht="15.75" customHeight="1" x14ac:dyDescent="0.3">
      <c r="A2522" s="5" t="s">
        <v>3389</v>
      </c>
      <c r="B2522" s="11">
        <v>45550</v>
      </c>
      <c r="C2522" s="5" t="s">
        <v>593</v>
      </c>
      <c r="D2522" s="5" t="s">
        <v>168</v>
      </c>
      <c r="E2522" s="5" t="s">
        <v>29</v>
      </c>
      <c r="F2522" s="5">
        <v>3</v>
      </c>
      <c r="G2522" s="19">
        <v>0</v>
      </c>
      <c r="H2522" s="5" t="s">
        <v>776</v>
      </c>
      <c r="I2522" s="10">
        <f>IF(OR(D2522="", F2522=""), "", F2522 * VLOOKUP(D2522, Products!A:E, 5, FALSE) * (1 - G2522))</f>
        <v>3047.2799999999997</v>
      </c>
      <c r="J2522" s="10"/>
    </row>
    <row r="2523" spans="1:10" ht="15.75" customHeight="1" x14ac:dyDescent="0.3">
      <c r="A2523" s="5" t="s">
        <v>3390</v>
      </c>
      <c r="B2523" s="11">
        <v>45220</v>
      </c>
      <c r="C2523" s="5" t="s">
        <v>511</v>
      </c>
      <c r="D2523" s="5" t="s">
        <v>153</v>
      </c>
      <c r="E2523" s="5" t="s">
        <v>21</v>
      </c>
      <c r="F2523" s="5">
        <v>5</v>
      </c>
      <c r="G2523" s="19">
        <v>0.15</v>
      </c>
      <c r="H2523" s="5" t="s">
        <v>697</v>
      </c>
      <c r="I2523" s="10">
        <f>IF(OR(D2523="", F2523=""), "", F2523 * VLOOKUP(D2523, Products!A:E, 5, FALSE) * (1 - G2523))</f>
        <v>6321.4925000000003</v>
      </c>
      <c r="J2523" s="10"/>
    </row>
    <row r="2524" spans="1:10" ht="15.75" customHeight="1" x14ac:dyDescent="0.3">
      <c r="A2524" s="5" t="s">
        <v>3391</v>
      </c>
      <c r="B2524" s="11">
        <v>45787</v>
      </c>
      <c r="C2524" s="5" t="s">
        <v>330</v>
      </c>
      <c r="D2524" s="5" t="s">
        <v>206</v>
      </c>
      <c r="E2524" s="5" t="s">
        <v>21</v>
      </c>
      <c r="F2524" s="5">
        <v>5</v>
      </c>
      <c r="G2524" s="19">
        <v>0</v>
      </c>
      <c r="H2524" s="5" t="s">
        <v>697</v>
      </c>
      <c r="I2524" s="10">
        <f>IF(OR(D2524="", F2524=""), "", F2524 * VLOOKUP(D2524, Products!A:E, 5, FALSE) * (1 - G2524))</f>
        <v>1523.55</v>
      </c>
      <c r="J2524" s="10"/>
    </row>
    <row r="2525" spans="1:10" ht="15.75" customHeight="1" x14ac:dyDescent="0.3">
      <c r="A2525" s="5" t="s">
        <v>3392</v>
      </c>
      <c r="B2525" s="11">
        <v>45736</v>
      </c>
      <c r="C2525" s="5" t="s">
        <v>837</v>
      </c>
      <c r="D2525" s="5" t="s">
        <v>74</v>
      </c>
      <c r="E2525" s="5" t="s">
        <v>25</v>
      </c>
      <c r="F2525" s="5">
        <v>4</v>
      </c>
      <c r="G2525" s="19">
        <v>0.15</v>
      </c>
      <c r="H2525" s="5" t="s">
        <v>454</v>
      </c>
      <c r="I2525" s="10">
        <f>IF(OR(D2525="", F2525=""), "", F2525 * VLOOKUP(D2525, Products!A:E, 5, FALSE) * (1 - G2525))</f>
        <v>4060.0079999999994</v>
      </c>
      <c r="J2525" s="10"/>
    </row>
    <row r="2526" spans="1:10" ht="15.75" customHeight="1" x14ac:dyDescent="0.3">
      <c r="A2526" s="5" t="s">
        <v>3393</v>
      </c>
      <c r="B2526" s="11">
        <v>45895</v>
      </c>
      <c r="C2526" s="5" t="s">
        <v>499</v>
      </c>
      <c r="D2526" s="5" t="s">
        <v>50</v>
      </c>
      <c r="E2526" s="5" t="s">
        <v>33</v>
      </c>
      <c r="F2526" s="5">
        <v>5</v>
      </c>
      <c r="G2526" s="19">
        <v>0.05</v>
      </c>
      <c r="H2526" s="5" t="s">
        <v>637</v>
      </c>
      <c r="I2526" s="10">
        <f>IF(OR(D2526="", F2526=""), "", F2526 * VLOOKUP(D2526, Products!A:E, 5, FALSE) * (1 - G2526))</f>
        <v>1603.7425000000001</v>
      </c>
      <c r="J2526" s="10"/>
    </row>
    <row r="2527" spans="1:10" ht="15.75" customHeight="1" x14ac:dyDescent="0.3">
      <c r="A2527" s="5" t="s">
        <v>3394</v>
      </c>
      <c r="B2527" s="11">
        <v>45388</v>
      </c>
      <c r="C2527" s="5" t="s">
        <v>144</v>
      </c>
      <c r="D2527" s="5" t="s">
        <v>122</v>
      </c>
      <c r="E2527" s="5" t="s">
        <v>21</v>
      </c>
      <c r="F2527" s="5">
        <v>3</v>
      </c>
      <c r="G2527" s="19">
        <v>0.1</v>
      </c>
      <c r="H2527" s="5" t="s">
        <v>776</v>
      </c>
      <c r="I2527" s="10">
        <f>IF(OR(D2527="", F2527=""), "", F2527 * VLOOKUP(D2527, Products!A:E, 5, FALSE) * (1 - G2527))</f>
        <v>4759.884</v>
      </c>
      <c r="J2527" s="10"/>
    </row>
    <row r="2528" spans="1:10" ht="15.75" customHeight="1" x14ac:dyDescent="0.3">
      <c r="A2528" s="5" t="s">
        <v>3395</v>
      </c>
      <c r="B2528" s="11">
        <v>45794</v>
      </c>
      <c r="C2528" s="5" t="s">
        <v>300</v>
      </c>
      <c r="D2528" s="5" t="s">
        <v>272</v>
      </c>
      <c r="E2528" s="5" t="s">
        <v>37</v>
      </c>
      <c r="F2528" s="5">
        <v>1</v>
      </c>
      <c r="G2528" s="19">
        <v>0.15</v>
      </c>
      <c r="H2528" s="5" t="s">
        <v>776</v>
      </c>
      <c r="I2528" s="10">
        <f>IF(OR(D2528="", F2528=""), "", F2528 * VLOOKUP(D2528, Products!A:E, 5, FALSE) * (1 - G2528))</f>
        <v>990.56449999999984</v>
      </c>
      <c r="J2528" s="10"/>
    </row>
    <row r="2529" spans="1:10" ht="15.75" customHeight="1" x14ac:dyDescent="0.3">
      <c r="A2529" s="5" t="s">
        <v>3396</v>
      </c>
      <c r="B2529" s="11">
        <v>45764</v>
      </c>
      <c r="C2529" s="5" t="s">
        <v>491</v>
      </c>
      <c r="D2529" s="5" t="s">
        <v>54</v>
      </c>
      <c r="E2529" s="5" t="s">
        <v>29</v>
      </c>
      <c r="F2529" s="5">
        <v>4</v>
      </c>
      <c r="G2529" s="19">
        <v>0.15</v>
      </c>
      <c r="H2529" s="5" t="s">
        <v>776</v>
      </c>
      <c r="I2529" s="10">
        <f>IF(OR(D2529="", F2529=""), "", F2529 * VLOOKUP(D2529, Products!A:E, 5, FALSE) * (1 - G2529))</f>
        <v>6302.8180000000002</v>
      </c>
      <c r="J2529" s="10"/>
    </row>
    <row r="2530" spans="1:10" ht="15.75" customHeight="1" x14ac:dyDescent="0.3">
      <c r="A2530" s="5" t="s">
        <v>3397</v>
      </c>
      <c r="B2530" s="11">
        <v>45303</v>
      </c>
      <c r="C2530" s="5" t="s">
        <v>342</v>
      </c>
      <c r="D2530" s="5" t="s">
        <v>217</v>
      </c>
      <c r="E2530" s="5" t="s">
        <v>29</v>
      </c>
      <c r="F2530" s="5">
        <v>1</v>
      </c>
      <c r="G2530" s="19">
        <v>0.15</v>
      </c>
      <c r="H2530" s="5" t="s">
        <v>776</v>
      </c>
      <c r="I2530" s="10">
        <f>IF(OR(D2530="", F2530=""), "", F2530 * VLOOKUP(D2530, Products!A:E, 5, FALSE) * (1 - G2530))</f>
        <v>363.84249999999997</v>
      </c>
      <c r="J2530" s="10"/>
    </row>
    <row r="2531" spans="1:10" ht="15.75" customHeight="1" x14ac:dyDescent="0.3">
      <c r="A2531" s="5" t="s">
        <v>3398</v>
      </c>
      <c r="B2531" s="11">
        <v>45801</v>
      </c>
      <c r="C2531" s="5" t="s">
        <v>350</v>
      </c>
      <c r="D2531" s="5" t="s">
        <v>237</v>
      </c>
      <c r="E2531" s="5" t="s">
        <v>37</v>
      </c>
      <c r="F2531" s="5">
        <v>3</v>
      </c>
      <c r="G2531" s="19">
        <v>0.1</v>
      </c>
      <c r="H2531" s="5" t="s">
        <v>697</v>
      </c>
      <c r="I2531" s="10">
        <f>IF(OR(D2531="", F2531=""), "", F2531 * VLOOKUP(D2531, Products!A:E, 5, FALSE) * (1 - G2531))</f>
        <v>990.71100000000001</v>
      </c>
      <c r="J2531" s="10"/>
    </row>
    <row r="2532" spans="1:10" ht="15.75" customHeight="1" x14ac:dyDescent="0.3">
      <c r="A2532" s="5" t="s">
        <v>3399</v>
      </c>
      <c r="B2532" s="11">
        <v>45830</v>
      </c>
      <c r="C2532" s="5" t="s">
        <v>805</v>
      </c>
      <c r="D2532" s="5" t="s">
        <v>43</v>
      </c>
      <c r="E2532" s="5" t="s">
        <v>21</v>
      </c>
      <c r="F2532" s="5">
        <v>3</v>
      </c>
      <c r="G2532" s="19">
        <v>0.15</v>
      </c>
      <c r="H2532" s="5" t="s">
        <v>697</v>
      </c>
      <c r="I2532" s="10">
        <f>IF(OR(D2532="", F2532=""), "", F2532 * VLOOKUP(D2532, Products!A:E, 5, FALSE) * (1 - G2532))</f>
        <v>4267.9094999999998</v>
      </c>
      <c r="J2532" s="10"/>
    </row>
    <row r="2533" spans="1:10" ht="15.75" customHeight="1" x14ac:dyDescent="0.3">
      <c r="A2533" s="5" t="s">
        <v>3400</v>
      </c>
      <c r="B2533" s="11">
        <v>45455</v>
      </c>
      <c r="C2533" s="5" t="s">
        <v>862</v>
      </c>
      <c r="D2533" s="5" t="s">
        <v>280</v>
      </c>
      <c r="E2533" s="5" t="s">
        <v>33</v>
      </c>
      <c r="F2533" s="5">
        <v>3</v>
      </c>
      <c r="G2533" s="19">
        <v>0.05</v>
      </c>
      <c r="H2533" s="5" t="s">
        <v>454</v>
      </c>
      <c r="I2533" s="10">
        <f>IF(OR(D2533="", F2533=""), "", F2533 * VLOOKUP(D2533, Products!A:E, 5, FALSE) * (1 - G2533))</f>
        <v>3466.6259999999997</v>
      </c>
      <c r="J2533" s="10"/>
    </row>
    <row r="2534" spans="1:10" ht="15.75" customHeight="1" x14ac:dyDescent="0.3">
      <c r="A2534" s="5" t="s">
        <v>3401</v>
      </c>
      <c r="B2534" s="11">
        <v>45397</v>
      </c>
      <c r="C2534" s="5" t="s">
        <v>641</v>
      </c>
      <c r="D2534" s="5" t="s">
        <v>232</v>
      </c>
      <c r="E2534" s="5" t="s">
        <v>21</v>
      </c>
      <c r="F2534" s="5">
        <v>5</v>
      </c>
      <c r="G2534" s="19">
        <v>0.15</v>
      </c>
      <c r="H2534" s="5" t="s">
        <v>697</v>
      </c>
      <c r="I2534" s="10">
        <f>IF(OR(D2534="", F2534=""), "", F2534 * VLOOKUP(D2534, Products!A:E, 5, FALSE) * (1 - G2534))</f>
        <v>8298.7624999999989</v>
      </c>
      <c r="J2534" s="10"/>
    </row>
    <row r="2535" spans="1:10" ht="15.75" customHeight="1" x14ac:dyDescent="0.3">
      <c r="A2535" s="5" t="s">
        <v>3402</v>
      </c>
      <c r="B2535" s="11">
        <v>45778</v>
      </c>
      <c r="C2535" s="5" t="s">
        <v>662</v>
      </c>
      <c r="D2535" s="5" t="s">
        <v>180</v>
      </c>
      <c r="E2535" s="5" t="s">
        <v>29</v>
      </c>
      <c r="F2535" s="5">
        <v>3</v>
      </c>
      <c r="G2535" s="19">
        <v>0</v>
      </c>
      <c r="H2535" s="5" t="s">
        <v>637</v>
      </c>
      <c r="I2535" s="10">
        <f>IF(OR(D2535="", F2535=""), "", F2535 * VLOOKUP(D2535, Products!A:E, 5, FALSE) * (1 - G2535))</f>
        <v>2021.34</v>
      </c>
      <c r="J2535" s="10"/>
    </row>
    <row r="2536" spans="1:10" ht="15.75" customHeight="1" x14ac:dyDescent="0.3">
      <c r="A2536" s="5" t="s">
        <v>3403</v>
      </c>
      <c r="B2536" s="11">
        <v>45892</v>
      </c>
      <c r="C2536" s="5" t="s">
        <v>365</v>
      </c>
      <c r="D2536" s="5" t="s">
        <v>82</v>
      </c>
      <c r="E2536" s="5" t="s">
        <v>21</v>
      </c>
      <c r="F2536" s="5">
        <v>4</v>
      </c>
      <c r="G2536" s="19">
        <v>0.05</v>
      </c>
      <c r="H2536" s="5" t="s">
        <v>454</v>
      </c>
      <c r="I2536" s="10">
        <f>IF(OR(D2536="", F2536=""), "", F2536 * VLOOKUP(D2536, Products!A:E, 5, FALSE) * (1 - G2536))</f>
        <v>4533.7419999999993</v>
      </c>
      <c r="J2536" s="10"/>
    </row>
    <row r="2537" spans="1:10" ht="15.75" customHeight="1" x14ac:dyDescent="0.3">
      <c r="A2537" s="5" t="s">
        <v>3404</v>
      </c>
      <c r="B2537" s="11">
        <v>45425</v>
      </c>
      <c r="C2537" s="5" t="s">
        <v>425</v>
      </c>
      <c r="D2537" s="5" t="s">
        <v>237</v>
      </c>
      <c r="E2537" s="5" t="s">
        <v>33</v>
      </c>
      <c r="F2537" s="5">
        <v>5</v>
      </c>
      <c r="G2537" s="19">
        <v>0.1</v>
      </c>
      <c r="H2537" s="5" t="s">
        <v>776</v>
      </c>
      <c r="I2537" s="10">
        <f>IF(OR(D2537="", F2537=""), "", F2537 * VLOOKUP(D2537, Products!A:E, 5, FALSE) * (1 - G2537))</f>
        <v>1651.1850000000002</v>
      </c>
      <c r="J2537" s="10"/>
    </row>
    <row r="2538" spans="1:10" ht="15.75" customHeight="1" x14ac:dyDescent="0.3">
      <c r="A2538" s="5" t="s">
        <v>3405</v>
      </c>
      <c r="B2538" s="11">
        <v>45838</v>
      </c>
      <c r="C2538" s="5" t="s">
        <v>376</v>
      </c>
      <c r="D2538" s="5" t="s">
        <v>61</v>
      </c>
      <c r="E2538" s="5" t="s">
        <v>25</v>
      </c>
      <c r="F2538" s="5">
        <v>1</v>
      </c>
      <c r="G2538" s="19">
        <v>0.1</v>
      </c>
      <c r="H2538" s="5" t="s">
        <v>697</v>
      </c>
      <c r="I2538" s="10">
        <f>IF(OR(D2538="", F2538=""), "", F2538 * VLOOKUP(D2538, Products!A:E, 5, FALSE) * (1 - G2538))</f>
        <v>286.245</v>
      </c>
      <c r="J2538" s="10"/>
    </row>
    <row r="2539" spans="1:10" ht="15.75" customHeight="1" x14ac:dyDescent="0.3">
      <c r="A2539" s="5" t="s">
        <v>3406</v>
      </c>
      <c r="B2539" s="11">
        <v>45564</v>
      </c>
      <c r="C2539" s="5" t="s">
        <v>177</v>
      </c>
      <c r="D2539" s="5" t="s">
        <v>109</v>
      </c>
      <c r="E2539" s="5" t="s">
        <v>37</v>
      </c>
      <c r="F2539" s="5">
        <v>3</v>
      </c>
      <c r="G2539" s="19">
        <v>0.15</v>
      </c>
      <c r="H2539" s="5" t="s">
        <v>637</v>
      </c>
      <c r="I2539" s="10">
        <f>IF(OR(D2539="", F2539=""), "", F2539 * VLOOKUP(D2539, Products!A:E, 5, FALSE) * (1 - G2539))</f>
        <v>4739.8125</v>
      </c>
      <c r="J2539" s="10"/>
    </row>
    <row r="2540" spans="1:10" ht="15.75" customHeight="1" x14ac:dyDescent="0.3">
      <c r="A2540" s="5" t="s">
        <v>3407</v>
      </c>
      <c r="B2540" s="11">
        <v>45891</v>
      </c>
      <c r="C2540" s="5" t="s">
        <v>755</v>
      </c>
      <c r="D2540" s="5" t="s">
        <v>140</v>
      </c>
      <c r="E2540" s="5" t="s">
        <v>37</v>
      </c>
      <c r="F2540" s="5">
        <v>3</v>
      </c>
      <c r="G2540" s="19">
        <v>0.15</v>
      </c>
      <c r="H2540" s="5" t="s">
        <v>637</v>
      </c>
      <c r="I2540" s="10">
        <f>IF(OR(D2540="", F2540=""), "", F2540 * VLOOKUP(D2540, Products!A:E, 5, FALSE) * (1 - G2540))</f>
        <v>65.203500000000005</v>
      </c>
      <c r="J2540" s="10"/>
    </row>
    <row r="2541" spans="1:10" ht="15.75" customHeight="1" x14ac:dyDescent="0.3">
      <c r="A2541" s="5" t="s">
        <v>3408</v>
      </c>
      <c r="B2541" s="11">
        <v>45903</v>
      </c>
      <c r="C2541" s="5" t="s">
        <v>691</v>
      </c>
      <c r="D2541" s="5" t="s">
        <v>175</v>
      </c>
      <c r="E2541" s="5" t="s">
        <v>21</v>
      </c>
      <c r="F2541" s="5">
        <v>3</v>
      </c>
      <c r="G2541" s="19">
        <v>0.1</v>
      </c>
      <c r="H2541" s="5" t="s">
        <v>454</v>
      </c>
      <c r="I2541" s="10">
        <f>IF(OR(D2541="", F2541=""), "", F2541 * VLOOKUP(D2541, Products!A:E, 5, FALSE) * (1 - G2541))</f>
        <v>3435.0210000000002</v>
      </c>
      <c r="J2541" s="10"/>
    </row>
    <row r="2542" spans="1:10" ht="15.75" customHeight="1" x14ac:dyDescent="0.3">
      <c r="A2542" s="5" t="s">
        <v>3409</v>
      </c>
      <c r="B2542" s="11">
        <v>45538</v>
      </c>
      <c r="C2542" s="5" t="s">
        <v>499</v>
      </c>
      <c r="D2542" s="5" t="s">
        <v>256</v>
      </c>
      <c r="E2542" s="5" t="s">
        <v>33</v>
      </c>
      <c r="F2542" s="5">
        <v>2</v>
      </c>
      <c r="G2542" s="19">
        <v>0.15</v>
      </c>
      <c r="H2542" s="5" t="s">
        <v>637</v>
      </c>
      <c r="I2542" s="10">
        <f>IF(OR(D2542="", F2542=""), "", F2542 * VLOOKUP(D2542, Products!A:E, 5, FALSE) * (1 - G2542))</f>
        <v>2779.5169999999998</v>
      </c>
      <c r="J2542" s="10"/>
    </row>
    <row r="2543" spans="1:10" ht="15.75" customHeight="1" x14ac:dyDescent="0.3">
      <c r="A2543" s="5" t="s">
        <v>3410</v>
      </c>
      <c r="B2543" s="11">
        <v>45598</v>
      </c>
      <c r="C2543" s="5" t="s">
        <v>365</v>
      </c>
      <c r="D2543" s="5" t="s">
        <v>109</v>
      </c>
      <c r="E2543" s="5" t="s">
        <v>37</v>
      </c>
      <c r="F2543" s="5">
        <v>2</v>
      </c>
      <c r="G2543" s="19">
        <v>0.15</v>
      </c>
      <c r="H2543" s="5" t="s">
        <v>454</v>
      </c>
      <c r="I2543" s="10">
        <f>IF(OR(D2543="", F2543=""), "", F2543 * VLOOKUP(D2543, Products!A:E, 5, FALSE) * (1 - G2543))</f>
        <v>3159.875</v>
      </c>
      <c r="J2543" s="10"/>
    </row>
    <row r="2544" spans="1:10" ht="15.75" customHeight="1" x14ac:dyDescent="0.3">
      <c r="A2544" s="5" t="s">
        <v>3411</v>
      </c>
      <c r="B2544" s="11">
        <v>45225</v>
      </c>
      <c r="C2544" s="5" t="s">
        <v>554</v>
      </c>
      <c r="D2544" s="5" t="s">
        <v>122</v>
      </c>
      <c r="E2544" s="5" t="s">
        <v>21</v>
      </c>
      <c r="F2544" s="5">
        <v>5</v>
      </c>
      <c r="G2544" s="19">
        <v>0</v>
      </c>
      <c r="H2544" s="5" t="s">
        <v>637</v>
      </c>
      <c r="I2544" s="10">
        <f>IF(OR(D2544="", F2544=""), "", F2544 * VLOOKUP(D2544, Products!A:E, 5, FALSE) * (1 - G2544))</f>
        <v>8814.6</v>
      </c>
      <c r="J2544" s="10"/>
    </row>
    <row r="2545" spans="1:10" ht="15.75" customHeight="1" x14ac:dyDescent="0.3">
      <c r="A2545" s="5" t="s">
        <v>3412</v>
      </c>
      <c r="B2545" s="11">
        <v>45673</v>
      </c>
      <c r="C2545" s="5" t="s">
        <v>695</v>
      </c>
      <c r="D2545" s="5" t="s">
        <v>54</v>
      </c>
      <c r="E2545" s="5" t="s">
        <v>29</v>
      </c>
      <c r="F2545" s="5">
        <v>1</v>
      </c>
      <c r="G2545" s="19">
        <v>0.05</v>
      </c>
      <c r="H2545" s="5" t="s">
        <v>454</v>
      </c>
      <c r="I2545" s="10">
        <f>IF(OR(D2545="", F2545=""), "", F2545 * VLOOKUP(D2545, Products!A:E, 5, FALSE) * (1 - G2545))</f>
        <v>1761.0815</v>
      </c>
      <c r="J2545" s="10"/>
    </row>
    <row r="2546" spans="1:10" ht="15.75" customHeight="1" x14ac:dyDescent="0.3">
      <c r="A2546" s="5" t="s">
        <v>3413</v>
      </c>
      <c r="B2546" s="11">
        <v>45639</v>
      </c>
      <c r="C2546" s="5" t="s">
        <v>458</v>
      </c>
      <c r="D2546" s="5" t="s">
        <v>168</v>
      </c>
      <c r="E2546" s="5" t="s">
        <v>29</v>
      </c>
      <c r="F2546" s="5">
        <v>3</v>
      </c>
      <c r="G2546" s="19">
        <v>0.15</v>
      </c>
      <c r="H2546" s="5" t="s">
        <v>637</v>
      </c>
      <c r="I2546" s="10">
        <f>IF(OR(D2546="", F2546=""), "", F2546 * VLOOKUP(D2546, Products!A:E, 5, FALSE) * (1 - G2546))</f>
        <v>2590.1879999999996</v>
      </c>
      <c r="J2546" s="10"/>
    </row>
    <row r="2547" spans="1:10" ht="15.75" customHeight="1" x14ac:dyDescent="0.3">
      <c r="A2547" s="5" t="s">
        <v>3414</v>
      </c>
      <c r="B2547" s="11">
        <v>45499</v>
      </c>
      <c r="C2547" s="5" t="s">
        <v>121</v>
      </c>
      <c r="D2547" s="5" t="s">
        <v>249</v>
      </c>
      <c r="E2547" s="5" t="s">
        <v>25</v>
      </c>
      <c r="F2547" s="5">
        <v>5</v>
      </c>
      <c r="G2547" s="19">
        <v>0.05</v>
      </c>
      <c r="H2547" s="5" t="s">
        <v>454</v>
      </c>
      <c r="I2547" s="10">
        <f>IF(OR(D2547="", F2547=""), "", F2547 * VLOOKUP(D2547, Products!A:E, 5, FALSE) * (1 - G2547))</f>
        <v>8291.6474999999991</v>
      </c>
      <c r="J2547" s="10"/>
    </row>
    <row r="2548" spans="1:10" ht="15.75" customHeight="1" x14ac:dyDescent="0.3">
      <c r="A2548" s="5" t="s">
        <v>3415</v>
      </c>
      <c r="B2548" s="11">
        <v>45609</v>
      </c>
      <c r="C2548" s="5" t="s">
        <v>699</v>
      </c>
      <c r="D2548" s="5" t="s">
        <v>193</v>
      </c>
      <c r="E2548" s="5" t="s">
        <v>33</v>
      </c>
      <c r="F2548" s="5">
        <v>4</v>
      </c>
      <c r="G2548" s="19">
        <v>0</v>
      </c>
      <c r="H2548" s="5" t="s">
        <v>454</v>
      </c>
      <c r="I2548" s="10">
        <f>IF(OR(D2548="", F2548=""), "", F2548 * VLOOKUP(D2548, Products!A:E, 5, FALSE) * (1 - G2548))</f>
        <v>116.96</v>
      </c>
      <c r="J2548" s="10"/>
    </row>
    <row r="2549" spans="1:10" ht="15.75" customHeight="1" x14ac:dyDescent="0.3">
      <c r="A2549" s="5" t="s">
        <v>3416</v>
      </c>
      <c r="B2549" s="11">
        <v>45583</v>
      </c>
      <c r="C2549" s="5" t="s">
        <v>691</v>
      </c>
      <c r="D2549" s="5" t="s">
        <v>243</v>
      </c>
      <c r="E2549" s="5" t="s">
        <v>33</v>
      </c>
      <c r="F2549" s="5">
        <v>2</v>
      </c>
      <c r="G2549" s="19">
        <v>0.15</v>
      </c>
      <c r="H2549" s="5" t="s">
        <v>697</v>
      </c>
      <c r="I2549" s="10">
        <f>IF(OR(D2549="", F2549=""), "", F2549 * VLOOKUP(D2549, Products!A:E, 5, FALSE) * (1 - G2549))</f>
        <v>919.59800000000007</v>
      </c>
      <c r="J2549" s="10"/>
    </row>
    <row r="2550" spans="1:10" ht="15.75" customHeight="1" x14ac:dyDescent="0.3">
      <c r="A2550" s="5" t="s">
        <v>3417</v>
      </c>
      <c r="B2550" s="11">
        <v>45802</v>
      </c>
      <c r="C2550" s="5" t="s">
        <v>528</v>
      </c>
      <c r="D2550" s="5" t="s">
        <v>285</v>
      </c>
      <c r="E2550" s="5" t="s">
        <v>37</v>
      </c>
      <c r="F2550" s="5">
        <v>1</v>
      </c>
      <c r="G2550" s="19">
        <v>0</v>
      </c>
      <c r="H2550" s="5" t="s">
        <v>637</v>
      </c>
      <c r="I2550" s="10">
        <f>IF(OR(D2550="", F2550=""), "", F2550 * VLOOKUP(D2550, Products!A:E, 5, FALSE) * (1 - G2550))</f>
        <v>388.26</v>
      </c>
      <c r="J2550" s="10"/>
    </row>
    <row r="2551" spans="1:10" ht="15.75" customHeight="1" x14ac:dyDescent="0.3">
      <c r="A2551" s="5" t="s">
        <v>3418</v>
      </c>
      <c r="B2551" s="11">
        <v>45203</v>
      </c>
      <c r="C2551" s="5" t="s">
        <v>372</v>
      </c>
      <c r="D2551" s="5" t="s">
        <v>95</v>
      </c>
      <c r="E2551" s="5" t="s">
        <v>25</v>
      </c>
      <c r="F2551" s="5">
        <v>1</v>
      </c>
      <c r="G2551" s="19">
        <v>0.1</v>
      </c>
      <c r="H2551" s="5" t="s">
        <v>697</v>
      </c>
      <c r="I2551" s="10">
        <f>IF(OR(D2551="", F2551=""), "", F2551 * VLOOKUP(D2551, Products!A:E, 5, FALSE) * (1 - G2551))</f>
        <v>1208.4750000000001</v>
      </c>
      <c r="J2551" s="10"/>
    </row>
    <row r="2552" spans="1:10" ht="15.75" customHeight="1" x14ac:dyDescent="0.3">
      <c r="A2552" s="5" t="s">
        <v>3419</v>
      </c>
      <c r="B2552" s="11">
        <v>45452</v>
      </c>
      <c r="C2552" s="5" t="s">
        <v>312</v>
      </c>
      <c r="D2552" s="5" t="s">
        <v>269</v>
      </c>
      <c r="E2552" s="5" t="s">
        <v>33</v>
      </c>
      <c r="F2552" s="5">
        <v>5</v>
      </c>
      <c r="G2552" s="19">
        <v>0.15</v>
      </c>
      <c r="H2552" s="5" t="s">
        <v>454</v>
      </c>
      <c r="I2552" s="10">
        <f>IF(OR(D2552="", F2552=""), "", F2552 * VLOOKUP(D2552, Products!A:E, 5, FALSE) * (1 - G2552))</f>
        <v>7986.0899999999992</v>
      </c>
      <c r="J2552" s="10"/>
    </row>
    <row r="2553" spans="1:10" ht="15.75" customHeight="1" x14ac:dyDescent="0.3">
      <c r="A2553" s="5" t="s">
        <v>3420</v>
      </c>
      <c r="B2553" s="11">
        <v>45546</v>
      </c>
      <c r="C2553" s="5" t="s">
        <v>799</v>
      </c>
      <c r="D2553" s="5" t="s">
        <v>285</v>
      </c>
      <c r="E2553" s="5" t="s">
        <v>25</v>
      </c>
      <c r="F2553" s="5">
        <v>4</v>
      </c>
      <c r="G2553" s="19">
        <v>0.1</v>
      </c>
      <c r="H2553" s="5" t="s">
        <v>454</v>
      </c>
      <c r="I2553" s="10">
        <f>IF(OR(D2553="", F2553=""), "", F2553 * VLOOKUP(D2553, Products!A:E, 5, FALSE) * (1 - G2553))</f>
        <v>1397.7360000000001</v>
      </c>
      <c r="J2553" s="10"/>
    </row>
    <row r="2554" spans="1:10" ht="15.75" customHeight="1" x14ac:dyDescent="0.3">
      <c r="A2554" s="5" t="s">
        <v>3421</v>
      </c>
      <c r="B2554" s="11">
        <v>45480</v>
      </c>
      <c r="C2554" s="5" t="s">
        <v>872</v>
      </c>
      <c r="D2554" s="5" t="s">
        <v>217</v>
      </c>
      <c r="E2554" s="5" t="s">
        <v>29</v>
      </c>
      <c r="F2554" s="5">
        <v>1</v>
      </c>
      <c r="G2554" s="19">
        <v>0.1</v>
      </c>
      <c r="H2554" s="5" t="s">
        <v>637</v>
      </c>
      <c r="I2554" s="10">
        <f>IF(OR(D2554="", F2554=""), "", F2554 * VLOOKUP(D2554, Products!A:E, 5, FALSE) * (1 - G2554))</f>
        <v>385.245</v>
      </c>
      <c r="J2554" s="10"/>
    </row>
    <row r="2555" spans="1:10" ht="15.75" customHeight="1" x14ac:dyDescent="0.3">
      <c r="A2555" s="5" t="s">
        <v>3422</v>
      </c>
      <c r="B2555" s="11">
        <v>45491</v>
      </c>
      <c r="C2555" s="5" t="s">
        <v>380</v>
      </c>
      <c r="D2555" s="5" t="s">
        <v>54</v>
      </c>
      <c r="E2555" s="5" t="s">
        <v>33</v>
      </c>
      <c r="F2555" s="5">
        <v>4</v>
      </c>
      <c r="G2555" s="19">
        <v>0.15</v>
      </c>
      <c r="H2555" s="5" t="s">
        <v>454</v>
      </c>
      <c r="I2555" s="10">
        <f>IF(OR(D2555="", F2555=""), "", F2555 * VLOOKUP(D2555, Products!A:E, 5, FALSE) * (1 - G2555))</f>
        <v>6302.8180000000002</v>
      </c>
      <c r="J2555" s="10"/>
    </row>
    <row r="2556" spans="1:10" ht="15.75" customHeight="1" x14ac:dyDescent="0.3">
      <c r="A2556" s="5" t="s">
        <v>3423</v>
      </c>
      <c r="B2556" s="11">
        <v>45248</v>
      </c>
      <c r="C2556" s="5" t="s">
        <v>597</v>
      </c>
      <c r="D2556" s="5" t="s">
        <v>57</v>
      </c>
      <c r="E2556" s="5" t="s">
        <v>25</v>
      </c>
      <c r="F2556" s="5">
        <v>2</v>
      </c>
      <c r="G2556" s="19">
        <v>0.15</v>
      </c>
      <c r="H2556" s="5" t="s">
        <v>454</v>
      </c>
      <c r="I2556" s="10">
        <f>IF(OR(D2556="", F2556=""), "", F2556 * VLOOKUP(D2556, Products!A:E, 5, FALSE) * (1 - G2556))</f>
        <v>2373.5740000000001</v>
      </c>
      <c r="J2556" s="10"/>
    </row>
    <row r="2557" spans="1:10" ht="15.75" customHeight="1" x14ac:dyDescent="0.3">
      <c r="A2557" s="5" t="s">
        <v>3424</v>
      </c>
      <c r="B2557" s="11">
        <v>45499</v>
      </c>
      <c r="C2557" s="5" t="s">
        <v>16</v>
      </c>
      <c r="D2557" s="5" t="s">
        <v>200</v>
      </c>
      <c r="E2557" s="5" t="s">
        <v>37</v>
      </c>
      <c r="F2557" s="5">
        <v>3</v>
      </c>
      <c r="G2557" s="19">
        <v>0.15</v>
      </c>
      <c r="H2557" s="5" t="s">
        <v>697</v>
      </c>
      <c r="I2557" s="10">
        <f>IF(OR(D2557="", F2557=""), "", F2557 * VLOOKUP(D2557, Products!A:E, 5, FALSE) * (1 - G2557))</f>
        <v>2794.0859999999998</v>
      </c>
      <c r="J2557" s="10"/>
    </row>
    <row r="2558" spans="1:10" ht="15.75" customHeight="1" x14ac:dyDescent="0.3">
      <c r="A2558" s="5" t="s">
        <v>3425</v>
      </c>
      <c r="B2558" s="11">
        <v>45772</v>
      </c>
      <c r="C2558" s="5" t="s">
        <v>795</v>
      </c>
      <c r="D2558" s="5" t="s">
        <v>47</v>
      </c>
      <c r="E2558" s="5" t="s">
        <v>21</v>
      </c>
      <c r="F2558" s="5">
        <v>4</v>
      </c>
      <c r="G2558" s="19">
        <v>0.15</v>
      </c>
      <c r="H2558" s="5" t="s">
        <v>637</v>
      </c>
      <c r="I2558" s="10">
        <f>IF(OR(D2558="", F2558=""), "", F2558 * VLOOKUP(D2558, Products!A:E, 5, FALSE) * (1 - G2558))</f>
        <v>2783.7840000000001</v>
      </c>
      <c r="J2558" s="10"/>
    </row>
    <row r="2559" spans="1:10" ht="15.75" customHeight="1" x14ac:dyDescent="0.3">
      <c r="A2559" s="5" t="s">
        <v>3426</v>
      </c>
      <c r="B2559" s="11">
        <v>45758</v>
      </c>
      <c r="C2559" s="5" t="s">
        <v>560</v>
      </c>
      <c r="D2559" s="5" t="s">
        <v>269</v>
      </c>
      <c r="E2559" s="5" t="s">
        <v>25</v>
      </c>
      <c r="F2559" s="5">
        <v>1</v>
      </c>
      <c r="G2559" s="19">
        <v>0.05</v>
      </c>
      <c r="H2559" s="5" t="s">
        <v>697</v>
      </c>
      <c r="I2559" s="10">
        <f>IF(OR(D2559="", F2559=""), "", F2559 * VLOOKUP(D2559, Products!A:E, 5, FALSE) * (1 - G2559))</f>
        <v>1785.1259999999997</v>
      </c>
      <c r="J2559" s="10"/>
    </row>
    <row r="2560" spans="1:10" ht="15.75" customHeight="1" x14ac:dyDescent="0.3">
      <c r="A2560" s="5" t="s">
        <v>3427</v>
      </c>
      <c r="B2560" s="11">
        <v>45387</v>
      </c>
      <c r="C2560" s="5" t="s">
        <v>736</v>
      </c>
      <c r="D2560" s="5" t="s">
        <v>276</v>
      </c>
      <c r="E2560" s="5" t="s">
        <v>37</v>
      </c>
      <c r="F2560" s="5">
        <v>5</v>
      </c>
      <c r="G2560" s="19">
        <v>0</v>
      </c>
      <c r="H2560" s="5" t="s">
        <v>637</v>
      </c>
      <c r="I2560" s="10">
        <f>IF(OR(D2560="", F2560=""), "", F2560 * VLOOKUP(D2560, Products!A:E, 5, FALSE) * (1 - G2560))</f>
        <v>5985.9000000000005</v>
      </c>
      <c r="J2560" s="10"/>
    </row>
    <row r="2561" spans="1:10" ht="15.75" customHeight="1" x14ac:dyDescent="0.3">
      <c r="A2561" s="5" t="s">
        <v>3428</v>
      </c>
      <c r="B2561" s="11">
        <v>45887</v>
      </c>
      <c r="C2561" s="5" t="s">
        <v>106</v>
      </c>
      <c r="D2561" s="5" t="s">
        <v>269</v>
      </c>
      <c r="E2561" s="5" t="s">
        <v>29</v>
      </c>
      <c r="F2561" s="5">
        <v>5</v>
      </c>
      <c r="G2561" s="19">
        <v>0.05</v>
      </c>
      <c r="H2561" s="5" t="s">
        <v>697</v>
      </c>
      <c r="I2561" s="10">
        <f>IF(OR(D2561="", F2561=""), "", F2561 * VLOOKUP(D2561, Products!A:E, 5, FALSE) * (1 - G2561))</f>
        <v>8925.6299999999992</v>
      </c>
      <c r="J2561" s="10"/>
    </row>
    <row r="2562" spans="1:10" ht="15.75" customHeight="1" x14ac:dyDescent="0.3">
      <c r="A2562" s="5" t="s">
        <v>3429</v>
      </c>
      <c r="B2562" s="11">
        <v>45701</v>
      </c>
      <c r="C2562" s="5" t="s">
        <v>703</v>
      </c>
      <c r="D2562" s="5" t="s">
        <v>206</v>
      </c>
      <c r="E2562" s="5" t="s">
        <v>33</v>
      </c>
      <c r="F2562" s="5">
        <v>1</v>
      </c>
      <c r="G2562" s="19">
        <v>0.1</v>
      </c>
      <c r="H2562" s="5" t="s">
        <v>776</v>
      </c>
      <c r="I2562" s="10">
        <f>IF(OR(D2562="", F2562=""), "", F2562 * VLOOKUP(D2562, Products!A:E, 5, FALSE) * (1 - G2562))</f>
        <v>274.23899999999998</v>
      </c>
      <c r="J2562" s="10"/>
    </row>
    <row r="2563" spans="1:10" ht="15.75" customHeight="1" x14ac:dyDescent="0.3">
      <c r="A2563" s="5" t="s">
        <v>3430</v>
      </c>
      <c r="B2563" s="11">
        <v>45271</v>
      </c>
      <c r="C2563" s="5" t="s">
        <v>850</v>
      </c>
      <c r="D2563" s="5" t="s">
        <v>43</v>
      </c>
      <c r="E2563" s="5" t="s">
        <v>37</v>
      </c>
      <c r="F2563" s="5">
        <v>4</v>
      </c>
      <c r="G2563" s="19">
        <v>0.05</v>
      </c>
      <c r="H2563" s="5" t="s">
        <v>697</v>
      </c>
      <c r="I2563" s="10">
        <f>IF(OR(D2563="", F2563=""), "", F2563 * VLOOKUP(D2563, Products!A:E, 5, FALSE) * (1 - G2563))</f>
        <v>6360.0219999999999</v>
      </c>
      <c r="J2563" s="10"/>
    </row>
    <row r="2564" spans="1:10" ht="15.75" customHeight="1" x14ac:dyDescent="0.3">
      <c r="A2564" s="5" t="s">
        <v>3431</v>
      </c>
      <c r="B2564" s="11">
        <v>45867</v>
      </c>
      <c r="C2564" s="5" t="s">
        <v>604</v>
      </c>
      <c r="D2564" s="5" t="s">
        <v>237</v>
      </c>
      <c r="E2564" s="5" t="s">
        <v>29</v>
      </c>
      <c r="F2564" s="5">
        <v>2</v>
      </c>
      <c r="G2564" s="19">
        <v>0.05</v>
      </c>
      <c r="H2564" s="5" t="s">
        <v>637</v>
      </c>
      <c r="I2564" s="10">
        <f>IF(OR(D2564="", F2564=""), "", F2564 * VLOOKUP(D2564, Products!A:E, 5, FALSE) * (1 - G2564))</f>
        <v>697.16700000000003</v>
      </c>
      <c r="J2564" s="10"/>
    </row>
    <row r="2565" spans="1:10" ht="15.75" customHeight="1" x14ac:dyDescent="0.3">
      <c r="A2565" s="5" t="s">
        <v>3432</v>
      </c>
      <c r="B2565" s="11">
        <v>45382</v>
      </c>
      <c r="C2565" s="5" t="s">
        <v>823</v>
      </c>
      <c r="D2565" s="5" t="s">
        <v>57</v>
      </c>
      <c r="E2565" s="5" t="s">
        <v>25</v>
      </c>
      <c r="F2565" s="5">
        <v>3</v>
      </c>
      <c r="G2565" s="19">
        <v>0.05</v>
      </c>
      <c r="H2565" s="5" t="s">
        <v>454</v>
      </c>
      <c r="I2565" s="10">
        <f>IF(OR(D2565="", F2565=""), "", F2565 * VLOOKUP(D2565, Products!A:E, 5, FALSE) * (1 - G2565))</f>
        <v>3979.2269999999999</v>
      </c>
      <c r="J2565" s="10"/>
    </row>
    <row r="2566" spans="1:10" ht="15.75" customHeight="1" x14ac:dyDescent="0.3">
      <c r="A2566" s="5" t="s">
        <v>3433</v>
      </c>
      <c r="B2566" s="11">
        <v>45900</v>
      </c>
      <c r="C2566" s="5" t="s">
        <v>177</v>
      </c>
      <c r="D2566" s="5" t="s">
        <v>61</v>
      </c>
      <c r="E2566" s="5" t="s">
        <v>21</v>
      </c>
      <c r="F2566" s="5">
        <v>2</v>
      </c>
      <c r="G2566" s="19">
        <v>0.15</v>
      </c>
      <c r="H2566" s="5" t="s">
        <v>637</v>
      </c>
      <c r="I2566" s="10">
        <f>IF(OR(D2566="", F2566=""), "", F2566 * VLOOKUP(D2566, Products!A:E, 5, FALSE) * (1 - G2566))</f>
        <v>540.68500000000006</v>
      </c>
      <c r="J2566" s="10"/>
    </row>
    <row r="2567" spans="1:10" ht="15.75" customHeight="1" x14ac:dyDescent="0.3">
      <c r="A2567" s="5" t="s">
        <v>3434</v>
      </c>
      <c r="B2567" s="11">
        <v>45191</v>
      </c>
      <c r="C2567" s="5" t="s">
        <v>401</v>
      </c>
      <c r="D2567" s="5" t="s">
        <v>134</v>
      </c>
      <c r="E2567" s="5" t="s">
        <v>37</v>
      </c>
      <c r="F2567" s="5">
        <v>4</v>
      </c>
      <c r="G2567" s="19">
        <v>0.05</v>
      </c>
      <c r="H2567" s="5" t="s">
        <v>697</v>
      </c>
      <c r="I2567" s="10">
        <f>IF(OR(D2567="", F2567=""), "", F2567 * VLOOKUP(D2567, Products!A:E, 5, FALSE) * (1 - G2567))</f>
        <v>4663.5119999999997</v>
      </c>
      <c r="J2567" s="10"/>
    </row>
    <row r="2568" spans="1:10" ht="15.75" customHeight="1" x14ac:dyDescent="0.3">
      <c r="A2568" s="5" t="s">
        <v>3435</v>
      </c>
      <c r="B2568" s="11">
        <v>45808</v>
      </c>
      <c r="C2568" s="5" t="s">
        <v>608</v>
      </c>
      <c r="D2568" s="5" t="s">
        <v>180</v>
      </c>
      <c r="E2568" s="5" t="s">
        <v>37</v>
      </c>
      <c r="F2568" s="5">
        <v>1</v>
      </c>
      <c r="G2568" s="19">
        <v>0.1</v>
      </c>
      <c r="H2568" s="5" t="s">
        <v>697</v>
      </c>
      <c r="I2568" s="10">
        <f>IF(OR(D2568="", F2568=""), "", F2568 * VLOOKUP(D2568, Products!A:E, 5, FALSE) * (1 - G2568))</f>
        <v>606.40200000000004</v>
      </c>
      <c r="J2568" s="10"/>
    </row>
    <row r="2569" spans="1:10" ht="15.75" customHeight="1" x14ac:dyDescent="0.3">
      <c r="A2569" s="5" t="s">
        <v>3436</v>
      </c>
      <c r="B2569" s="11">
        <v>45762</v>
      </c>
      <c r="C2569" s="5" t="s">
        <v>401</v>
      </c>
      <c r="D2569" s="5" t="s">
        <v>291</v>
      </c>
      <c r="E2569" s="5" t="s">
        <v>33</v>
      </c>
      <c r="F2569" s="5">
        <v>1</v>
      </c>
      <c r="G2569" s="19">
        <v>0</v>
      </c>
      <c r="H2569" s="5" t="s">
        <v>776</v>
      </c>
      <c r="I2569" s="10">
        <f>IF(OR(D2569="", F2569=""), "", F2569 * VLOOKUP(D2569, Products!A:E, 5, FALSE) * (1 - G2569))</f>
        <v>1044.6400000000001</v>
      </c>
      <c r="J2569" s="10"/>
    </row>
    <row r="2570" spans="1:10" ht="15.75" customHeight="1" x14ac:dyDescent="0.3">
      <c r="A2570" s="5" t="s">
        <v>3437</v>
      </c>
      <c r="B2570" s="11">
        <v>45860</v>
      </c>
      <c r="C2570" s="5" t="s">
        <v>795</v>
      </c>
      <c r="D2570" s="5" t="s">
        <v>153</v>
      </c>
      <c r="E2570" s="5" t="s">
        <v>33</v>
      </c>
      <c r="F2570" s="5">
        <v>5</v>
      </c>
      <c r="G2570" s="19">
        <v>0.15</v>
      </c>
      <c r="H2570" s="5" t="s">
        <v>637</v>
      </c>
      <c r="I2570" s="10">
        <f>IF(OR(D2570="", F2570=""), "", F2570 * VLOOKUP(D2570, Products!A:E, 5, FALSE) * (1 - G2570))</f>
        <v>6321.4925000000003</v>
      </c>
      <c r="J2570" s="10"/>
    </row>
    <row r="2571" spans="1:10" ht="15.75" customHeight="1" x14ac:dyDescent="0.3">
      <c r="A2571" s="5" t="s">
        <v>3438</v>
      </c>
      <c r="B2571" s="11">
        <v>45457</v>
      </c>
      <c r="C2571" s="5" t="s">
        <v>185</v>
      </c>
      <c r="D2571" s="5" t="s">
        <v>95</v>
      </c>
      <c r="E2571" s="5" t="s">
        <v>33</v>
      </c>
      <c r="F2571" s="5">
        <v>3</v>
      </c>
      <c r="G2571" s="19">
        <v>0</v>
      </c>
      <c r="H2571" s="5" t="s">
        <v>776</v>
      </c>
      <c r="I2571" s="10">
        <f>IF(OR(D2571="", F2571=""), "", F2571 * VLOOKUP(D2571, Products!A:E, 5, FALSE) * (1 - G2571))</f>
        <v>4028.25</v>
      </c>
      <c r="J2571" s="10"/>
    </row>
    <row r="2572" spans="1:10" ht="15.75" customHeight="1" x14ac:dyDescent="0.3">
      <c r="A2572" s="5" t="s">
        <v>3439</v>
      </c>
      <c r="B2572" s="11">
        <v>45508</v>
      </c>
      <c r="C2572" s="5" t="s">
        <v>586</v>
      </c>
      <c r="D2572" s="5" t="s">
        <v>269</v>
      </c>
      <c r="E2572" s="5" t="s">
        <v>33</v>
      </c>
      <c r="F2572" s="5">
        <v>1</v>
      </c>
      <c r="G2572" s="19">
        <v>0.1</v>
      </c>
      <c r="H2572" s="5" t="s">
        <v>637</v>
      </c>
      <c r="I2572" s="10">
        <f>IF(OR(D2572="", F2572=""), "", F2572 * VLOOKUP(D2572, Products!A:E, 5, FALSE) * (1 - G2572))</f>
        <v>1691.172</v>
      </c>
      <c r="J2572" s="10"/>
    </row>
    <row r="2573" spans="1:10" ht="15.75" customHeight="1" x14ac:dyDescent="0.3">
      <c r="A2573" s="5" t="s">
        <v>3440</v>
      </c>
      <c r="B2573" s="11">
        <v>45341</v>
      </c>
      <c r="C2573" s="5" t="s">
        <v>833</v>
      </c>
      <c r="D2573" s="5" t="s">
        <v>70</v>
      </c>
      <c r="E2573" s="5" t="s">
        <v>21</v>
      </c>
      <c r="F2573" s="5">
        <v>3</v>
      </c>
      <c r="G2573" s="19">
        <v>0.15</v>
      </c>
      <c r="H2573" s="5" t="s">
        <v>637</v>
      </c>
      <c r="I2573" s="10">
        <f>IF(OR(D2573="", F2573=""), "", F2573 * VLOOKUP(D2573, Products!A:E, 5, FALSE) * (1 - G2573))</f>
        <v>314.1345</v>
      </c>
      <c r="J2573" s="10"/>
    </row>
    <row r="2574" spans="1:10" ht="15.75" customHeight="1" x14ac:dyDescent="0.3">
      <c r="A2574" s="5" t="s">
        <v>3441</v>
      </c>
      <c r="B2574" s="11">
        <v>45661</v>
      </c>
      <c r="C2574" s="5" t="s">
        <v>575</v>
      </c>
      <c r="D2574" s="5" t="s">
        <v>70</v>
      </c>
      <c r="E2574" s="5" t="s">
        <v>21</v>
      </c>
      <c r="F2574" s="5">
        <v>1</v>
      </c>
      <c r="G2574" s="19">
        <v>0.05</v>
      </c>
      <c r="H2574" s="5" t="s">
        <v>454</v>
      </c>
      <c r="I2574" s="10">
        <f>IF(OR(D2574="", F2574=""), "", F2574 * VLOOKUP(D2574, Products!A:E, 5, FALSE) * (1 - G2574))</f>
        <v>117.03049999999999</v>
      </c>
      <c r="J2574" s="10"/>
    </row>
    <row r="2575" spans="1:10" ht="15.75" customHeight="1" x14ac:dyDescent="0.3">
      <c r="A2575" s="5" t="s">
        <v>3442</v>
      </c>
      <c r="B2575" s="11">
        <v>45730</v>
      </c>
      <c r="C2575" s="5" t="s">
        <v>862</v>
      </c>
      <c r="D2575" s="5" t="s">
        <v>54</v>
      </c>
      <c r="E2575" s="5" t="s">
        <v>37</v>
      </c>
      <c r="F2575" s="5">
        <v>1</v>
      </c>
      <c r="G2575" s="19">
        <v>0.05</v>
      </c>
      <c r="H2575" s="5" t="s">
        <v>454</v>
      </c>
      <c r="I2575" s="10">
        <f>IF(OR(D2575="", F2575=""), "", F2575 * VLOOKUP(D2575, Products!A:E, 5, FALSE) * (1 - G2575))</f>
        <v>1761.0815</v>
      </c>
      <c r="J2575" s="10"/>
    </row>
    <row r="2576" spans="1:10" ht="15.75" customHeight="1" x14ac:dyDescent="0.3">
      <c r="A2576" s="5" t="s">
        <v>3443</v>
      </c>
      <c r="B2576" s="11">
        <v>45818</v>
      </c>
      <c r="C2576" s="5" t="s">
        <v>560</v>
      </c>
      <c r="D2576" s="5" t="s">
        <v>89</v>
      </c>
      <c r="E2576" s="5" t="s">
        <v>29</v>
      </c>
      <c r="F2576" s="5">
        <v>2</v>
      </c>
      <c r="G2576" s="19">
        <v>0.05</v>
      </c>
      <c r="H2576" s="5" t="s">
        <v>637</v>
      </c>
      <c r="I2576" s="10">
        <f>IF(OR(D2576="", F2576=""), "", F2576 * VLOOKUP(D2576, Products!A:E, 5, FALSE) * (1 - G2576))</f>
        <v>2156.12</v>
      </c>
      <c r="J2576" s="10"/>
    </row>
    <row r="2577" spans="1:10" ht="15.75" customHeight="1" x14ac:dyDescent="0.3">
      <c r="A2577" s="5" t="s">
        <v>3444</v>
      </c>
      <c r="B2577" s="11">
        <v>45887</v>
      </c>
      <c r="C2577" s="5" t="s">
        <v>365</v>
      </c>
      <c r="D2577" s="5" t="s">
        <v>226</v>
      </c>
      <c r="E2577" s="5" t="s">
        <v>29</v>
      </c>
      <c r="F2577" s="5">
        <v>1</v>
      </c>
      <c r="G2577" s="19">
        <v>0.1</v>
      </c>
      <c r="H2577" s="5" t="s">
        <v>776</v>
      </c>
      <c r="I2577" s="10">
        <f>IF(OR(D2577="", F2577=""), "", F2577 * VLOOKUP(D2577, Products!A:E, 5, FALSE) * (1 - G2577))</f>
        <v>1351.3140000000001</v>
      </c>
      <c r="J2577" s="10"/>
    </row>
    <row r="2578" spans="1:10" ht="15.75" customHeight="1" x14ac:dyDescent="0.3">
      <c r="A2578" s="5" t="s">
        <v>3445</v>
      </c>
      <c r="B2578" s="11">
        <v>45478</v>
      </c>
      <c r="C2578" s="5" t="s">
        <v>604</v>
      </c>
      <c r="D2578" s="5" t="s">
        <v>188</v>
      </c>
      <c r="E2578" s="5" t="s">
        <v>33</v>
      </c>
      <c r="F2578" s="5">
        <v>2</v>
      </c>
      <c r="G2578" s="19">
        <v>0.1</v>
      </c>
      <c r="H2578" s="5" t="s">
        <v>454</v>
      </c>
      <c r="I2578" s="10">
        <f>IF(OR(D2578="", F2578=""), "", F2578 * VLOOKUP(D2578, Products!A:E, 5, FALSE) * (1 - G2578))</f>
        <v>2673.09</v>
      </c>
      <c r="J2578" s="10"/>
    </row>
    <row r="2579" spans="1:10" ht="15.75" customHeight="1" x14ac:dyDescent="0.3">
      <c r="A2579" s="5" t="s">
        <v>3446</v>
      </c>
      <c r="B2579" s="11">
        <v>45376</v>
      </c>
      <c r="C2579" s="5" t="s">
        <v>450</v>
      </c>
      <c r="D2579" s="5" t="s">
        <v>180</v>
      </c>
      <c r="E2579" s="5" t="s">
        <v>33</v>
      </c>
      <c r="F2579" s="5">
        <v>3</v>
      </c>
      <c r="G2579" s="19">
        <v>0.15</v>
      </c>
      <c r="H2579" s="5" t="s">
        <v>454</v>
      </c>
      <c r="I2579" s="10">
        <f>IF(OR(D2579="", F2579=""), "", F2579 * VLOOKUP(D2579, Products!A:E, 5, FALSE) * (1 - G2579))</f>
        <v>1718.1389999999999</v>
      </c>
      <c r="J2579" s="10"/>
    </row>
    <row r="2580" spans="1:10" ht="15.75" customHeight="1" x14ac:dyDescent="0.3">
      <c r="A2580" s="5" t="s">
        <v>3447</v>
      </c>
      <c r="B2580" s="11">
        <v>45578</v>
      </c>
      <c r="C2580" s="5" t="s">
        <v>703</v>
      </c>
      <c r="D2580" s="5" t="s">
        <v>47</v>
      </c>
      <c r="E2580" s="5" t="s">
        <v>29</v>
      </c>
      <c r="F2580" s="5">
        <v>5</v>
      </c>
      <c r="G2580" s="19">
        <v>0</v>
      </c>
      <c r="H2580" s="5" t="s">
        <v>697</v>
      </c>
      <c r="I2580" s="10">
        <f>IF(OR(D2580="", F2580=""), "", F2580 * VLOOKUP(D2580, Products!A:E, 5, FALSE) * (1 - G2580))</f>
        <v>4093.8</v>
      </c>
      <c r="J2580" s="10"/>
    </row>
    <row r="2581" spans="1:10" ht="15.75" customHeight="1" x14ac:dyDescent="0.3">
      <c r="A2581" s="5" t="s">
        <v>3448</v>
      </c>
      <c r="B2581" s="11">
        <v>45630</v>
      </c>
      <c r="C2581" s="5" t="s">
        <v>300</v>
      </c>
      <c r="D2581" s="5" t="s">
        <v>43</v>
      </c>
      <c r="E2581" s="5" t="s">
        <v>37</v>
      </c>
      <c r="F2581" s="5">
        <v>3</v>
      </c>
      <c r="G2581" s="19">
        <v>0</v>
      </c>
      <c r="H2581" s="5" t="s">
        <v>697</v>
      </c>
      <c r="I2581" s="10">
        <f>IF(OR(D2581="", F2581=""), "", F2581 * VLOOKUP(D2581, Products!A:E, 5, FALSE) * (1 - G2581))</f>
        <v>5021.07</v>
      </c>
      <c r="J2581" s="10"/>
    </row>
    <row r="2582" spans="1:10" ht="15.75" customHeight="1" x14ac:dyDescent="0.3">
      <c r="A2582" s="5" t="s">
        <v>3449</v>
      </c>
      <c r="B2582" s="11">
        <v>45702</v>
      </c>
      <c r="C2582" s="5" t="s">
        <v>522</v>
      </c>
      <c r="D2582" s="5" t="s">
        <v>226</v>
      </c>
      <c r="E2582" s="5" t="s">
        <v>37</v>
      </c>
      <c r="F2582" s="5">
        <v>3</v>
      </c>
      <c r="G2582" s="19">
        <v>0.1</v>
      </c>
      <c r="H2582" s="5" t="s">
        <v>454</v>
      </c>
      <c r="I2582" s="10">
        <f>IF(OR(D2582="", F2582=""), "", F2582 * VLOOKUP(D2582, Products!A:E, 5, FALSE) * (1 - G2582))</f>
        <v>4053.942</v>
      </c>
      <c r="J2582" s="10"/>
    </row>
    <row r="2583" spans="1:10" ht="15.75" customHeight="1" x14ac:dyDescent="0.3">
      <c r="A2583" s="5" t="s">
        <v>3450</v>
      </c>
      <c r="B2583" s="11">
        <v>45477</v>
      </c>
      <c r="C2583" s="5" t="s">
        <v>826</v>
      </c>
      <c r="D2583" s="5" t="s">
        <v>193</v>
      </c>
      <c r="E2583" s="5" t="s">
        <v>25</v>
      </c>
      <c r="F2583" s="5">
        <v>5</v>
      </c>
      <c r="G2583" s="19">
        <v>0.1</v>
      </c>
      <c r="H2583" s="5" t="s">
        <v>637</v>
      </c>
      <c r="I2583" s="10">
        <f>IF(OR(D2583="", F2583=""), "", F2583 * VLOOKUP(D2583, Products!A:E, 5, FALSE) * (1 - G2583))</f>
        <v>131.57999999999998</v>
      </c>
      <c r="J2583" s="10"/>
    </row>
    <row r="2584" spans="1:10" ht="15.75" customHeight="1" x14ac:dyDescent="0.3">
      <c r="A2584" s="5" t="s">
        <v>3451</v>
      </c>
      <c r="B2584" s="11">
        <v>45882</v>
      </c>
      <c r="C2584" s="5" t="s">
        <v>823</v>
      </c>
      <c r="D2584" s="5" t="s">
        <v>47</v>
      </c>
      <c r="E2584" s="5" t="s">
        <v>33</v>
      </c>
      <c r="F2584" s="5">
        <v>3</v>
      </c>
      <c r="G2584" s="19">
        <v>0.05</v>
      </c>
      <c r="H2584" s="5" t="s">
        <v>697</v>
      </c>
      <c r="I2584" s="10">
        <f>IF(OR(D2584="", F2584=""), "", F2584 * VLOOKUP(D2584, Products!A:E, 5, FALSE) * (1 - G2584))</f>
        <v>2333.4659999999994</v>
      </c>
      <c r="J2584" s="10"/>
    </row>
    <row r="2585" spans="1:10" ht="15.75" customHeight="1" x14ac:dyDescent="0.3">
      <c r="A2585" s="5" t="s">
        <v>3452</v>
      </c>
      <c r="B2585" s="11">
        <v>45569</v>
      </c>
      <c r="C2585" s="5" t="s">
        <v>300</v>
      </c>
      <c r="D2585" s="5" t="s">
        <v>180</v>
      </c>
      <c r="E2585" s="5" t="s">
        <v>37</v>
      </c>
      <c r="F2585" s="5">
        <v>3</v>
      </c>
      <c r="G2585" s="19">
        <v>0.15</v>
      </c>
      <c r="H2585" s="5" t="s">
        <v>454</v>
      </c>
      <c r="I2585" s="10">
        <f>IF(OR(D2585="", F2585=""), "", F2585 * VLOOKUP(D2585, Products!A:E, 5, FALSE) * (1 - G2585))</f>
        <v>1718.1389999999999</v>
      </c>
      <c r="J2585" s="10"/>
    </row>
    <row r="2586" spans="1:10" ht="15.75" customHeight="1" x14ac:dyDescent="0.3">
      <c r="A2586" s="5" t="s">
        <v>3453</v>
      </c>
      <c r="B2586" s="11">
        <v>45543</v>
      </c>
      <c r="C2586" s="5" t="s">
        <v>758</v>
      </c>
      <c r="D2586" s="5" t="s">
        <v>226</v>
      </c>
      <c r="E2586" s="5" t="s">
        <v>25</v>
      </c>
      <c r="F2586" s="5">
        <v>1</v>
      </c>
      <c r="G2586" s="19">
        <v>0.05</v>
      </c>
      <c r="H2586" s="5" t="s">
        <v>454</v>
      </c>
      <c r="I2586" s="10">
        <f>IF(OR(D2586="", F2586=""), "", F2586 * VLOOKUP(D2586, Products!A:E, 5, FALSE) * (1 - G2586))</f>
        <v>1426.3869999999999</v>
      </c>
      <c r="J2586" s="10"/>
    </row>
    <row r="2587" spans="1:10" ht="15.75" customHeight="1" x14ac:dyDescent="0.3">
      <c r="A2587" s="5" t="s">
        <v>3454</v>
      </c>
      <c r="B2587" s="11">
        <v>45244</v>
      </c>
      <c r="C2587" s="5" t="s">
        <v>300</v>
      </c>
      <c r="D2587" s="5" t="s">
        <v>267</v>
      </c>
      <c r="E2587" s="5" t="s">
        <v>37</v>
      </c>
      <c r="F2587" s="5">
        <v>1</v>
      </c>
      <c r="G2587" s="19">
        <v>0.1</v>
      </c>
      <c r="H2587" s="5" t="s">
        <v>454</v>
      </c>
      <c r="I2587" s="10">
        <f>IF(OR(D2587="", F2587=""), "", F2587 * VLOOKUP(D2587, Products!A:E, 5, FALSE) * (1 - G2587))</f>
        <v>1157.895</v>
      </c>
      <c r="J2587" s="10"/>
    </row>
    <row r="2588" spans="1:10" ht="15.75" customHeight="1" x14ac:dyDescent="0.3">
      <c r="A2588" s="5" t="s">
        <v>3455</v>
      </c>
      <c r="B2588" s="11">
        <v>45866</v>
      </c>
      <c r="C2588" s="5" t="s">
        <v>829</v>
      </c>
      <c r="D2588" s="5" t="s">
        <v>267</v>
      </c>
      <c r="E2588" s="5" t="s">
        <v>37</v>
      </c>
      <c r="F2588" s="5">
        <v>5</v>
      </c>
      <c r="G2588" s="19">
        <v>0.15</v>
      </c>
      <c r="H2588" s="5" t="s">
        <v>637</v>
      </c>
      <c r="I2588" s="10">
        <f>IF(OR(D2588="", F2588=""), "", F2588 * VLOOKUP(D2588, Products!A:E, 5, FALSE) * (1 - G2588))</f>
        <v>5467.8374999999996</v>
      </c>
      <c r="J2588" s="10"/>
    </row>
    <row r="2589" spans="1:10" ht="15.75" customHeight="1" x14ac:dyDescent="0.3">
      <c r="A2589" s="5" t="s">
        <v>3456</v>
      </c>
      <c r="B2589" s="11">
        <v>45288</v>
      </c>
      <c r="C2589" s="5" t="s">
        <v>744</v>
      </c>
      <c r="D2589" s="5" t="s">
        <v>153</v>
      </c>
      <c r="E2589" s="5" t="s">
        <v>25</v>
      </c>
      <c r="F2589" s="5">
        <v>3</v>
      </c>
      <c r="G2589" s="19">
        <v>0.05</v>
      </c>
      <c r="H2589" s="5" t="s">
        <v>454</v>
      </c>
      <c r="I2589" s="10">
        <f>IF(OR(D2589="", F2589=""), "", F2589 * VLOOKUP(D2589, Products!A:E, 5, FALSE) * (1 - G2589))</f>
        <v>4239.1185000000005</v>
      </c>
      <c r="J2589" s="10"/>
    </row>
    <row r="2590" spans="1:10" ht="15.75" customHeight="1" x14ac:dyDescent="0.3">
      <c r="A2590" s="5" t="s">
        <v>3457</v>
      </c>
      <c r="B2590" s="11">
        <v>45837</v>
      </c>
      <c r="C2590" s="5" t="s">
        <v>661</v>
      </c>
      <c r="D2590" s="5" t="s">
        <v>115</v>
      </c>
      <c r="E2590" s="5" t="s">
        <v>29</v>
      </c>
      <c r="F2590" s="5">
        <v>4</v>
      </c>
      <c r="G2590" s="19">
        <v>0.15</v>
      </c>
      <c r="H2590" s="5" t="s">
        <v>697</v>
      </c>
      <c r="I2590" s="10">
        <f>IF(OR(D2590="", F2590=""), "", F2590 * VLOOKUP(D2590, Products!A:E, 5, FALSE) * (1 - G2590))</f>
        <v>4236.7739999999994</v>
      </c>
      <c r="J2590" s="10"/>
    </row>
    <row r="2591" spans="1:10" ht="15.75" customHeight="1" x14ac:dyDescent="0.3">
      <c r="A2591" s="5" t="s">
        <v>3458</v>
      </c>
      <c r="B2591" s="11">
        <v>45243</v>
      </c>
      <c r="C2591" s="5" t="s">
        <v>665</v>
      </c>
      <c r="D2591" s="5" t="s">
        <v>291</v>
      </c>
      <c r="E2591" s="5" t="s">
        <v>33</v>
      </c>
      <c r="F2591" s="5">
        <v>2</v>
      </c>
      <c r="G2591" s="19">
        <v>0.15</v>
      </c>
      <c r="H2591" s="5" t="s">
        <v>637</v>
      </c>
      <c r="I2591" s="10">
        <f>IF(OR(D2591="", F2591=""), "", F2591 * VLOOKUP(D2591, Products!A:E, 5, FALSE) * (1 - G2591))</f>
        <v>1775.8880000000001</v>
      </c>
      <c r="J2591" s="10"/>
    </row>
    <row r="2592" spans="1:10" ht="15.75" customHeight="1" x14ac:dyDescent="0.3">
      <c r="A2592" s="5" t="s">
        <v>3459</v>
      </c>
      <c r="B2592" s="11">
        <v>45786</v>
      </c>
      <c r="C2592" s="5" t="s">
        <v>91</v>
      </c>
      <c r="D2592" s="5" t="s">
        <v>243</v>
      </c>
      <c r="E2592" s="5" t="s">
        <v>21</v>
      </c>
      <c r="F2592" s="5">
        <v>3</v>
      </c>
      <c r="G2592" s="19">
        <v>0.05</v>
      </c>
      <c r="H2592" s="5" t="s">
        <v>454</v>
      </c>
      <c r="I2592" s="10">
        <f>IF(OR(D2592="", F2592=""), "", F2592 * VLOOKUP(D2592, Products!A:E, 5, FALSE) * (1 - G2592))</f>
        <v>1541.6790000000001</v>
      </c>
      <c r="J2592" s="10"/>
    </row>
    <row r="2593" spans="1:10" ht="15.75" customHeight="1" x14ac:dyDescent="0.3">
      <c r="A2593" s="5" t="s">
        <v>3460</v>
      </c>
      <c r="B2593" s="11">
        <v>45333</v>
      </c>
      <c r="C2593" s="5" t="s">
        <v>361</v>
      </c>
      <c r="D2593" s="5" t="s">
        <v>61</v>
      </c>
      <c r="E2593" s="5" t="s">
        <v>25</v>
      </c>
      <c r="F2593" s="5">
        <v>2</v>
      </c>
      <c r="G2593" s="19">
        <v>0.1</v>
      </c>
      <c r="H2593" s="5" t="s">
        <v>776</v>
      </c>
      <c r="I2593" s="10">
        <f>IF(OR(D2593="", F2593=""), "", F2593 * VLOOKUP(D2593, Products!A:E, 5, FALSE) * (1 - G2593))</f>
        <v>572.49</v>
      </c>
      <c r="J2593" s="10"/>
    </row>
    <row r="2594" spans="1:10" ht="15.75" customHeight="1" x14ac:dyDescent="0.3">
      <c r="A2594" s="5" t="s">
        <v>3461</v>
      </c>
      <c r="B2594" s="11">
        <v>45524</v>
      </c>
      <c r="C2594" s="5" t="s">
        <v>770</v>
      </c>
      <c r="D2594" s="5" t="s">
        <v>221</v>
      </c>
      <c r="E2594" s="5" t="s">
        <v>25</v>
      </c>
      <c r="F2594" s="5">
        <v>3</v>
      </c>
      <c r="G2594" s="19">
        <v>0.15</v>
      </c>
      <c r="H2594" s="5" t="s">
        <v>637</v>
      </c>
      <c r="I2594" s="10">
        <f>IF(OR(D2594="", F2594=""), "", F2594 * VLOOKUP(D2594, Products!A:E, 5, FALSE) * (1 - G2594))</f>
        <v>3984.1965</v>
      </c>
      <c r="J2594" s="10"/>
    </row>
    <row r="2595" spans="1:10" ht="15.75" customHeight="1" x14ac:dyDescent="0.3">
      <c r="A2595" s="5" t="s">
        <v>3462</v>
      </c>
      <c r="B2595" s="11">
        <v>45438</v>
      </c>
      <c r="C2595" s="5" t="s">
        <v>703</v>
      </c>
      <c r="D2595" s="5" t="s">
        <v>82</v>
      </c>
      <c r="E2595" s="5" t="s">
        <v>21</v>
      </c>
      <c r="F2595" s="5">
        <v>5</v>
      </c>
      <c r="G2595" s="19">
        <v>0.05</v>
      </c>
      <c r="H2595" s="5" t="s">
        <v>697</v>
      </c>
      <c r="I2595" s="10">
        <f>IF(OR(D2595="", F2595=""), "", F2595 * VLOOKUP(D2595, Products!A:E, 5, FALSE) * (1 - G2595))</f>
        <v>5667.1774999999998</v>
      </c>
      <c r="J2595" s="10"/>
    </row>
    <row r="2596" spans="1:10" ht="15.75" customHeight="1" x14ac:dyDescent="0.3">
      <c r="A2596" s="5" t="s">
        <v>3463</v>
      </c>
      <c r="B2596" s="11">
        <v>45740</v>
      </c>
      <c r="C2596" s="5" t="s">
        <v>519</v>
      </c>
      <c r="D2596" s="5" t="s">
        <v>193</v>
      </c>
      <c r="E2596" s="5" t="s">
        <v>21</v>
      </c>
      <c r="F2596" s="5">
        <v>4</v>
      </c>
      <c r="G2596" s="19">
        <v>0</v>
      </c>
      <c r="H2596" s="5" t="s">
        <v>454</v>
      </c>
      <c r="I2596" s="10">
        <f>IF(OR(D2596="", F2596=""), "", F2596 * VLOOKUP(D2596, Products!A:E, 5, FALSE) * (1 - G2596))</f>
        <v>116.96</v>
      </c>
      <c r="J2596" s="10"/>
    </row>
    <row r="2597" spans="1:10" ht="15.75" customHeight="1" x14ac:dyDescent="0.3">
      <c r="A2597" s="5" t="s">
        <v>3464</v>
      </c>
      <c r="B2597" s="11">
        <v>45362</v>
      </c>
      <c r="C2597" s="5" t="s">
        <v>645</v>
      </c>
      <c r="D2597" s="5" t="s">
        <v>188</v>
      </c>
      <c r="E2597" s="5" t="s">
        <v>21</v>
      </c>
      <c r="F2597" s="5">
        <v>3</v>
      </c>
      <c r="G2597" s="19">
        <v>0</v>
      </c>
      <c r="H2597" s="5" t="s">
        <v>776</v>
      </c>
      <c r="I2597" s="10">
        <f>IF(OR(D2597="", F2597=""), "", F2597 * VLOOKUP(D2597, Products!A:E, 5, FALSE) * (1 - G2597))</f>
        <v>4455.1499999999996</v>
      </c>
      <c r="J2597" s="10"/>
    </row>
    <row r="2598" spans="1:10" ht="15.75" customHeight="1" x14ac:dyDescent="0.3">
      <c r="A2598" s="5" t="s">
        <v>3465</v>
      </c>
      <c r="B2598" s="11">
        <v>45882</v>
      </c>
      <c r="C2598" s="5" t="s">
        <v>593</v>
      </c>
      <c r="D2598" s="5" t="s">
        <v>61</v>
      </c>
      <c r="E2598" s="5" t="s">
        <v>37</v>
      </c>
      <c r="F2598" s="5">
        <v>5</v>
      </c>
      <c r="G2598" s="19">
        <v>0.05</v>
      </c>
      <c r="H2598" s="5" t="s">
        <v>697</v>
      </c>
      <c r="I2598" s="10">
        <f>IF(OR(D2598="", F2598=""), "", F2598 * VLOOKUP(D2598, Products!A:E, 5, FALSE) * (1 - G2598))</f>
        <v>1510.7375</v>
      </c>
      <c r="J2598" s="10"/>
    </row>
    <row r="2599" spans="1:10" ht="15.75" customHeight="1" x14ac:dyDescent="0.3">
      <c r="A2599" s="5" t="s">
        <v>3466</v>
      </c>
      <c r="B2599" s="11">
        <v>45894</v>
      </c>
      <c r="C2599" s="5" t="s">
        <v>412</v>
      </c>
      <c r="D2599" s="5" t="s">
        <v>193</v>
      </c>
      <c r="E2599" s="5" t="s">
        <v>25</v>
      </c>
      <c r="F2599" s="5">
        <v>2</v>
      </c>
      <c r="G2599" s="19">
        <v>0.05</v>
      </c>
      <c r="H2599" s="5" t="s">
        <v>637</v>
      </c>
      <c r="I2599" s="10">
        <f>IF(OR(D2599="", F2599=""), "", F2599 * VLOOKUP(D2599, Products!A:E, 5, FALSE) * (1 - G2599))</f>
        <v>55.555999999999997</v>
      </c>
      <c r="J2599" s="10"/>
    </row>
    <row r="2600" spans="1:10" ht="15.75" customHeight="1" x14ac:dyDescent="0.3">
      <c r="A2600" s="5" t="s">
        <v>3467</v>
      </c>
      <c r="B2600" s="11">
        <v>45794</v>
      </c>
      <c r="C2600" s="5" t="s">
        <v>334</v>
      </c>
      <c r="D2600" s="5" t="s">
        <v>217</v>
      </c>
      <c r="E2600" s="5" t="s">
        <v>21</v>
      </c>
      <c r="F2600" s="5">
        <v>5</v>
      </c>
      <c r="G2600" s="19">
        <v>0.1</v>
      </c>
      <c r="H2600" s="5" t="s">
        <v>454</v>
      </c>
      <c r="I2600" s="10">
        <f>IF(OR(D2600="", F2600=""), "", F2600 * VLOOKUP(D2600, Products!A:E, 5, FALSE) * (1 - G2600))</f>
        <v>1926.2250000000001</v>
      </c>
      <c r="J2600" s="10"/>
    </row>
    <row r="2601" spans="1:10" ht="15.75" customHeight="1" x14ac:dyDescent="0.3">
      <c r="A2601" s="5" t="s">
        <v>3468</v>
      </c>
      <c r="B2601" s="11">
        <v>45333</v>
      </c>
      <c r="C2601" s="5" t="s">
        <v>215</v>
      </c>
      <c r="D2601" s="5" t="s">
        <v>221</v>
      </c>
      <c r="E2601" s="5" t="s">
        <v>25</v>
      </c>
      <c r="F2601" s="5">
        <v>1</v>
      </c>
      <c r="G2601" s="19">
        <v>0.05</v>
      </c>
      <c r="H2601" s="5" t="s">
        <v>454</v>
      </c>
      <c r="I2601" s="10">
        <f>IF(OR(D2601="", F2601=""), "", F2601 * VLOOKUP(D2601, Products!A:E, 5, FALSE) * (1 - G2601))</f>
        <v>1484.3085000000001</v>
      </c>
      <c r="J2601" s="10"/>
    </row>
    <row r="2602" spans="1:10" ht="15.75" customHeight="1" x14ac:dyDescent="0.3">
      <c r="A2602" s="5" t="s">
        <v>3469</v>
      </c>
      <c r="B2602" s="11">
        <v>45851</v>
      </c>
      <c r="C2602" s="5" t="s">
        <v>171</v>
      </c>
      <c r="D2602" s="5" t="s">
        <v>180</v>
      </c>
      <c r="E2602" s="5" t="s">
        <v>25</v>
      </c>
      <c r="F2602" s="5">
        <v>2</v>
      </c>
      <c r="G2602" s="19">
        <v>0.05</v>
      </c>
      <c r="H2602" s="5" t="s">
        <v>637</v>
      </c>
      <c r="I2602" s="10">
        <f>IF(OR(D2602="", F2602=""), "", F2602 * VLOOKUP(D2602, Products!A:E, 5, FALSE) * (1 - G2602))</f>
        <v>1280.1819999999998</v>
      </c>
      <c r="J2602" s="10"/>
    </row>
    <row r="2603" spans="1:10" ht="15.75" customHeight="1" x14ac:dyDescent="0.3">
      <c r="A2603" s="5" t="s">
        <v>3470</v>
      </c>
      <c r="B2603" s="11">
        <v>45201</v>
      </c>
      <c r="C2603" s="5" t="s">
        <v>608</v>
      </c>
      <c r="D2603" s="5" t="s">
        <v>265</v>
      </c>
      <c r="E2603" s="5" t="s">
        <v>21</v>
      </c>
      <c r="F2603" s="5">
        <v>5</v>
      </c>
      <c r="G2603" s="19">
        <v>0</v>
      </c>
      <c r="H2603" s="5" t="s">
        <v>454</v>
      </c>
      <c r="I2603" s="10">
        <f>IF(OR(D2603="", F2603=""), "", F2603 * VLOOKUP(D2603, Products!A:E, 5, FALSE) * (1 - G2603))</f>
        <v>2822.1</v>
      </c>
      <c r="J2603" s="10"/>
    </row>
    <row r="2604" spans="1:10" ht="15.75" customHeight="1" x14ac:dyDescent="0.3">
      <c r="A2604" s="5" t="s">
        <v>3471</v>
      </c>
      <c r="B2604" s="11">
        <v>45739</v>
      </c>
      <c r="C2604" s="5" t="s">
        <v>755</v>
      </c>
      <c r="D2604" s="5" t="s">
        <v>206</v>
      </c>
      <c r="E2604" s="5" t="s">
        <v>21</v>
      </c>
      <c r="F2604" s="5">
        <v>2</v>
      </c>
      <c r="G2604" s="19">
        <v>0.15</v>
      </c>
      <c r="H2604" s="5" t="s">
        <v>776</v>
      </c>
      <c r="I2604" s="10">
        <f>IF(OR(D2604="", F2604=""), "", F2604 * VLOOKUP(D2604, Products!A:E, 5, FALSE) * (1 - G2604))</f>
        <v>518.00699999999995</v>
      </c>
      <c r="J2604" s="10"/>
    </row>
    <row r="2605" spans="1:10" ht="15.75" customHeight="1" x14ac:dyDescent="0.3">
      <c r="A2605" s="5" t="s">
        <v>3472</v>
      </c>
      <c r="B2605" s="11">
        <v>45306</v>
      </c>
      <c r="C2605" s="5" t="s">
        <v>590</v>
      </c>
      <c r="D2605" s="5" t="s">
        <v>57</v>
      </c>
      <c r="E2605" s="5" t="s">
        <v>21</v>
      </c>
      <c r="F2605" s="5">
        <v>4</v>
      </c>
      <c r="G2605" s="19">
        <v>0.05</v>
      </c>
      <c r="H2605" s="5" t="s">
        <v>776</v>
      </c>
      <c r="I2605" s="10">
        <f>IF(OR(D2605="", F2605=""), "", F2605 * VLOOKUP(D2605, Products!A:E, 5, FALSE) * (1 - G2605))</f>
        <v>5305.6359999999995</v>
      </c>
      <c r="J2605" s="10"/>
    </row>
    <row r="2606" spans="1:10" ht="15.75" customHeight="1" x14ac:dyDescent="0.3">
      <c r="A2606" s="5" t="s">
        <v>3473</v>
      </c>
      <c r="B2606" s="11">
        <v>45577</v>
      </c>
      <c r="C2606" s="5" t="s">
        <v>676</v>
      </c>
      <c r="D2606" s="5" t="s">
        <v>122</v>
      </c>
      <c r="E2606" s="5" t="s">
        <v>37</v>
      </c>
      <c r="F2606" s="5">
        <v>2</v>
      </c>
      <c r="G2606" s="19">
        <v>0.15</v>
      </c>
      <c r="H2606" s="5" t="s">
        <v>454</v>
      </c>
      <c r="I2606" s="10">
        <f>IF(OR(D2606="", F2606=""), "", F2606 * VLOOKUP(D2606, Products!A:E, 5, FALSE) * (1 - G2606))</f>
        <v>2996.9639999999999</v>
      </c>
      <c r="J2606" s="10"/>
    </row>
    <row r="2607" spans="1:10" ht="15.75" customHeight="1" x14ac:dyDescent="0.3">
      <c r="A2607" s="5" t="s">
        <v>3474</v>
      </c>
      <c r="B2607" s="11">
        <v>45487</v>
      </c>
      <c r="C2607" s="5" t="s">
        <v>703</v>
      </c>
      <c r="D2607" s="5" t="s">
        <v>249</v>
      </c>
      <c r="E2607" s="5" t="s">
        <v>21</v>
      </c>
      <c r="F2607" s="5">
        <v>5</v>
      </c>
      <c r="G2607" s="19">
        <v>0.15</v>
      </c>
      <c r="H2607" s="5" t="s">
        <v>776</v>
      </c>
      <c r="I2607" s="10">
        <f>IF(OR(D2607="", F2607=""), "", F2607 * VLOOKUP(D2607, Products!A:E, 5, FALSE) * (1 - G2607))</f>
        <v>7418.8424999999988</v>
      </c>
      <c r="J2607" s="10"/>
    </row>
    <row r="2608" spans="1:10" ht="15.75" customHeight="1" x14ac:dyDescent="0.3">
      <c r="A2608" s="5" t="s">
        <v>3475</v>
      </c>
      <c r="B2608" s="11">
        <v>45627</v>
      </c>
      <c r="C2608" s="5" t="s">
        <v>829</v>
      </c>
      <c r="D2608" s="5" t="s">
        <v>217</v>
      </c>
      <c r="E2608" s="5" t="s">
        <v>33</v>
      </c>
      <c r="F2608" s="5">
        <v>2</v>
      </c>
      <c r="G2608" s="19">
        <v>0.15</v>
      </c>
      <c r="H2608" s="5" t="s">
        <v>776</v>
      </c>
      <c r="I2608" s="10">
        <f>IF(OR(D2608="", F2608=""), "", F2608 * VLOOKUP(D2608, Products!A:E, 5, FALSE) * (1 - G2608))</f>
        <v>727.68499999999995</v>
      </c>
      <c r="J2608" s="10"/>
    </row>
    <row r="2609" spans="1:10" ht="15.75" customHeight="1" x14ac:dyDescent="0.3">
      <c r="A2609" s="5" t="s">
        <v>3476</v>
      </c>
      <c r="B2609" s="11">
        <v>45600</v>
      </c>
      <c r="C2609" s="5" t="s">
        <v>409</v>
      </c>
      <c r="D2609" s="5" t="s">
        <v>232</v>
      </c>
      <c r="E2609" s="5" t="s">
        <v>33</v>
      </c>
      <c r="F2609" s="5">
        <v>5</v>
      </c>
      <c r="G2609" s="19">
        <v>0.1</v>
      </c>
      <c r="H2609" s="5" t="s">
        <v>637</v>
      </c>
      <c r="I2609" s="10">
        <f>IF(OR(D2609="", F2609=""), "", F2609 * VLOOKUP(D2609, Products!A:E, 5, FALSE) * (1 - G2609))</f>
        <v>8786.9250000000011</v>
      </c>
      <c r="J2609" s="10"/>
    </row>
    <row r="2610" spans="1:10" ht="15.75" customHeight="1" x14ac:dyDescent="0.3">
      <c r="A2610" s="5" t="s">
        <v>3477</v>
      </c>
      <c r="B2610" s="11">
        <v>45273</v>
      </c>
      <c r="C2610" s="5" t="s">
        <v>752</v>
      </c>
      <c r="D2610" s="5" t="s">
        <v>285</v>
      </c>
      <c r="E2610" s="5" t="s">
        <v>25</v>
      </c>
      <c r="F2610" s="5">
        <v>3</v>
      </c>
      <c r="G2610" s="19">
        <v>0.15</v>
      </c>
      <c r="H2610" s="5" t="s">
        <v>454</v>
      </c>
      <c r="I2610" s="10">
        <f>IF(OR(D2610="", F2610=""), "", F2610 * VLOOKUP(D2610, Products!A:E, 5, FALSE) * (1 - G2610))</f>
        <v>990.06299999999999</v>
      </c>
      <c r="J2610" s="10"/>
    </row>
    <row r="2611" spans="1:10" ht="15.75" customHeight="1" x14ac:dyDescent="0.3">
      <c r="A2611" s="5" t="s">
        <v>3478</v>
      </c>
      <c r="B2611" s="11">
        <v>45696</v>
      </c>
      <c r="C2611" s="5" t="s">
        <v>766</v>
      </c>
      <c r="D2611" s="5" t="s">
        <v>206</v>
      </c>
      <c r="E2611" s="5" t="s">
        <v>29</v>
      </c>
      <c r="F2611" s="5">
        <v>3</v>
      </c>
      <c r="G2611" s="19">
        <v>0.05</v>
      </c>
      <c r="H2611" s="5" t="s">
        <v>454</v>
      </c>
      <c r="I2611" s="10">
        <f>IF(OR(D2611="", F2611=""), "", F2611 * VLOOKUP(D2611, Products!A:E, 5, FALSE) * (1 - G2611))</f>
        <v>868.42349999999988</v>
      </c>
      <c r="J2611" s="10"/>
    </row>
    <row r="2612" spans="1:10" ht="15.75" customHeight="1" x14ac:dyDescent="0.3">
      <c r="A2612" s="5" t="s">
        <v>3479</v>
      </c>
      <c r="B2612" s="11">
        <v>45297</v>
      </c>
      <c r="C2612" s="5" t="s">
        <v>433</v>
      </c>
      <c r="D2612" s="5" t="s">
        <v>243</v>
      </c>
      <c r="E2612" s="5" t="s">
        <v>37</v>
      </c>
      <c r="F2612" s="5">
        <v>5</v>
      </c>
      <c r="G2612" s="19">
        <v>0.1</v>
      </c>
      <c r="H2612" s="5" t="s">
        <v>637</v>
      </c>
      <c r="I2612" s="10">
        <f>IF(OR(D2612="", F2612=""), "", F2612 * VLOOKUP(D2612, Products!A:E, 5, FALSE) * (1 - G2612))</f>
        <v>2434.2300000000005</v>
      </c>
      <c r="J2612" s="10"/>
    </row>
    <row r="2613" spans="1:10" ht="15.75" customHeight="1" x14ac:dyDescent="0.3">
      <c r="A2613" s="5" t="s">
        <v>3480</v>
      </c>
      <c r="B2613" s="11">
        <v>45714</v>
      </c>
      <c r="C2613" s="5" t="s">
        <v>245</v>
      </c>
      <c r="D2613" s="5" t="s">
        <v>217</v>
      </c>
      <c r="E2613" s="5" t="s">
        <v>25</v>
      </c>
      <c r="F2613" s="5">
        <v>4</v>
      </c>
      <c r="G2613" s="19">
        <v>0</v>
      </c>
      <c r="H2613" s="5" t="s">
        <v>454</v>
      </c>
      <c r="I2613" s="10">
        <f>IF(OR(D2613="", F2613=""), "", F2613 * VLOOKUP(D2613, Products!A:E, 5, FALSE) * (1 - G2613))</f>
        <v>1712.2</v>
      </c>
      <c r="J2613" s="10"/>
    </row>
    <row r="2614" spans="1:10" ht="15.75" customHeight="1" x14ac:dyDescent="0.3">
      <c r="A2614" s="5" t="s">
        <v>3481</v>
      </c>
      <c r="B2614" s="11">
        <v>45417</v>
      </c>
      <c r="C2614" s="5" t="s">
        <v>649</v>
      </c>
      <c r="D2614" s="5" t="s">
        <v>47</v>
      </c>
      <c r="E2614" s="5" t="s">
        <v>33</v>
      </c>
      <c r="F2614" s="5">
        <v>4</v>
      </c>
      <c r="G2614" s="19">
        <v>0.05</v>
      </c>
      <c r="H2614" s="5" t="s">
        <v>697</v>
      </c>
      <c r="I2614" s="10">
        <f>IF(OR(D2614="", F2614=""), "", F2614 * VLOOKUP(D2614, Products!A:E, 5, FALSE) * (1 - G2614))</f>
        <v>3111.288</v>
      </c>
      <c r="J2614" s="10"/>
    </row>
    <row r="2615" spans="1:10" ht="15.75" customHeight="1" x14ac:dyDescent="0.3">
      <c r="A2615" s="5" t="s">
        <v>3482</v>
      </c>
      <c r="B2615" s="11">
        <v>45419</v>
      </c>
      <c r="C2615" s="5" t="s">
        <v>177</v>
      </c>
      <c r="D2615" s="5" t="s">
        <v>265</v>
      </c>
      <c r="E2615" s="5" t="s">
        <v>33</v>
      </c>
      <c r="F2615" s="5">
        <v>3</v>
      </c>
      <c r="G2615" s="19">
        <v>0</v>
      </c>
      <c r="H2615" s="5" t="s">
        <v>637</v>
      </c>
      <c r="I2615" s="10">
        <f>IF(OR(D2615="", F2615=""), "", F2615 * VLOOKUP(D2615, Products!A:E, 5, FALSE) * (1 - G2615))</f>
        <v>1693.2599999999998</v>
      </c>
      <c r="J2615" s="10"/>
    </row>
    <row r="2616" spans="1:10" ht="15.75" customHeight="1" x14ac:dyDescent="0.3">
      <c r="A2616" s="5" t="s">
        <v>3483</v>
      </c>
      <c r="B2616" s="11">
        <v>45519</v>
      </c>
      <c r="C2616" s="5" t="s">
        <v>495</v>
      </c>
      <c r="D2616" s="5" t="s">
        <v>77</v>
      </c>
      <c r="E2616" s="5" t="s">
        <v>37</v>
      </c>
      <c r="F2616" s="5">
        <v>2</v>
      </c>
      <c r="G2616" s="19">
        <v>0.05</v>
      </c>
      <c r="H2616" s="5" t="s">
        <v>776</v>
      </c>
      <c r="I2616" s="10">
        <f>IF(OR(D2616="", F2616=""), "", F2616 * VLOOKUP(D2616, Products!A:E, 5, FALSE) * (1 - G2616))</f>
        <v>472.28299999999996</v>
      </c>
      <c r="J2616" s="10"/>
    </row>
    <row r="2617" spans="1:10" ht="15.75" customHeight="1" x14ac:dyDescent="0.3">
      <c r="A2617" s="5" t="s">
        <v>3484</v>
      </c>
      <c r="B2617" s="11">
        <v>45648</v>
      </c>
      <c r="C2617" s="5" t="s">
        <v>865</v>
      </c>
      <c r="D2617" s="5" t="s">
        <v>291</v>
      </c>
      <c r="E2617" s="5" t="s">
        <v>25</v>
      </c>
      <c r="F2617" s="5">
        <v>2</v>
      </c>
      <c r="G2617" s="19">
        <v>0.1</v>
      </c>
      <c r="H2617" s="5" t="s">
        <v>454</v>
      </c>
      <c r="I2617" s="10">
        <f>IF(OR(D2617="", F2617=""), "", F2617 * VLOOKUP(D2617, Products!A:E, 5, FALSE) * (1 - G2617))</f>
        <v>1880.3520000000003</v>
      </c>
      <c r="J2617" s="10"/>
    </row>
    <row r="2618" spans="1:10" ht="15.75" customHeight="1" x14ac:dyDescent="0.3">
      <c r="A2618" s="5" t="s">
        <v>3485</v>
      </c>
      <c r="B2618" s="11">
        <v>45811</v>
      </c>
      <c r="C2618" s="5" t="s">
        <v>474</v>
      </c>
      <c r="D2618" s="5" t="s">
        <v>140</v>
      </c>
      <c r="E2618" s="5" t="s">
        <v>37</v>
      </c>
      <c r="F2618" s="5">
        <v>4</v>
      </c>
      <c r="G2618" s="19">
        <v>0</v>
      </c>
      <c r="H2618" s="5" t="s">
        <v>454</v>
      </c>
      <c r="I2618" s="10">
        <f>IF(OR(D2618="", F2618=""), "", F2618 * VLOOKUP(D2618, Products!A:E, 5, FALSE) * (1 - G2618))</f>
        <v>102.28</v>
      </c>
      <c r="J2618" s="10"/>
    </row>
    <row r="2619" spans="1:10" ht="15.75" customHeight="1" x14ac:dyDescent="0.3">
      <c r="A2619" s="5" t="s">
        <v>3486</v>
      </c>
      <c r="B2619" s="11">
        <v>45655</v>
      </c>
      <c r="C2619" s="5" t="s">
        <v>736</v>
      </c>
      <c r="D2619" s="5" t="s">
        <v>54</v>
      </c>
      <c r="E2619" s="5" t="s">
        <v>25</v>
      </c>
      <c r="F2619" s="5">
        <v>5</v>
      </c>
      <c r="G2619" s="19">
        <v>0.05</v>
      </c>
      <c r="H2619" s="5" t="s">
        <v>454</v>
      </c>
      <c r="I2619" s="10">
        <f>IF(OR(D2619="", F2619=""), "", F2619 * VLOOKUP(D2619, Products!A:E, 5, FALSE) * (1 - G2619))</f>
        <v>8805.4074999999993</v>
      </c>
      <c r="J2619" s="10"/>
    </row>
    <row r="2620" spans="1:10" ht="15.75" customHeight="1" x14ac:dyDescent="0.3">
      <c r="A2620" s="5" t="s">
        <v>3487</v>
      </c>
      <c r="B2620" s="11">
        <v>45191</v>
      </c>
      <c r="C2620" s="5" t="s">
        <v>312</v>
      </c>
      <c r="D2620" s="5" t="s">
        <v>95</v>
      </c>
      <c r="E2620" s="5" t="s">
        <v>25</v>
      </c>
      <c r="F2620" s="5">
        <v>4</v>
      </c>
      <c r="G2620" s="19">
        <v>0.05</v>
      </c>
      <c r="H2620" s="5" t="s">
        <v>697</v>
      </c>
      <c r="I2620" s="10">
        <f>IF(OR(D2620="", F2620=""), "", F2620 * VLOOKUP(D2620, Products!A:E, 5, FALSE) * (1 - G2620))</f>
        <v>5102.45</v>
      </c>
      <c r="J2620" s="10"/>
    </row>
    <row r="2621" spans="1:10" ht="15.75" customHeight="1" x14ac:dyDescent="0.3">
      <c r="A2621" s="5" t="s">
        <v>3488</v>
      </c>
      <c r="B2621" s="11">
        <v>45503</v>
      </c>
      <c r="C2621" s="5" t="s">
        <v>736</v>
      </c>
      <c r="D2621" s="5" t="s">
        <v>272</v>
      </c>
      <c r="E2621" s="5" t="s">
        <v>25</v>
      </c>
      <c r="F2621" s="5">
        <v>3</v>
      </c>
      <c r="G2621" s="19">
        <v>0.15</v>
      </c>
      <c r="H2621" s="5" t="s">
        <v>637</v>
      </c>
      <c r="I2621" s="10">
        <f>IF(OR(D2621="", F2621=""), "", F2621 * VLOOKUP(D2621, Products!A:E, 5, FALSE) * (1 - G2621))</f>
        <v>2971.6934999999999</v>
      </c>
      <c r="J2621" s="10"/>
    </row>
    <row r="2622" spans="1:10" ht="15.75" customHeight="1" x14ac:dyDescent="0.3">
      <c r="A2622" s="5" t="s">
        <v>3489</v>
      </c>
      <c r="B2622" s="11">
        <v>45906</v>
      </c>
      <c r="C2622" s="5" t="s">
        <v>878</v>
      </c>
      <c r="D2622" s="5" t="s">
        <v>269</v>
      </c>
      <c r="E2622" s="5" t="s">
        <v>29</v>
      </c>
      <c r="F2622" s="5">
        <v>2</v>
      </c>
      <c r="G2622" s="19">
        <v>0.1</v>
      </c>
      <c r="H2622" s="5" t="s">
        <v>637</v>
      </c>
      <c r="I2622" s="10">
        <f>IF(OR(D2622="", F2622=""), "", F2622 * VLOOKUP(D2622, Products!A:E, 5, FALSE) * (1 - G2622))</f>
        <v>3382.3440000000001</v>
      </c>
      <c r="J2622" s="10"/>
    </row>
    <row r="2623" spans="1:10" ht="15.75" customHeight="1" x14ac:dyDescent="0.3">
      <c r="A2623" s="5" t="s">
        <v>3490</v>
      </c>
      <c r="B2623" s="11">
        <v>45559</v>
      </c>
      <c r="C2623" s="5" t="s">
        <v>458</v>
      </c>
      <c r="D2623" s="5" t="s">
        <v>67</v>
      </c>
      <c r="E2623" s="5" t="s">
        <v>29</v>
      </c>
      <c r="F2623" s="5">
        <v>2</v>
      </c>
      <c r="G2623" s="19">
        <v>0.1</v>
      </c>
      <c r="H2623" s="5" t="s">
        <v>454</v>
      </c>
      <c r="I2623" s="10">
        <f>IF(OR(D2623="", F2623=""), "", F2623 * VLOOKUP(D2623, Products!A:E, 5, FALSE) * (1 - G2623))</f>
        <v>197.60400000000001</v>
      </c>
      <c r="J2623" s="10"/>
    </row>
    <row r="2624" spans="1:10" ht="15.75" customHeight="1" x14ac:dyDescent="0.3">
      <c r="A2624" s="5" t="s">
        <v>3491</v>
      </c>
      <c r="B2624" s="11">
        <v>45839</v>
      </c>
      <c r="C2624" s="5" t="s">
        <v>837</v>
      </c>
      <c r="D2624" s="5" t="s">
        <v>89</v>
      </c>
      <c r="E2624" s="5" t="s">
        <v>29</v>
      </c>
      <c r="F2624" s="5">
        <v>3</v>
      </c>
      <c r="G2624" s="19">
        <v>0.15</v>
      </c>
      <c r="H2624" s="5" t="s">
        <v>454</v>
      </c>
      <c r="I2624" s="10">
        <f>IF(OR(D2624="", F2624=""), "", F2624 * VLOOKUP(D2624, Products!A:E, 5, FALSE) * (1 - G2624))</f>
        <v>2893.74</v>
      </c>
      <c r="J2624" s="10"/>
    </row>
    <row r="2625" spans="1:10" ht="15.75" customHeight="1" x14ac:dyDescent="0.3">
      <c r="A2625" s="5" t="s">
        <v>3492</v>
      </c>
      <c r="B2625" s="11">
        <v>45884</v>
      </c>
      <c r="C2625" s="5" t="s">
        <v>571</v>
      </c>
      <c r="D2625" s="5" t="s">
        <v>193</v>
      </c>
      <c r="E2625" s="5" t="s">
        <v>37</v>
      </c>
      <c r="F2625" s="5">
        <v>4</v>
      </c>
      <c r="G2625" s="19">
        <v>0.15</v>
      </c>
      <c r="H2625" s="5" t="s">
        <v>776</v>
      </c>
      <c r="I2625" s="10">
        <f>IF(OR(D2625="", F2625=""), "", F2625 * VLOOKUP(D2625, Products!A:E, 5, FALSE) * (1 - G2625))</f>
        <v>99.415999999999997</v>
      </c>
      <c r="J2625" s="10"/>
    </row>
    <row r="2626" spans="1:10" ht="15.75" customHeight="1" x14ac:dyDescent="0.3">
      <c r="A2626" s="5" t="s">
        <v>3493</v>
      </c>
      <c r="B2626" s="11">
        <v>45440</v>
      </c>
      <c r="C2626" s="5" t="s">
        <v>865</v>
      </c>
      <c r="D2626" s="5" t="s">
        <v>57</v>
      </c>
      <c r="E2626" s="5" t="s">
        <v>33</v>
      </c>
      <c r="F2626" s="5">
        <v>1</v>
      </c>
      <c r="G2626" s="19">
        <v>0.15</v>
      </c>
      <c r="H2626" s="5" t="s">
        <v>454</v>
      </c>
      <c r="I2626" s="10">
        <f>IF(OR(D2626="", F2626=""), "", F2626 * VLOOKUP(D2626, Products!A:E, 5, FALSE) * (1 - G2626))</f>
        <v>1186.787</v>
      </c>
      <c r="J2626" s="10"/>
    </row>
    <row r="2627" spans="1:10" ht="15.75" customHeight="1" x14ac:dyDescent="0.3">
      <c r="A2627" s="5" t="s">
        <v>3494</v>
      </c>
      <c r="B2627" s="11">
        <v>45781</v>
      </c>
      <c r="C2627" s="5" t="s">
        <v>766</v>
      </c>
      <c r="D2627" s="5" t="s">
        <v>217</v>
      </c>
      <c r="E2627" s="5" t="s">
        <v>25</v>
      </c>
      <c r="F2627" s="5">
        <v>4</v>
      </c>
      <c r="G2627" s="19">
        <v>0.1</v>
      </c>
      <c r="H2627" s="5" t="s">
        <v>776</v>
      </c>
      <c r="I2627" s="10">
        <f>IF(OR(D2627="", F2627=""), "", F2627 * VLOOKUP(D2627, Products!A:E, 5, FALSE) * (1 - G2627))</f>
        <v>1540.98</v>
      </c>
      <c r="J2627" s="10"/>
    </row>
    <row r="2628" spans="1:10" ht="15.75" customHeight="1" x14ac:dyDescent="0.3">
      <c r="A2628" s="5" t="s">
        <v>3495</v>
      </c>
      <c r="B2628" s="11">
        <v>45535</v>
      </c>
      <c r="C2628" s="5" t="s">
        <v>815</v>
      </c>
      <c r="D2628" s="5" t="s">
        <v>272</v>
      </c>
      <c r="E2628" s="5" t="s">
        <v>25</v>
      </c>
      <c r="F2628" s="5">
        <v>2</v>
      </c>
      <c r="G2628" s="19">
        <v>0.1</v>
      </c>
      <c r="H2628" s="5" t="s">
        <v>454</v>
      </c>
      <c r="I2628" s="10">
        <f>IF(OR(D2628="", F2628=""), "", F2628 * VLOOKUP(D2628, Products!A:E, 5, FALSE) * (1 - G2628))</f>
        <v>2097.6659999999997</v>
      </c>
      <c r="J2628" s="10"/>
    </row>
    <row r="2629" spans="1:10" ht="15.75" customHeight="1" x14ac:dyDescent="0.3">
      <c r="A2629" s="5" t="s">
        <v>3496</v>
      </c>
      <c r="B2629" s="11">
        <v>45446</v>
      </c>
      <c r="C2629" s="5" t="s">
        <v>526</v>
      </c>
      <c r="D2629" s="5" t="s">
        <v>193</v>
      </c>
      <c r="E2629" s="5" t="s">
        <v>21</v>
      </c>
      <c r="F2629" s="5">
        <v>3</v>
      </c>
      <c r="G2629" s="19">
        <v>0.15</v>
      </c>
      <c r="H2629" s="5" t="s">
        <v>637</v>
      </c>
      <c r="I2629" s="10">
        <f>IF(OR(D2629="", F2629=""), "", F2629 * VLOOKUP(D2629, Products!A:E, 5, FALSE) * (1 - G2629))</f>
        <v>74.561999999999998</v>
      </c>
      <c r="J2629" s="10"/>
    </row>
    <row r="2630" spans="1:10" ht="15.75" customHeight="1" x14ac:dyDescent="0.3">
      <c r="A2630" s="5" t="s">
        <v>3497</v>
      </c>
      <c r="B2630" s="11">
        <v>45464</v>
      </c>
      <c r="C2630" s="5" t="s">
        <v>481</v>
      </c>
      <c r="D2630" s="5" t="s">
        <v>168</v>
      </c>
      <c r="E2630" s="5" t="s">
        <v>37</v>
      </c>
      <c r="F2630" s="5">
        <v>5</v>
      </c>
      <c r="G2630" s="19">
        <v>0.05</v>
      </c>
      <c r="H2630" s="5" t="s">
        <v>697</v>
      </c>
      <c r="I2630" s="10">
        <f>IF(OR(D2630="", F2630=""), "", F2630 * VLOOKUP(D2630, Products!A:E, 5, FALSE) * (1 - G2630))</f>
        <v>4824.8599999999997</v>
      </c>
      <c r="J2630" s="10"/>
    </row>
    <row r="2631" spans="1:10" ht="15.75" customHeight="1" x14ac:dyDescent="0.3">
      <c r="A2631" s="5" t="s">
        <v>3498</v>
      </c>
      <c r="B2631" s="11">
        <v>45707</v>
      </c>
      <c r="C2631" s="5" t="s">
        <v>744</v>
      </c>
      <c r="D2631" s="5" t="s">
        <v>232</v>
      </c>
      <c r="E2631" s="5" t="s">
        <v>37</v>
      </c>
      <c r="F2631" s="5">
        <v>4</v>
      </c>
      <c r="G2631" s="19">
        <v>0.1</v>
      </c>
      <c r="H2631" s="5" t="s">
        <v>776</v>
      </c>
      <c r="I2631" s="10">
        <f>IF(OR(D2631="", F2631=""), "", F2631 * VLOOKUP(D2631, Products!A:E, 5, FALSE) * (1 - G2631))</f>
        <v>7029.5400000000009</v>
      </c>
      <c r="J2631" s="10"/>
    </row>
    <row r="2632" spans="1:10" ht="15.75" customHeight="1" x14ac:dyDescent="0.3">
      <c r="A2632" s="5" t="s">
        <v>3499</v>
      </c>
      <c r="B2632" s="11">
        <v>45430</v>
      </c>
      <c r="C2632" s="5" t="s">
        <v>191</v>
      </c>
      <c r="D2632" s="5" t="s">
        <v>61</v>
      </c>
      <c r="E2632" s="5" t="s">
        <v>25</v>
      </c>
      <c r="F2632" s="5">
        <v>2</v>
      </c>
      <c r="G2632" s="19">
        <v>0.1</v>
      </c>
      <c r="H2632" s="5" t="s">
        <v>637</v>
      </c>
      <c r="I2632" s="10">
        <f>IF(OR(D2632="", F2632=""), "", F2632 * VLOOKUP(D2632, Products!A:E, 5, FALSE) * (1 - G2632))</f>
        <v>572.49</v>
      </c>
      <c r="J2632" s="10"/>
    </row>
    <row r="2633" spans="1:10" ht="15.75" customHeight="1" x14ac:dyDescent="0.3">
      <c r="A2633" s="5" t="s">
        <v>3500</v>
      </c>
      <c r="B2633" s="11">
        <v>45614</v>
      </c>
      <c r="C2633" s="5" t="s">
        <v>829</v>
      </c>
      <c r="D2633" s="5" t="s">
        <v>65</v>
      </c>
      <c r="E2633" s="5" t="s">
        <v>37</v>
      </c>
      <c r="F2633" s="5">
        <v>4</v>
      </c>
      <c r="G2633" s="19">
        <v>0</v>
      </c>
      <c r="H2633" s="5" t="s">
        <v>637</v>
      </c>
      <c r="I2633" s="10">
        <f>IF(OR(D2633="", F2633=""), "", F2633 * VLOOKUP(D2633, Products!A:E, 5, FALSE) * (1 - G2633))</f>
        <v>5896.48</v>
      </c>
      <c r="J2633" s="10"/>
    </row>
    <row r="2634" spans="1:10" ht="15.75" customHeight="1" x14ac:dyDescent="0.3">
      <c r="A2634" s="5" t="s">
        <v>3501</v>
      </c>
      <c r="B2634" s="11">
        <v>45581</v>
      </c>
      <c r="C2634" s="5" t="s">
        <v>802</v>
      </c>
      <c r="D2634" s="5" t="s">
        <v>70</v>
      </c>
      <c r="E2634" s="5" t="s">
        <v>33</v>
      </c>
      <c r="F2634" s="5">
        <v>2</v>
      </c>
      <c r="G2634" s="19">
        <v>0.1</v>
      </c>
      <c r="H2634" s="5" t="s">
        <v>637</v>
      </c>
      <c r="I2634" s="10">
        <f>IF(OR(D2634="", F2634=""), "", F2634 * VLOOKUP(D2634, Products!A:E, 5, FALSE) * (1 - G2634))</f>
        <v>221.74199999999999</v>
      </c>
      <c r="J2634" s="10"/>
    </row>
    <row r="2635" spans="1:10" ht="15.75" customHeight="1" x14ac:dyDescent="0.3">
      <c r="A2635" s="5" t="s">
        <v>3502</v>
      </c>
      <c r="B2635" s="11">
        <v>45255</v>
      </c>
      <c r="C2635" s="5" t="s">
        <v>171</v>
      </c>
      <c r="D2635" s="5" t="s">
        <v>175</v>
      </c>
      <c r="E2635" s="5" t="s">
        <v>21</v>
      </c>
      <c r="F2635" s="5">
        <v>1</v>
      </c>
      <c r="G2635" s="19">
        <v>0.1</v>
      </c>
      <c r="H2635" s="5" t="s">
        <v>454</v>
      </c>
      <c r="I2635" s="10">
        <f>IF(OR(D2635="", F2635=""), "", F2635 * VLOOKUP(D2635, Products!A:E, 5, FALSE) * (1 - G2635))</f>
        <v>1145.0070000000001</v>
      </c>
      <c r="J2635" s="10"/>
    </row>
    <row r="2636" spans="1:10" ht="15.75" customHeight="1" x14ac:dyDescent="0.3">
      <c r="A2636" s="5" t="s">
        <v>3503</v>
      </c>
      <c r="B2636" s="11">
        <v>45455</v>
      </c>
      <c r="C2636" s="5" t="s">
        <v>674</v>
      </c>
      <c r="D2636" s="5" t="s">
        <v>217</v>
      </c>
      <c r="E2636" s="5" t="s">
        <v>29</v>
      </c>
      <c r="F2636" s="5">
        <v>4</v>
      </c>
      <c r="G2636" s="19">
        <v>0.1</v>
      </c>
      <c r="H2636" s="5" t="s">
        <v>776</v>
      </c>
      <c r="I2636" s="10">
        <f>IF(OR(D2636="", F2636=""), "", F2636 * VLOOKUP(D2636, Products!A:E, 5, FALSE) * (1 - G2636))</f>
        <v>1540.98</v>
      </c>
      <c r="J2636" s="10"/>
    </row>
    <row r="2637" spans="1:10" ht="15.75" customHeight="1" x14ac:dyDescent="0.3">
      <c r="A2637" s="5" t="s">
        <v>3504</v>
      </c>
      <c r="B2637" s="11">
        <v>45204</v>
      </c>
      <c r="C2637" s="5" t="s">
        <v>615</v>
      </c>
      <c r="D2637" s="5" t="s">
        <v>217</v>
      </c>
      <c r="E2637" s="5" t="s">
        <v>25</v>
      </c>
      <c r="F2637" s="5">
        <v>1</v>
      </c>
      <c r="G2637" s="19">
        <v>0.1</v>
      </c>
      <c r="H2637" s="5" t="s">
        <v>637</v>
      </c>
      <c r="I2637" s="10">
        <f>IF(OR(D2637="", F2637=""), "", F2637 * VLOOKUP(D2637, Products!A:E, 5, FALSE) * (1 - G2637))</f>
        <v>385.245</v>
      </c>
      <c r="J2637" s="10"/>
    </row>
    <row r="2638" spans="1:10" ht="15.75" customHeight="1" x14ac:dyDescent="0.3">
      <c r="A2638" s="5" t="s">
        <v>3505</v>
      </c>
      <c r="B2638" s="11">
        <v>45390</v>
      </c>
      <c r="C2638" s="5" t="s">
        <v>304</v>
      </c>
      <c r="D2638" s="5" t="s">
        <v>175</v>
      </c>
      <c r="E2638" s="5" t="s">
        <v>25</v>
      </c>
      <c r="F2638" s="5">
        <v>5</v>
      </c>
      <c r="G2638" s="19">
        <v>0.1</v>
      </c>
      <c r="H2638" s="5" t="s">
        <v>697</v>
      </c>
      <c r="I2638" s="10">
        <f>IF(OR(D2638="", F2638=""), "", F2638 * VLOOKUP(D2638, Products!A:E, 5, FALSE) * (1 - G2638))</f>
        <v>5725.0349999999999</v>
      </c>
      <c r="J2638" s="10"/>
    </row>
    <row r="2639" spans="1:10" ht="15.75" customHeight="1" x14ac:dyDescent="0.3">
      <c r="A2639" s="5" t="s">
        <v>3506</v>
      </c>
      <c r="B2639" s="11">
        <v>45893</v>
      </c>
      <c r="C2639" s="5" t="s">
        <v>695</v>
      </c>
      <c r="D2639" s="5" t="s">
        <v>291</v>
      </c>
      <c r="E2639" s="5" t="s">
        <v>21</v>
      </c>
      <c r="F2639" s="5">
        <v>4</v>
      </c>
      <c r="G2639" s="19">
        <v>0.05</v>
      </c>
      <c r="H2639" s="5" t="s">
        <v>454</v>
      </c>
      <c r="I2639" s="10">
        <f>IF(OR(D2639="", F2639=""), "", F2639 * VLOOKUP(D2639, Products!A:E, 5, FALSE) * (1 - G2639))</f>
        <v>3969.6320000000001</v>
      </c>
      <c r="J2639" s="10"/>
    </row>
    <row r="2640" spans="1:10" ht="15.75" customHeight="1" x14ac:dyDescent="0.3">
      <c r="A2640" s="5" t="s">
        <v>3507</v>
      </c>
      <c r="B2640" s="11">
        <v>45574</v>
      </c>
      <c r="C2640" s="5" t="s">
        <v>705</v>
      </c>
      <c r="D2640" s="5" t="s">
        <v>95</v>
      </c>
      <c r="E2640" s="5" t="s">
        <v>37</v>
      </c>
      <c r="F2640" s="5">
        <v>3</v>
      </c>
      <c r="G2640" s="19">
        <v>0.1</v>
      </c>
      <c r="H2640" s="5" t="s">
        <v>776</v>
      </c>
      <c r="I2640" s="10">
        <f>IF(OR(D2640="", F2640=""), "", F2640 * VLOOKUP(D2640, Products!A:E, 5, FALSE) * (1 - G2640))</f>
        <v>3625.4250000000002</v>
      </c>
      <c r="J2640" s="10"/>
    </row>
    <row r="2641" spans="1:10" ht="15.75" customHeight="1" x14ac:dyDescent="0.3">
      <c r="A2641" s="5" t="s">
        <v>3508</v>
      </c>
      <c r="B2641" s="11">
        <v>45185</v>
      </c>
      <c r="C2641" s="5" t="s">
        <v>292</v>
      </c>
      <c r="D2641" s="5" t="s">
        <v>153</v>
      </c>
      <c r="E2641" s="5" t="s">
        <v>21</v>
      </c>
      <c r="F2641" s="5">
        <v>3</v>
      </c>
      <c r="G2641" s="19">
        <v>0.1</v>
      </c>
      <c r="H2641" s="5" t="s">
        <v>637</v>
      </c>
      <c r="I2641" s="10">
        <f>IF(OR(D2641="", F2641=""), "", F2641 * VLOOKUP(D2641, Products!A:E, 5, FALSE) * (1 - G2641))</f>
        <v>4016.0070000000005</v>
      </c>
      <c r="J2641" s="10"/>
    </row>
    <row r="2642" spans="1:10" ht="15.75" customHeight="1" x14ac:dyDescent="0.3">
      <c r="A2642" s="5" t="s">
        <v>3509</v>
      </c>
      <c r="B2642" s="11">
        <v>45731</v>
      </c>
      <c r="C2642" s="5" t="s">
        <v>854</v>
      </c>
      <c r="D2642" s="5" t="s">
        <v>67</v>
      </c>
      <c r="E2642" s="5" t="s">
        <v>25</v>
      </c>
      <c r="F2642" s="5">
        <v>2</v>
      </c>
      <c r="G2642" s="19">
        <v>0.1</v>
      </c>
      <c r="H2642" s="5" t="s">
        <v>637</v>
      </c>
      <c r="I2642" s="10">
        <f>IF(OR(D2642="", F2642=""), "", F2642 * VLOOKUP(D2642, Products!A:E, 5, FALSE) * (1 - G2642))</f>
        <v>197.60400000000001</v>
      </c>
      <c r="J2642" s="10"/>
    </row>
    <row r="2643" spans="1:10" ht="15.75" customHeight="1" x14ac:dyDescent="0.3">
      <c r="A2643" s="5" t="s">
        <v>3510</v>
      </c>
      <c r="B2643" s="11">
        <v>45622</v>
      </c>
      <c r="C2643" s="5" t="s">
        <v>387</v>
      </c>
      <c r="D2643" s="5" t="s">
        <v>119</v>
      </c>
      <c r="E2643" s="5" t="s">
        <v>33</v>
      </c>
      <c r="F2643" s="5">
        <v>3</v>
      </c>
      <c r="G2643" s="19">
        <v>0.1</v>
      </c>
      <c r="H2643" s="5" t="s">
        <v>697</v>
      </c>
      <c r="I2643" s="10">
        <f>IF(OR(D2643="", F2643=""), "", F2643 * VLOOKUP(D2643, Products!A:E, 5, FALSE) * (1 - G2643))</f>
        <v>2915.703</v>
      </c>
      <c r="J2643" s="10"/>
    </row>
    <row r="2644" spans="1:10" ht="15.75" customHeight="1" x14ac:dyDescent="0.3">
      <c r="A2644" s="5" t="s">
        <v>3511</v>
      </c>
      <c r="B2644" s="11">
        <v>45622</v>
      </c>
      <c r="C2644" s="5" t="s">
        <v>662</v>
      </c>
      <c r="D2644" s="5" t="s">
        <v>200</v>
      </c>
      <c r="E2644" s="5" t="s">
        <v>29</v>
      </c>
      <c r="F2644" s="5">
        <v>3</v>
      </c>
      <c r="G2644" s="19">
        <v>0</v>
      </c>
      <c r="H2644" s="5" t="s">
        <v>697</v>
      </c>
      <c r="I2644" s="10">
        <f>IF(OR(D2644="", F2644=""), "", F2644 * VLOOKUP(D2644, Products!A:E, 5, FALSE) * (1 - G2644))</f>
        <v>3287.16</v>
      </c>
      <c r="J2644" s="10"/>
    </row>
    <row r="2645" spans="1:10" ht="15.75" customHeight="1" x14ac:dyDescent="0.3">
      <c r="A2645" s="5" t="s">
        <v>3512</v>
      </c>
      <c r="B2645" s="11">
        <v>45408</v>
      </c>
      <c r="C2645" s="5" t="s">
        <v>255</v>
      </c>
      <c r="D2645" s="5" t="s">
        <v>276</v>
      </c>
      <c r="E2645" s="5" t="s">
        <v>33</v>
      </c>
      <c r="F2645" s="5">
        <v>4</v>
      </c>
      <c r="G2645" s="19">
        <v>0.15</v>
      </c>
      <c r="H2645" s="5" t="s">
        <v>637</v>
      </c>
      <c r="I2645" s="10">
        <f>IF(OR(D2645="", F2645=""), "", F2645 * VLOOKUP(D2645, Products!A:E, 5, FALSE) * (1 - G2645))</f>
        <v>4070.4120000000003</v>
      </c>
      <c r="J2645" s="10"/>
    </row>
    <row r="2646" spans="1:10" ht="15.75" customHeight="1" x14ac:dyDescent="0.3">
      <c r="A2646" s="5" t="s">
        <v>3513</v>
      </c>
      <c r="B2646" s="11">
        <v>45359</v>
      </c>
      <c r="C2646" s="5" t="s">
        <v>155</v>
      </c>
      <c r="D2646" s="5" t="s">
        <v>267</v>
      </c>
      <c r="E2646" s="5" t="s">
        <v>37</v>
      </c>
      <c r="F2646" s="5">
        <v>1</v>
      </c>
      <c r="G2646" s="19">
        <v>0.1</v>
      </c>
      <c r="H2646" s="5" t="s">
        <v>776</v>
      </c>
      <c r="I2646" s="10">
        <f>IF(OR(D2646="", F2646=""), "", F2646 * VLOOKUP(D2646, Products!A:E, 5, FALSE) * (1 - G2646))</f>
        <v>1157.895</v>
      </c>
      <c r="J2646" s="10"/>
    </row>
    <row r="2647" spans="1:10" ht="15.75" customHeight="1" x14ac:dyDescent="0.3">
      <c r="A2647" s="5" t="s">
        <v>3514</v>
      </c>
      <c r="B2647" s="11">
        <v>45301</v>
      </c>
      <c r="C2647" s="5" t="s">
        <v>699</v>
      </c>
      <c r="D2647" s="5" t="s">
        <v>262</v>
      </c>
      <c r="E2647" s="5" t="s">
        <v>33</v>
      </c>
      <c r="F2647" s="5">
        <v>1</v>
      </c>
      <c r="G2647" s="19">
        <v>0.1</v>
      </c>
      <c r="H2647" s="5" t="s">
        <v>637</v>
      </c>
      <c r="I2647" s="10">
        <f>IF(OR(D2647="", F2647=""), "", F2647 * VLOOKUP(D2647, Products!A:E, 5, FALSE) * (1 - G2647))</f>
        <v>408.25800000000004</v>
      </c>
      <c r="J2647" s="10"/>
    </row>
    <row r="2648" spans="1:10" ht="15.75" customHeight="1" x14ac:dyDescent="0.3">
      <c r="A2648" s="5" t="s">
        <v>3515</v>
      </c>
      <c r="B2648" s="11">
        <v>45841</v>
      </c>
      <c r="C2648" s="5" t="s">
        <v>440</v>
      </c>
      <c r="D2648" s="5" t="s">
        <v>188</v>
      </c>
      <c r="E2648" s="5" t="s">
        <v>37</v>
      </c>
      <c r="F2648" s="5">
        <v>3</v>
      </c>
      <c r="G2648" s="19">
        <v>0</v>
      </c>
      <c r="H2648" s="5" t="s">
        <v>776</v>
      </c>
      <c r="I2648" s="10">
        <f>IF(OR(D2648="", F2648=""), "", F2648 * VLOOKUP(D2648, Products!A:E, 5, FALSE) * (1 - G2648))</f>
        <v>4455.1499999999996</v>
      </c>
      <c r="J2648" s="10"/>
    </row>
    <row r="2649" spans="1:10" ht="15.75" customHeight="1" x14ac:dyDescent="0.3">
      <c r="A2649" s="5" t="s">
        <v>3516</v>
      </c>
      <c r="B2649" s="11">
        <v>45867</v>
      </c>
      <c r="C2649" s="5" t="s">
        <v>699</v>
      </c>
      <c r="D2649" s="5" t="s">
        <v>147</v>
      </c>
      <c r="E2649" s="5" t="s">
        <v>21</v>
      </c>
      <c r="F2649" s="5">
        <v>5</v>
      </c>
      <c r="G2649" s="19">
        <v>0</v>
      </c>
      <c r="H2649" s="5" t="s">
        <v>697</v>
      </c>
      <c r="I2649" s="10">
        <f>IF(OR(D2649="", F2649=""), "", F2649 * VLOOKUP(D2649, Products!A:E, 5, FALSE) * (1 - G2649))</f>
        <v>9392.35</v>
      </c>
      <c r="J2649" s="10"/>
    </row>
    <row r="2650" spans="1:10" ht="15.75" customHeight="1" x14ac:dyDescent="0.3">
      <c r="A2650" s="5" t="s">
        <v>3517</v>
      </c>
      <c r="B2650" s="11">
        <v>45735</v>
      </c>
      <c r="C2650" s="5" t="s">
        <v>652</v>
      </c>
      <c r="D2650" s="5" t="s">
        <v>82</v>
      </c>
      <c r="E2650" s="5" t="s">
        <v>21</v>
      </c>
      <c r="F2650" s="5">
        <v>5</v>
      </c>
      <c r="G2650" s="19">
        <v>0.15</v>
      </c>
      <c r="H2650" s="5" t="s">
        <v>697</v>
      </c>
      <c r="I2650" s="10">
        <f>IF(OR(D2650="", F2650=""), "", F2650 * VLOOKUP(D2650, Products!A:E, 5, FALSE) * (1 - G2650))</f>
        <v>5070.6324999999997</v>
      </c>
      <c r="J2650" s="10"/>
    </row>
    <row r="2651" spans="1:10" ht="15.75" customHeight="1" x14ac:dyDescent="0.3">
      <c r="A2651" s="5" t="s">
        <v>3518</v>
      </c>
      <c r="B2651" s="11">
        <v>45209</v>
      </c>
      <c r="C2651" s="5" t="s">
        <v>799</v>
      </c>
      <c r="D2651" s="5" t="s">
        <v>221</v>
      </c>
      <c r="E2651" s="5" t="s">
        <v>21</v>
      </c>
      <c r="F2651" s="5">
        <v>4</v>
      </c>
      <c r="G2651" s="19">
        <v>0.1</v>
      </c>
      <c r="H2651" s="5" t="s">
        <v>637</v>
      </c>
      <c r="I2651" s="10">
        <f>IF(OR(D2651="", F2651=""), "", F2651 * VLOOKUP(D2651, Products!A:E, 5, FALSE) * (1 - G2651))</f>
        <v>5624.7480000000005</v>
      </c>
      <c r="J2651" s="10"/>
    </row>
    <row r="2652" spans="1:10" ht="15.75" customHeight="1" x14ac:dyDescent="0.3">
      <c r="A2652" s="5" t="s">
        <v>3519</v>
      </c>
      <c r="B2652" s="11">
        <v>45826</v>
      </c>
      <c r="C2652" s="5" t="s">
        <v>597</v>
      </c>
      <c r="D2652" s="5" t="s">
        <v>232</v>
      </c>
      <c r="E2652" s="5" t="s">
        <v>25</v>
      </c>
      <c r="F2652" s="5">
        <v>3</v>
      </c>
      <c r="G2652" s="19">
        <v>0</v>
      </c>
      <c r="H2652" s="5" t="s">
        <v>697</v>
      </c>
      <c r="I2652" s="10">
        <f>IF(OR(D2652="", F2652=""), "", F2652 * VLOOKUP(D2652, Products!A:E, 5, FALSE) * (1 - G2652))</f>
        <v>5857.9500000000007</v>
      </c>
      <c r="J2652" s="10"/>
    </row>
    <row r="2653" spans="1:10" ht="15.75" customHeight="1" x14ac:dyDescent="0.3">
      <c r="A2653" s="5" t="s">
        <v>3520</v>
      </c>
      <c r="B2653" s="11">
        <v>45427</v>
      </c>
      <c r="C2653" s="5" t="s">
        <v>766</v>
      </c>
      <c r="D2653" s="5" t="s">
        <v>269</v>
      </c>
      <c r="E2653" s="5" t="s">
        <v>37</v>
      </c>
      <c r="F2653" s="5">
        <v>3</v>
      </c>
      <c r="G2653" s="19">
        <v>0.15</v>
      </c>
      <c r="H2653" s="5" t="s">
        <v>637</v>
      </c>
      <c r="I2653" s="10">
        <f>IF(OR(D2653="", F2653=""), "", F2653 * VLOOKUP(D2653, Products!A:E, 5, FALSE) * (1 - G2653))</f>
        <v>4791.6539999999995</v>
      </c>
      <c r="J2653" s="10"/>
    </row>
    <row r="2654" spans="1:10" ht="15.75" customHeight="1" x14ac:dyDescent="0.3">
      <c r="A2654" s="5" t="s">
        <v>3521</v>
      </c>
      <c r="B2654" s="11">
        <v>45285</v>
      </c>
      <c r="C2654" s="5" t="s">
        <v>106</v>
      </c>
      <c r="D2654" s="5" t="s">
        <v>134</v>
      </c>
      <c r="E2654" s="5" t="s">
        <v>33</v>
      </c>
      <c r="F2654" s="5">
        <v>5</v>
      </c>
      <c r="G2654" s="19">
        <v>0.1</v>
      </c>
      <c r="H2654" s="5" t="s">
        <v>776</v>
      </c>
      <c r="I2654" s="10">
        <f>IF(OR(D2654="", F2654=""), "", F2654 * VLOOKUP(D2654, Products!A:E, 5, FALSE) * (1 - G2654))</f>
        <v>5522.58</v>
      </c>
      <c r="J2654" s="10"/>
    </row>
    <row r="2655" spans="1:10" ht="15.75" customHeight="1" x14ac:dyDescent="0.3">
      <c r="A2655" s="5" t="s">
        <v>3522</v>
      </c>
      <c r="B2655" s="11">
        <v>45434</v>
      </c>
      <c r="C2655" s="5" t="s">
        <v>402</v>
      </c>
      <c r="D2655" s="5" t="s">
        <v>256</v>
      </c>
      <c r="E2655" s="5" t="s">
        <v>33</v>
      </c>
      <c r="F2655" s="5">
        <v>1</v>
      </c>
      <c r="G2655" s="19">
        <v>0</v>
      </c>
      <c r="H2655" s="5" t="s">
        <v>697</v>
      </c>
      <c r="I2655" s="10">
        <f>IF(OR(D2655="", F2655=""), "", F2655 * VLOOKUP(D2655, Products!A:E, 5, FALSE) * (1 - G2655))</f>
        <v>1635.01</v>
      </c>
      <c r="J2655" s="10"/>
    </row>
    <row r="2656" spans="1:10" ht="15.75" customHeight="1" x14ac:dyDescent="0.3">
      <c r="A2656" s="5" t="s">
        <v>3523</v>
      </c>
      <c r="B2656" s="11">
        <v>45656</v>
      </c>
      <c r="C2656" s="5" t="s">
        <v>477</v>
      </c>
      <c r="D2656" s="5" t="s">
        <v>61</v>
      </c>
      <c r="E2656" s="5" t="s">
        <v>33</v>
      </c>
      <c r="F2656" s="5">
        <v>2</v>
      </c>
      <c r="G2656" s="19">
        <v>0.1</v>
      </c>
      <c r="H2656" s="5" t="s">
        <v>697</v>
      </c>
      <c r="I2656" s="10">
        <f>IF(OR(D2656="", F2656=""), "", F2656 * VLOOKUP(D2656, Products!A:E, 5, FALSE) * (1 - G2656))</f>
        <v>572.49</v>
      </c>
      <c r="J2656" s="10"/>
    </row>
    <row r="2657" spans="1:10" ht="15.75" customHeight="1" x14ac:dyDescent="0.3">
      <c r="A2657" s="5" t="s">
        <v>3524</v>
      </c>
      <c r="B2657" s="11">
        <v>45872</v>
      </c>
      <c r="C2657" s="5" t="s">
        <v>715</v>
      </c>
      <c r="D2657" s="5" t="s">
        <v>206</v>
      </c>
      <c r="E2657" s="5" t="s">
        <v>29</v>
      </c>
      <c r="F2657" s="5">
        <v>5</v>
      </c>
      <c r="G2657" s="19">
        <v>0.15</v>
      </c>
      <c r="H2657" s="5" t="s">
        <v>697</v>
      </c>
      <c r="I2657" s="10">
        <f>IF(OR(D2657="", F2657=""), "", F2657 * VLOOKUP(D2657, Products!A:E, 5, FALSE) * (1 - G2657))</f>
        <v>1295.0174999999999</v>
      </c>
      <c r="J2657" s="10"/>
    </row>
    <row r="2658" spans="1:10" ht="15.75" customHeight="1" x14ac:dyDescent="0.3">
      <c r="A2658" s="5" t="s">
        <v>3525</v>
      </c>
      <c r="B2658" s="11">
        <v>45730</v>
      </c>
      <c r="C2658" s="5" t="s">
        <v>872</v>
      </c>
      <c r="D2658" s="5" t="s">
        <v>89</v>
      </c>
      <c r="E2658" s="5" t="s">
        <v>37</v>
      </c>
      <c r="F2658" s="5">
        <v>3</v>
      </c>
      <c r="G2658" s="19">
        <v>0.05</v>
      </c>
      <c r="H2658" s="5" t="s">
        <v>697</v>
      </c>
      <c r="I2658" s="10">
        <f>IF(OR(D2658="", F2658=""), "", F2658 * VLOOKUP(D2658, Products!A:E, 5, FALSE) * (1 - G2658))</f>
        <v>3234.1799999999994</v>
      </c>
      <c r="J2658" s="10"/>
    </row>
    <row r="2659" spans="1:10" ht="15.75" customHeight="1" x14ac:dyDescent="0.3">
      <c r="A2659" s="5" t="s">
        <v>3526</v>
      </c>
      <c r="B2659" s="11">
        <v>45826</v>
      </c>
      <c r="C2659" s="5" t="s">
        <v>872</v>
      </c>
      <c r="D2659" s="5" t="s">
        <v>280</v>
      </c>
      <c r="E2659" s="5" t="s">
        <v>25</v>
      </c>
      <c r="F2659" s="5">
        <v>2</v>
      </c>
      <c r="G2659" s="19">
        <v>0.1</v>
      </c>
      <c r="H2659" s="5" t="s">
        <v>697</v>
      </c>
      <c r="I2659" s="10">
        <f>IF(OR(D2659="", F2659=""), "", F2659 * VLOOKUP(D2659, Products!A:E, 5, FALSE) * (1 - G2659))</f>
        <v>2189.4479999999999</v>
      </c>
      <c r="J2659" s="10"/>
    </row>
    <row r="2660" spans="1:10" ht="15.75" customHeight="1" x14ac:dyDescent="0.3">
      <c r="A2660" s="5" t="s">
        <v>3527</v>
      </c>
      <c r="B2660" s="11">
        <v>45401</v>
      </c>
      <c r="C2660" s="5" t="s">
        <v>229</v>
      </c>
      <c r="D2660" s="5" t="s">
        <v>232</v>
      </c>
      <c r="E2660" s="5" t="s">
        <v>21</v>
      </c>
      <c r="F2660" s="5">
        <v>5</v>
      </c>
      <c r="G2660" s="19">
        <v>0</v>
      </c>
      <c r="H2660" s="5" t="s">
        <v>697</v>
      </c>
      <c r="I2660" s="10">
        <f>IF(OR(D2660="", F2660=""), "", F2660 * VLOOKUP(D2660, Products!A:E, 5, FALSE) * (1 - G2660))</f>
        <v>9763.25</v>
      </c>
      <c r="J2660" s="10"/>
    </row>
    <row r="2661" spans="1:10" ht="15.75" customHeight="1" x14ac:dyDescent="0.3">
      <c r="A2661" s="5" t="s">
        <v>3528</v>
      </c>
      <c r="B2661" s="11">
        <v>45770</v>
      </c>
      <c r="C2661" s="5" t="s">
        <v>676</v>
      </c>
      <c r="D2661" s="5" t="s">
        <v>122</v>
      </c>
      <c r="E2661" s="5" t="s">
        <v>29</v>
      </c>
      <c r="F2661" s="5">
        <v>1</v>
      </c>
      <c r="G2661" s="19">
        <v>0.1</v>
      </c>
      <c r="H2661" s="5" t="s">
        <v>454</v>
      </c>
      <c r="I2661" s="10">
        <f>IF(OR(D2661="", F2661=""), "", F2661 * VLOOKUP(D2661, Products!A:E, 5, FALSE) * (1 - G2661))</f>
        <v>1586.6280000000002</v>
      </c>
      <c r="J2661" s="10"/>
    </row>
    <row r="2662" spans="1:10" ht="15.75" customHeight="1" x14ac:dyDescent="0.3">
      <c r="A2662" s="5" t="s">
        <v>3529</v>
      </c>
      <c r="B2662" s="11">
        <v>45410</v>
      </c>
      <c r="C2662" s="5" t="s">
        <v>387</v>
      </c>
      <c r="D2662" s="5" t="s">
        <v>77</v>
      </c>
      <c r="E2662" s="5" t="s">
        <v>25</v>
      </c>
      <c r="F2662" s="5">
        <v>2</v>
      </c>
      <c r="G2662" s="19">
        <v>0.1</v>
      </c>
      <c r="H2662" s="5" t="s">
        <v>697</v>
      </c>
      <c r="I2662" s="10">
        <f>IF(OR(D2662="", F2662=""), "", F2662 * VLOOKUP(D2662, Products!A:E, 5, FALSE) * (1 - G2662))</f>
        <v>447.42599999999999</v>
      </c>
      <c r="J2662" s="10"/>
    </row>
    <row r="2663" spans="1:10" ht="15.75" customHeight="1" x14ac:dyDescent="0.3">
      <c r="A2663" s="5" t="s">
        <v>3530</v>
      </c>
      <c r="B2663" s="11">
        <v>45294</v>
      </c>
      <c r="C2663" s="5" t="s">
        <v>571</v>
      </c>
      <c r="D2663" s="5" t="s">
        <v>232</v>
      </c>
      <c r="E2663" s="5" t="s">
        <v>29</v>
      </c>
      <c r="F2663" s="5">
        <v>2</v>
      </c>
      <c r="G2663" s="19">
        <v>0.05</v>
      </c>
      <c r="H2663" s="5" t="s">
        <v>454</v>
      </c>
      <c r="I2663" s="10">
        <f>IF(OR(D2663="", F2663=""), "", F2663 * VLOOKUP(D2663, Products!A:E, 5, FALSE) * (1 - G2663))</f>
        <v>3710.0349999999999</v>
      </c>
      <c r="J2663" s="10"/>
    </row>
    <row r="2664" spans="1:10" ht="15.75" customHeight="1" x14ac:dyDescent="0.3">
      <c r="A2664" s="5" t="s">
        <v>3531</v>
      </c>
      <c r="B2664" s="11">
        <v>45825</v>
      </c>
      <c r="C2664" s="5" t="s">
        <v>113</v>
      </c>
      <c r="D2664" s="5" t="s">
        <v>272</v>
      </c>
      <c r="E2664" s="5" t="s">
        <v>25</v>
      </c>
      <c r="F2664" s="5">
        <v>4</v>
      </c>
      <c r="G2664" s="19">
        <v>0</v>
      </c>
      <c r="H2664" s="5" t="s">
        <v>637</v>
      </c>
      <c r="I2664" s="10">
        <f>IF(OR(D2664="", F2664=""), "", F2664 * VLOOKUP(D2664, Products!A:E, 5, FALSE) * (1 - G2664))</f>
        <v>4661.4799999999996</v>
      </c>
      <c r="J2664" s="10"/>
    </row>
    <row r="2665" spans="1:10" ht="15.75" customHeight="1" x14ac:dyDescent="0.3">
      <c r="A2665" s="5" t="s">
        <v>3532</v>
      </c>
      <c r="B2665" s="11">
        <v>45611</v>
      </c>
      <c r="C2665" s="5" t="s">
        <v>113</v>
      </c>
      <c r="D2665" s="5" t="s">
        <v>272</v>
      </c>
      <c r="E2665" s="5" t="s">
        <v>33</v>
      </c>
      <c r="F2665" s="5">
        <v>2</v>
      </c>
      <c r="G2665" s="19">
        <v>0.15</v>
      </c>
      <c r="H2665" s="5" t="s">
        <v>776</v>
      </c>
      <c r="I2665" s="10">
        <f>IF(OR(D2665="", F2665=""), "", F2665 * VLOOKUP(D2665, Products!A:E, 5, FALSE) * (1 - G2665))</f>
        <v>1981.1289999999997</v>
      </c>
      <c r="J2665" s="10"/>
    </row>
    <row r="2666" spans="1:10" ht="15.75" customHeight="1" x14ac:dyDescent="0.3">
      <c r="A2666" s="5" t="s">
        <v>3533</v>
      </c>
      <c r="B2666" s="11">
        <v>45792</v>
      </c>
      <c r="C2666" s="5" t="s">
        <v>593</v>
      </c>
      <c r="D2666" s="5" t="s">
        <v>67</v>
      </c>
      <c r="E2666" s="5" t="s">
        <v>33</v>
      </c>
      <c r="F2666" s="5">
        <v>4</v>
      </c>
      <c r="G2666" s="19">
        <v>0.05</v>
      </c>
      <c r="H2666" s="5" t="s">
        <v>697</v>
      </c>
      <c r="I2666" s="10">
        <f>IF(OR(D2666="", F2666=""), "", F2666 * VLOOKUP(D2666, Products!A:E, 5, FALSE) * (1 - G2666))</f>
        <v>417.16399999999999</v>
      </c>
      <c r="J2666" s="10"/>
    </row>
    <row r="2667" spans="1:10" ht="15.75" customHeight="1" x14ac:dyDescent="0.3">
      <c r="A2667" s="5" t="s">
        <v>3534</v>
      </c>
      <c r="B2667" s="11">
        <v>45320</v>
      </c>
      <c r="C2667" s="5" t="s">
        <v>872</v>
      </c>
      <c r="D2667" s="5" t="s">
        <v>285</v>
      </c>
      <c r="E2667" s="5" t="s">
        <v>33</v>
      </c>
      <c r="F2667" s="5">
        <v>5</v>
      </c>
      <c r="G2667" s="19">
        <v>0</v>
      </c>
      <c r="H2667" s="5" t="s">
        <v>776</v>
      </c>
      <c r="I2667" s="10">
        <f>IF(OR(D2667="", F2667=""), "", F2667 * VLOOKUP(D2667, Products!A:E, 5, FALSE) * (1 - G2667))</f>
        <v>1941.3</v>
      </c>
      <c r="J2667" s="10"/>
    </row>
    <row r="2668" spans="1:10" ht="15.75" customHeight="1" x14ac:dyDescent="0.3">
      <c r="A2668" s="5" t="s">
        <v>3535</v>
      </c>
      <c r="B2668" s="11">
        <v>45288</v>
      </c>
      <c r="C2668" s="5" t="s">
        <v>330</v>
      </c>
      <c r="D2668" s="5" t="s">
        <v>232</v>
      </c>
      <c r="E2668" s="5" t="s">
        <v>37</v>
      </c>
      <c r="F2668" s="5">
        <v>5</v>
      </c>
      <c r="G2668" s="19">
        <v>0</v>
      </c>
      <c r="H2668" s="5" t="s">
        <v>697</v>
      </c>
      <c r="I2668" s="10">
        <f>IF(OR(D2668="", F2668=""), "", F2668 * VLOOKUP(D2668, Products!A:E, 5, FALSE) * (1 - G2668))</f>
        <v>9763.25</v>
      </c>
      <c r="J2668" s="10"/>
    </row>
    <row r="2669" spans="1:10" ht="15.75" customHeight="1" x14ac:dyDescent="0.3">
      <c r="A2669" s="5" t="s">
        <v>3536</v>
      </c>
      <c r="B2669" s="11">
        <v>45432</v>
      </c>
      <c r="C2669" s="5" t="s">
        <v>859</v>
      </c>
      <c r="D2669" s="5" t="s">
        <v>103</v>
      </c>
      <c r="E2669" s="5" t="s">
        <v>25</v>
      </c>
      <c r="F2669" s="5">
        <v>1</v>
      </c>
      <c r="G2669" s="19">
        <v>0.15</v>
      </c>
      <c r="H2669" s="5" t="s">
        <v>454</v>
      </c>
      <c r="I2669" s="10">
        <f>IF(OR(D2669="", F2669=""), "", F2669 * VLOOKUP(D2669, Products!A:E, 5, FALSE) * (1 - G2669))</f>
        <v>229.88249999999999</v>
      </c>
      <c r="J2669" s="10"/>
    </row>
    <row r="2670" spans="1:10" ht="15.75" customHeight="1" x14ac:dyDescent="0.3">
      <c r="A2670" s="5" t="s">
        <v>3537</v>
      </c>
      <c r="B2670" s="11">
        <v>45451</v>
      </c>
      <c r="C2670" s="5" t="s">
        <v>854</v>
      </c>
      <c r="D2670" s="5" t="s">
        <v>276</v>
      </c>
      <c r="E2670" s="5" t="s">
        <v>29</v>
      </c>
      <c r="F2670" s="5">
        <v>4</v>
      </c>
      <c r="G2670" s="19">
        <v>0.05</v>
      </c>
      <c r="H2670" s="5" t="s">
        <v>697</v>
      </c>
      <c r="I2670" s="10">
        <f>IF(OR(D2670="", F2670=""), "", F2670 * VLOOKUP(D2670, Products!A:E, 5, FALSE) * (1 - G2670))</f>
        <v>4549.2839999999997</v>
      </c>
      <c r="J2670" s="10"/>
    </row>
    <row r="2671" spans="1:10" ht="15.75" customHeight="1" x14ac:dyDescent="0.3">
      <c r="A2671" s="5" t="s">
        <v>3538</v>
      </c>
      <c r="B2671" s="11">
        <v>45277</v>
      </c>
      <c r="C2671" s="5" t="s">
        <v>215</v>
      </c>
      <c r="D2671" s="5" t="s">
        <v>43</v>
      </c>
      <c r="E2671" s="5" t="s">
        <v>37</v>
      </c>
      <c r="F2671" s="5">
        <v>3</v>
      </c>
      <c r="G2671" s="19">
        <v>0.15</v>
      </c>
      <c r="H2671" s="5" t="s">
        <v>454</v>
      </c>
      <c r="I2671" s="10">
        <f>IF(OR(D2671="", F2671=""), "", F2671 * VLOOKUP(D2671, Products!A:E, 5, FALSE) * (1 - G2671))</f>
        <v>4267.9094999999998</v>
      </c>
      <c r="J2671" s="10"/>
    </row>
    <row r="2672" spans="1:10" ht="15.75" customHeight="1" x14ac:dyDescent="0.3">
      <c r="A2672" s="5" t="s">
        <v>3539</v>
      </c>
      <c r="B2672" s="11">
        <v>45228</v>
      </c>
      <c r="C2672" s="5" t="s">
        <v>649</v>
      </c>
      <c r="D2672" s="5" t="s">
        <v>65</v>
      </c>
      <c r="E2672" s="5" t="s">
        <v>21</v>
      </c>
      <c r="F2672" s="5">
        <v>4</v>
      </c>
      <c r="G2672" s="19">
        <v>0</v>
      </c>
      <c r="H2672" s="5" t="s">
        <v>776</v>
      </c>
      <c r="I2672" s="10">
        <f>IF(OR(D2672="", F2672=""), "", F2672 * VLOOKUP(D2672, Products!A:E, 5, FALSE) * (1 - G2672))</f>
        <v>5896.48</v>
      </c>
      <c r="J2672" s="10"/>
    </row>
    <row r="2673" spans="1:10" ht="15.75" customHeight="1" x14ac:dyDescent="0.3">
      <c r="A2673" s="5" t="s">
        <v>3540</v>
      </c>
      <c r="B2673" s="11">
        <v>45694</v>
      </c>
      <c r="C2673" s="5" t="s">
        <v>532</v>
      </c>
      <c r="D2673" s="5" t="s">
        <v>95</v>
      </c>
      <c r="E2673" s="5" t="s">
        <v>33</v>
      </c>
      <c r="F2673" s="5">
        <v>4</v>
      </c>
      <c r="G2673" s="19">
        <v>0</v>
      </c>
      <c r="H2673" s="5" t="s">
        <v>454</v>
      </c>
      <c r="I2673" s="10">
        <f>IF(OR(D2673="", F2673=""), "", F2673 * VLOOKUP(D2673, Products!A:E, 5, FALSE) * (1 - G2673))</f>
        <v>5371</v>
      </c>
      <c r="J2673" s="10"/>
    </row>
    <row r="2674" spans="1:10" ht="15.75" customHeight="1" x14ac:dyDescent="0.3">
      <c r="A2674" s="5" t="s">
        <v>3541</v>
      </c>
      <c r="B2674" s="11">
        <v>45856</v>
      </c>
      <c r="C2674" s="5" t="s">
        <v>515</v>
      </c>
      <c r="D2674" s="5" t="s">
        <v>226</v>
      </c>
      <c r="E2674" s="5" t="s">
        <v>29</v>
      </c>
      <c r="F2674" s="5">
        <v>1</v>
      </c>
      <c r="G2674" s="19">
        <v>0.15</v>
      </c>
      <c r="H2674" s="5" t="s">
        <v>454</v>
      </c>
      <c r="I2674" s="10">
        <f>IF(OR(D2674="", F2674=""), "", F2674 * VLOOKUP(D2674, Products!A:E, 5, FALSE) * (1 - G2674))</f>
        <v>1276.241</v>
      </c>
      <c r="J2674" s="10"/>
    </row>
    <row r="2675" spans="1:10" ht="15.75" customHeight="1" x14ac:dyDescent="0.3">
      <c r="A2675" s="5" t="s">
        <v>3542</v>
      </c>
      <c r="B2675" s="11">
        <v>45820</v>
      </c>
      <c r="C2675" s="5" t="s">
        <v>387</v>
      </c>
      <c r="D2675" s="5" t="s">
        <v>70</v>
      </c>
      <c r="E2675" s="5" t="s">
        <v>21</v>
      </c>
      <c r="F2675" s="5">
        <v>4</v>
      </c>
      <c r="G2675" s="19">
        <v>0.15</v>
      </c>
      <c r="H2675" s="5" t="s">
        <v>776</v>
      </c>
      <c r="I2675" s="10">
        <f>IF(OR(D2675="", F2675=""), "", F2675 * VLOOKUP(D2675, Products!A:E, 5, FALSE) * (1 - G2675))</f>
        <v>418.846</v>
      </c>
      <c r="J2675" s="10"/>
    </row>
    <row r="2676" spans="1:10" ht="15.75" customHeight="1" x14ac:dyDescent="0.3">
      <c r="A2676" s="5" t="s">
        <v>3543</v>
      </c>
      <c r="B2676" s="11">
        <v>45609</v>
      </c>
      <c r="C2676" s="5" t="s">
        <v>433</v>
      </c>
      <c r="D2676" s="5" t="s">
        <v>50</v>
      </c>
      <c r="E2676" s="5" t="s">
        <v>29</v>
      </c>
      <c r="F2676" s="5">
        <v>1</v>
      </c>
      <c r="G2676" s="19">
        <v>0.05</v>
      </c>
      <c r="H2676" s="5" t="s">
        <v>697</v>
      </c>
      <c r="I2676" s="10">
        <f>IF(OR(D2676="", F2676=""), "", F2676 * VLOOKUP(D2676, Products!A:E, 5, FALSE) * (1 - G2676))</f>
        <v>320.74849999999998</v>
      </c>
      <c r="J2676" s="10"/>
    </row>
    <row r="2677" spans="1:10" ht="15.75" customHeight="1" x14ac:dyDescent="0.3">
      <c r="A2677" s="5" t="s">
        <v>3544</v>
      </c>
      <c r="B2677" s="11">
        <v>45323</v>
      </c>
      <c r="C2677" s="5" t="s">
        <v>334</v>
      </c>
      <c r="D2677" s="5" t="s">
        <v>57</v>
      </c>
      <c r="E2677" s="5" t="s">
        <v>37</v>
      </c>
      <c r="F2677" s="5">
        <v>1</v>
      </c>
      <c r="G2677" s="19">
        <v>0.05</v>
      </c>
      <c r="H2677" s="5" t="s">
        <v>697</v>
      </c>
      <c r="I2677" s="10">
        <f>IF(OR(D2677="", F2677=""), "", F2677 * VLOOKUP(D2677, Products!A:E, 5, FALSE) * (1 - G2677))</f>
        <v>1326.4089999999999</v>
      </c>
      <c r="J2677" s="10"/>
    </row>
    <row r="2678" spans="1:10" ht="15.75" customHeight="1" x14ac:dyDescent="0.3">
      <c r="A2678" s="5" t="s">
        <v>3545</v>
      </c>
      <c r="B2678" s="11">
        <v>45840</v>
      </c>
      <c r="C2678" s="5" t="s">
        <v>292</v>
      </c>
      <c r="D2678" s="5" t="s">
        <v>119</v>
      </c>
      <c r="E2678" s="5" t="s">
        <v>33</v>
      </c>
      <c r="F2678" s="5">
        <v>1</v>
      </c>
      <c r="G2678" s="19">
        <v>0</v>
      </c>
      <c r="H2678" s="5" t="s">
        <v>697</v>
      </c>
      <c r="I2678" s="10">
        <f>IF(OR(D2678="", F2678=""), "", F2678 * VLOOKUP(D2678, Products!A:E, 5, FALSE) * (1 - G2678))</f>
        <v>1079.8900000000001</v>
      </c>
      <c r="J2678" s="10"/>
    </row>
    <row r="2679" spans="1:10" ht="15.75" customHeight="1" x14ac:dyDescent="0.3">
      <c r="A2679" s="5" t="s">
        <v>3546</v>
      </c>
      <c r="B2679" s="11">
        <v>45183</v>
      </c>
      <c r="C2679" s="5" t="s">
        <v>847</v>
      </c>
      <c r="D2679" s="5" t="s">
        <v>50</v>
      </c>
      <c r="E2679" s="5" t="s">
        <v>29</v>
      </c>
      <c r="F2679" s="5">
        <v>3</v>
      </c>
      <c r="G2679" s="19">
        <v>0.15</v>
      </c>
      <c r="H2679" s="5" t="s">
        <v>697</v>
      </c>
      <c r="I2679" s="10">
        <f>IF(OR(D2679="", F2679=""), "", F2679 * VLOOKUP(D2679, Products!A:E, 5, FALSE) * (1 - G2679))</f>
        <v>860.95650000000001</v>
      </c>
      <c r="J2679" s="10"/>
    </row>
    <row r="2680" spans="1:10" ht="15.75" customHeight="1" x14ac:dyDescent="0.3">
      <c r="A2680" s="5" t="s">
        <v>3547</v>
      </c>
      <c r="B2680" s="11">
        <v>45428</v>
      </c>
      <c r="C2680" s="5" t="s">
        <v>567</v>
      </c>
      <c r="D2680" s="5" t="s">
        <v>232</v>
      </c>
      <c r="E2680" s="5" t="s">
        <v>25</v>
      </c>
      <c r="F2680" s="5">
        <v>2</v>
      </c>
      <c r="G2680" s="19">
        <v>0.05</v>
      </c>
      <c r="H2680" s="5" t="s">
        <v>697</v>
      </c>
      <c r="I2680" s="10">
        <f>IF(OR(D2680="", F2680=""), "", F2680 * VLOOKUP(D2680, Products!A:E, 5, FALSE) * (1 - G2680))</f>
        <v>3710.0349999999999</v>
      </c>
      <c r="J2680" s="10"/>
    </row>
    <row r="2681" spans="1:10" ht="15.75" customHeight="1" x14ac:dyDescent="0.3">
      <c r="A2681" s="5" t="s">
        <v>3548</v>
      </c>
      <c r="B2681" s="11">
        <v>45476</v>
      </c>
      <c r="C2681" s="5" t="s">
        <v>519</v>
      </c>
      <c r="D2681" s="5" t="s">
        <v>262</v>
      </c>
      <c r="E2681" s="5" t="s">
        <v>21</v>
      </c>
      <c r="F2681" s="5">
        <v>2</v>
      </c>
      <c r="G2681" s="19">
        <v>0</v>
      </c>
      <c r="H2681" s="5" t="s">
        <v>637</v>
      </c>
      <c r="I2681" s="10">
        <f>IF(OR(D2681="", F2681=""), "", F2681 * VLOOKUP(D2681, Products!A:E, 5, FALSE) * (1 - G2681))</f>
        <v>907.24</v>
      </c>
      <c r="J2681" s="10"/>
    </row>
    <row r="2682" spans="1:10" ht="15.75" customHeight="1" x14ac:dyDescent="0.3">
      <c r="A2682" s="5" t="s">
        <v>3549</v>
      </c>
      <c r="B2682" s="11">
        <v>45618</v>
      </c>
      <c r="C2682" s="5" t="s">
        <v>361</v>
      </c>
      <c r="D2682" s="5" t="s">
        <v>61</v>
      </c>
      <c r="E2682" s="5" t="s">
        <v>29</v>
      </c>
      <c r="F2682" s="5">
        <v>4</v>
      </c>
      <c r="G2682" s="19">
        <v>0.1</v>
      </c>
      <c r="H2682" s="5" t="s">
        <v>454</v>
      </c>
      <c r="I2682" s="10">
        <f>IF(OR(D2682="", F2682=""), "", F2682 * VLOOKUP(D2682, Products!A:E, 5, FALSE) * (1 - G2682))</f>
        <v>1144.98</v>
      </c>
      <c r="J2682" s="10"/>
    </row>
    <row r="2683" spans="1:10" ht="15.75" customHeight="1" x14ac:dyDescent="0.3">
      <c r="A2683" s="5" t="s">
        <v>3550</v>
      </c>
      <c r="B2683" s="11">
        <v>45471</v>
      </c>
      <c r="C2683" s="5" t="s">
        <v>402</v>
      </c>
      <c r="D2683" s="5" t="s">
        <v>43</v>
      </c>
      <c r="E2683" s="5" t="s">
        <v>29</v>
      </c>
      <c r="F2683" s="5">
        <v>1</v>
      </c>
      <c r="G2683" s="19">
        <v>0</v>
      </c>
      <c r="H2683" s="5" t="s">
        <v>454</v>
      </c>
      <c r="I2683" s="10">
        <f>IF(OR(D2683="", F2683=""), "", F2683 * VLOOKUP(D2683, Products!A:E, 5, FALSE) * (1 - G2683))</f>
        <v>1673.69</v>
      </c>
      <c r="J2683" s="10"/>
    </row>
    <row r="2684" spans="1:10" ht="15.75" customHeight="1" x14ac:dyDescent="0.3">
      <c r="A2684" s="5" t="s">
        <v>3551</v>
      </c>
      <c r="B2684" s="11">
        <v>45622</v>
      </c>
      <c r="C2684" s="5" t="s">
        <v>121</v>
      </c>
      <c r="D2684" s="5" t="s">
        <v>50</v>
      </c>
      <c r="E2684" s="5" t="s">
        <v>33</v>
      </c>
      <c r="F2684" s="5">
        <v>1</v>
      </c>
      <c r="G2684" s="19">
        <v>0.05</v>
      </c>
      <c r="H2684" s="5" t="s">
        <v>637</v>
      </c>
      <c r="I2684" s="10">
        <f>IF(OR(D2684="", F2684=""), "", F2684 * VLOOKUP(D2684, Products!A:E, 5, FALSE) * (1 - G2684))</f>
        <v>320.74849999999998</v>
      </c>
      <c r="J2684" s="10"/>
    </row>
    <row r="2685" spans="1:10" ht="15.75" customHeight="1" x14ac:dyDescent="0.3">
      <c r="A2685" s="5" t="s">
        <v>3552</v>
      </c>
      <c r="B2685" s="11">
        <v>45294</v>
      </c>
      <c r="C2685" s="5" t="s">
        <v>149</v>
      </c>
      <c r="D2685" s="5" t="s">
        <v>89</v>
      </c>
      <c r="E2685" s="5" t="s">
        <v>37</v>
      </c>
      <c r="F2685" s="5">
        <v>4</v>
      </c>
      <c r="G2685" s="19">
        <v>0.05</v>
      </c>
      <c r="H2685" s="5" t="s">
        <v>697</v>
      </c>
      <c r="I2685" s="10">
        <f>IF(OR(D2685="", F2685=""), "", F2685 * VLOOKUP(D2685, Products!A:E, 5, FALSE) * (1 - G2685))</f>
        <v>4312.24</v>
      </c>
      <c r="J2685" s="10"/>
    </row>
    <row r="2686" spans="1:10" ht="15.75" customHeight="1" x14ac:dyDescent="0.3">
      <c r="A2686" s="5" t="s">
        <v>3553</v>
      </c>
      <c r="B2686" s="11">
        <v>45526</v>
      </c>
      <c r="C2686" s="5" t="s">
        <v>229</v>
      </c>
      <c r="D2686" s="5" t="s">
        <v>267</v>
      </c>
      <c r="E2686" s="5" t="s">
        <v>21</v>
      </c>
      <c r="F2686" s="5">
        <v>3</v>
      </c>
      <c r="G2686" s="19">
        <v>0.05</v>
      </c>
      <c r="H2686" s="5" t="s">
        <v>776</v>
      </c>
      <c r="I2686" s="10">
        <f>IF(OR(D2686="", F2686=""), "", F2686 * VLOOKUP(D2686, Products!A:E, 5, FALSE) * (1 - G2686))</f>
        <v>3666.6674999999996</v>
      </c>
      <c r="J2686" s="10"/>
    </row>
    <row r="2687" spans="1:10" ht="15.75" customHeight="1" x14ac:dyDescent="0.3">
      <c r="A2687" s="5" t="s">
        <v>3554</v>
      </c>
      <c r="B2687" s="11">
        <v>45778</v>
      </c>
      <c r="C2687" s="5" t="s">
        <v>567</v>
      </c>
      <c r="D2687" s="5" t="s">
        <v>237</v>
      </c>
      <c r="E2687" s="5" t="s">
        <v>21</v>
      </c>
      <c r="F2687" s="5">
        <v>1</v>
      </c>
      <c r="G2687" s="19">
        <v>0.15</v>
      </c>
      <c r="H2687" s="5" t="s">
        <v>637</v>
      </c>
      <c r="I2687" s="10">
        <f>IF(OR(D2687="", F2687=""), "", F2687 * VLOOKUP(D2687, Products!A:E, 5, FALSE) * (1 - G2687))</f>
        <v>311.89049999999997</v>
      </c>
      <c r="J2687" s="10"/>
    </row>
    <row r="2688" spans="1:10" ht="15.75" customHeight="1" x14ac:dyDescent="0.3">
      <c r="A2688" s="5" t="s">
        <v>3555</v>
      </c>
      <c r="B2688" s="11">
        <v>45332</v>
      </c>
      <c r="C2688" s="5" t="s">
        <v>563</v>
      </c>
      <c r="D2688" s="5" t="s">
        <v>193</v>
      </c>
      <c r="E2688" s="5" t="s">
        <v>37</v>
      </c>
      <c r="F2688" s="5">
        <v>4</v>
      </c>
      <c r="G2688" s="19">
        <v>0.05</v>
      </c>
      <c r="H2688" s="5" t="s">
        <v>776</v>
      </c>
      <c r="I2688" s="10">
        <f>IF(OR(D2688="", F2688=""), "", F2688 * VLOOKUP(D2688, Products!A:E, 5, FALSE) * (1 - G2688))</f>
        <v>111.11199999999999</v>
      </c>
      <c r="J2688" s="10"/>
    </row>
    <row r="2689" spans="1:10" ht="15.75" customHeight="1" x14ac:dyDescent="0.3">
      <c r="A2689" s="5" t="s">
        <v>3556</v>
      </c>
      <c r="B2689" s="11">
        <v>45455</v>
      </c>
      <c r="C2689" s="5" t="s">
        <v>466</v>
      </c>
      <c r="D2689" s="5" t="s">
        <v>70</v>
      </c>
      <c r="E2689" s="5" t="s">
        <v>33</v>
      </c>
      <c r="F2689" s="5">
        <v>4</v>
      </c>
      <c r="G2689" s="19">
        <v>0.1</v>
      </c>
      <c r="H2689" s="5" t="s">
        <v>697</v>
      </c>
      <c r="I2689" s="10">
        <f>IF(OR(D2689="", F2689=""), "", F2689 * VLOOKUP(D2689, Products!A:E, 5, FALSE) * (1 - G2689))</f>
        <v>443.48399999999998</v>
      </c>
      <c r="J2689" s="10"/>
    </row>
    <row r="2690" spans="1:10" ht="15.75" customHeight="1" x14ac:dyDescent="0.3">
      <c r="A2690" s="5" t="s">
        <v>3557</v>
      </c>
      <c r="B2690" s="11">
        <v>45865</v>
      </c>
      <c r="C2690" s="5" t="s">
        <v>477</v>
      </c>
      <c r="D2690" s="5" t="s">
        <v>54</v>
      </c>
      <c r="E2690" s="5" t="s">
        <v>37</v>
      </c>
      <c r="F2690" s="5">
        <v>3</v>
      </c>
      <c r="G2690" s="19">
        <v>0</v>
      </c>
      <c r="H2690" s="5" t="s">
        <v>637</v>
      </c>
      <c r="I2690" s="10">
        <f>IF(OR(D2690="", F2690=""), "", F2690 * VLOOKUP(D2690, Products!A:E, 5, FALSE) * (1 - G2690))</f>
        <v>5561.3099999999995</v>
      </c>
      <c r="J2690" s="10"/>
    </row>
    <row r="2691" spans="1:10" ht="15.75" customHeight="1" x14ac:dyDescent="0.3">
      <c r="A2691" s="5" t="s">
        <v>3558</v>
      </c>
      <c r="B2691" s="11">
        <v>45794</v>
      </c>
      <c r="C2691" s="5" t="s">
        <v>634</v>
      </c>
      <c r="D2691" s="5" t="s">
        <v>74</v>
      </c>
      <c r="E2691" s="5" t="s">
        <v>37</v>
      </c>
      <c r="F2691" s="5">
        <v>2</v>
      </c>
      <c r="G2691" s="19">
        <v>0.05</v>
      </c>
      <c r="H2691" s="5" t="s">
        <v>697</v>
      </c>
      <c r="I2691" s="10">
        <f>IF(OR(D2691="", F2691=""), "", F2691 * VLOOKUP(D2691, Products!A:E, 5, FALSE) * (1 - G2691))</f>
        <v>2268.8279999999995</v>
      </c>
      <c r="J2691" s="10"/>
    </row>
    <row r="2692" spans="1:10" ht="15.75" customHeight="1" x14ac:dyDescent="0.3">
      <c r="A2692" s="5" t="s">
        <v>3559</v>
      </c>
      <c r="B2692" s="11">
        <v>45846</v>
      </c>
      <c r="C2692" s="5" t="s">
        <v>652</v>
      </c>
      <c r="D2692" s="5" t="s">
        <v>147</v>
      </c>
      <c r="E2692" s="5" t="s">
        <v>25</v>
      </c>
      <c r="F2692" s="5">
        <v>2</v>
      </c>
      <c r="G2692" s="19">
        <v>0.05</v>
      </c>
      <c r="H2692" s="5" t="s">
        <v>776</v>
      </c>
      <c r="I2692" s="10">
        <f>IF(OR(D2692="", F2692=""), "", F2692 * VLOOKUP(D2692, Products!A:E, 5, FALSE) * (1 - G2692))</f>
        <v>3569.0929999999998</v>
      </c>
      <c r="J2692" s="10"/>
    </row>
    <row r="2693" spans="1:10" ht="15.75" customHeight="1" x14ac:dyDescent="0.3">
      <c r="A2693" s="5" t="s">
        <v>3560</v>
      </c>
      <c r="B2693" s="11">
        <v>45658</v>
      </c>
      <c r="C2693" s="5" t="s">
        <v>850</v>
      </c>
      <c r="D2693" s="5" t="s">
        <v>267</v>
      </c>
      <c r="E2693" s="5" t="s">
        <v>21</v>
      </c>
      <c r="F2693" s="5">
        <v>4</v>
      </c>
      <c r="G2693" s="19">
        <v>0.1</v>
      </c>
      <c r="H2693" s="5" t="s">
        <v>776</v>
      </c>
      <c r="I2693" s="10">
        <f>IF(OR(D2693="", F2693=""), "", F2693 * VLOOKUP(D2693, Products!A:E, 5, FALSE) * (1 - G2693))</f>
        <v>4631.58</v>
      </c>
      <c r="J2693" s="10"/>
    </row>
    <row r="2694" spans="1:10" ht="15.75" customHeight="1" x14ac:dyDescent="0.3">
      <c r="A2694" s="5" t="s">
        <v>3561</v>
      </c>
      <c r="B2694" s="11">
        <v>45297</v>
      </c>
      <c r="C2694" s="5" t="s">
        <v>405</v>
      </c>
      <c r="D2694" s="5" t="s">
        <v>291</v>
      </c>
      <c r="E2694" s="5" t="s">
        <v>25</v>
      </c>
      <c r="F2694" s="5">
        <v>3</v>
      </c>
      <c r="G2694" s="19">
        <v>0.05</v>
      </c>
      <c r="H2694" s="5" t="s">
        <v>454</v>
      </c>
      <c r="I2694" s="10">
        <f>IF(OR(D2694="", F2694=""), "", F2694 * VLOOKUP(D2694, Products!A:E, 5, FALSE) * (1 - G2694))</f>
        <v>2977.2239999999997</v>
      </c>
      <c r="J2694" s="10"/>
    </row>
    <row r="2695" spans="1:10" ht="15.75" customHeight="1" x14ac:dyDescent="0.3">
      <c r="A2695" s="5" t="s">
        <v>3562</v>
      </c>
      <c r="B2695" s="11">
        <v>45192</v>
      </c>
      <c r="C2695" s="5" t="s">
        <v>484</v>
      </c>
      <c r="D2695" s="5" t="s">
        <v>267</v>
      </c>
      <c r="E2695" s="5" t="s">
        <v>33</v>
      </c>
      <c r="F2695" s="5">
        <v>5</v>
      </c>
      <c r="G2695" s="19">
        <v>0.1</v>
      </c>
      <c r="H2695" s="5" t="s">
        <v>697</v>
      </c>
      <c r="I2695" s="10">
        <f>IF(OR(D2695="", F2695=""), "", F2695 * VLOOKUP(D2695, Products!A:E, 5, FALSE) * (1 - G2695))</f>
        <v>5789.4750000000004</v>
      </c>
      <c r="J2695" s="10"/>
    </row>
    <row r="2696" spans="1:10" ht="15.75" customHeight="1" x14ac:dyDescent="0.3">
      <c r="A2696" s="5" t="s">
        <v>3563</v>
      </c>
      <c r="B2696" s="11">
        <v>45790</v>
      </c>
      <c r="C2696" s="5" t="s">
        <v>481</v>
      </c>
      <c r="D2696" s="5" t="s">
        <v>180</v>
      </c>
      <c r="E2696" s="5" t="s">
        <v>33</v>
      </c>
      <c r="F2696" s="5">
        <v>3</v>
      </c>
      <c r="G2696" s="19">
        <v>0.05</v>
      </c>
      <c r="H2696" s="5" t="s">
        <v>776</v>
      </c>
      <c r="I2696" s="10">
        <f>IF(OR(D2696="", F2696=""), "", F2696 * VLOOKUP(D2696, Products!A:E, 5, FALSE) * (1 - G2696))</f>
        <v>1920.2729999999999</v>
      </c>
      <c r="J2696" s="10"/>
    </row>
    <row r="2697" spans="1:10" ht="15.75" customHeight="1" x14ac:dyDescent="0.3">
      <c r="A2697" s="5" t="s">
        <v>3564</v>
      </c>
      <c r="B2697" s="11">
        <v>45464</v>
      </c>
      <c r="C2697" s="5" t="s">
        <v>854</v>
      </c>
      <c r="D2697" s="5" t="s">
        <v>262</v>
      </c>
      <c r="E2697" s="5" t="s">
        <v>33</v>
      </c>
      <c r="F2697" s="5">
        <v>1</v>
      </c>
      <c r="G2697" s="19">
        <v>0.05</v>
      </c>
      <c r="H2697" s="5" t="s">
        <v>697</v>
      </c>
      <c r="I2697" s="10">
        <f>IF(OR(D2697="", F2697=""), "", F2697 * VLOOKUP(D2697, Products!A:E, 5, FALSE) * (1 - G2697))</f>
        <v>430.93899999999996</v>
      </c>
      <c r="J2697" s="10"/>
    </row>
    <row r="2698" spans="1:10" ht="15.75" customHeight="1" x14ac:dyDescent="0.3">
      <c r="A2698" s="5" t="s">
        <v>3565</v>
      </c>
      <c r="B2698" s="11">
        <v>45355</v>
      </c>
      <c r="C2698" s="5" t="s">
        <v>91</v>
      </c>
      <c r="D2698" s="5" t="s">
        <v>89</v>
      </c>
      <c r="E2698" s="5" t="s">
        <v>25</v>
      </c>
      <c r="F2698" s="5">
        <v>1</v>
      </c>
      <c r="G2698" s="19">
        <v>0.05</v>
      </c>
      <c r="H2698" s="5" t="s">
        <v>697</v>
      </c>
      <c r="I2698" s="10">
        <f>IF(OR(D2698="", F2698=""), "", F2698 * VLOOKUP(D2698, Products!A:E, 5, FALSE) * (1 - G2698))</f>
        <v>1078.06</v>
      </c>
      <c r="J2698" s="10"/>
    </row>
    <row r="2699" spans="1:10" ht="15.75" customHeight="1" x14ac:dyDescent="0.3">
      <c r="A2699" s="5" t="s">
        <v>3566</v>
      </c>
      <c r="B2699" s="11">
        <v>45738</v>
      </c>
      <c r="C2699" s="5" t="s">
        <v>546</v>
      </c>
      <c r="D2699" s="5" t="s">
        <v>262</v>
      </c>
      <c r="E2699" s="5" t="s">
        <v>29</v>
      </c>
      <c r="F2699" s="5">
        <v>1</v>
      </c>
      <c r="G2699" s="19">
        <v>0.15</v>
      </c>
      <c r="H2699" s="5" t="s">
        <v>637</v>
      </c>
      <c r="I2699" s="10">
        <f>IF(OR(D2699="", F2699=""), "", F2699 * VLOOKUP(D2699, Products!A:E, 5, FALSE) * (1 - G2699))</f>
        <v>385.577</v>
      </c>
      <c r="J2699" s="10"/>
    </row>
    <row r="2700" spans="1:10" ht="15.75" customHeight="1" x14ac:dyDescent="0.3">
      <c r="A2700" s="5" t="s">
        <v>3567</v>
      </c>
      <c r="B2700" s="11">
        <v>45704</v>
      </c>
      <c r="C2700" s="5" t="s">
        <v>499</v>
      </c>
      <c r="D2700" s="5" t="s">
        <v>67</v>
      </c>
      <c r="E2700" s="5" t="s">
        <v>25</v>
      </c>
      <c r="F2700" s="5">
        <v>5</v>
      </c>
      <c r="G2700" s="19">
        <v>0.15</v>
      </c>
      <c r="H2700" s="5" t="s">
        <v>637</v>
      </c>
      <c r="I2700" s="10">
        <f>IF(OR(D2700="", F2700=""), "", F2700 * VLOOKUP(D2700, Products!A:E, 5, FALSE) * (1 - G2700))</f>
        <v>466.56499999999994</v>
      </c>
      <c r="J2700" s="10"/>
    </row>
    <row r="2701" spans="1:10" ht="15.75" customHeight="1" x14ac:dyDescent="0.3">
      <c r="A2701" s="5" t="s">
        <v>3568</v>
      </c>
      <c r="B2701" s="11">
        <v>45222</v>
      </c>
      <c r="C2701" s="5" t="s">
        <v>368</v>
      </c>
      <c r="D2701" s="5" t="s">
        <v>206</v>
      </c>
      <c r="E2701" s="5" t="s">
        <v>33</v>
      </c>
      <c r="F2701" s="5">
        <v>5</v>
      </c>
      <c r="G2701" s="19">
        <v>0.1</v>
      </c>
      <c r="H2701" s="5" t="s">
        <v>637</v>
      </c>
      <c r="I2701" s="10">
        <f>IF(OR(D2701="", F2701=""), "", F2701 * VLOOKUP(D2701, Products!A:E, 5, FALSE) * (1 - G2701))</f>
        <v>1371.1949999999999</v>
      </c>
      <c r="J2701" s="10"/>
    </row>
    <row r="2702" spans="1:10" ht="15.75" customHeight="1" x14ac:dyDescent="0.3">
      <c r="A2702" s="5" t="s">
        <v>3569</v>
      </c>
      <c r="B2702" s="11">
        <v>45298</v>
      </c>
      <c r="C2702" s="5" t="s">
        <v>255</v>
      </c>
      <c r="D2702" s="5" t="s">
        <v>109</v>
      </c>
      <c r="E2702" s="5" t="s">
        <v>29</v>
      </c>
      <c r="F2702" s="5">
        <v>5</v>
      </c>
      <c r="G2702" s="19">
        <v>0.1</v>
      </c>
      <c r="H2702" s="5" t="s">
        <v>454</v>
      </c>
      <c r="I2702" s="10">
        <f>IF(OR(D2702="", F2702=""), "", F2702 * VLOOKUP(D2702, Products!A:E, 5, FALSE) * (1 - G2702))</f>
        <v>8364.375</v>
      </c>
      <c r="J2702" s="10"/>
    </row>
    <row r="2703" spans="1:10" ht="15.75" customHeight="1" x14ac:dyDescent="0.3">
      <c r="A2703" s="5" t="s">
        <v>3570</v>
      </c>
      <c r="B2703" s="11">
        <v>45569</v>
      </c>
      <c r="C2703" s="5" t="s">
        <v>342</v>
      </c>
      <c r="D2703" s="5" t="s">
        <v>291</v>
      </c>
      <c r="E2703" s="5" t="s">
        <v>29</v>
      </c>
      <c r="F2703" s="5">
        <v>3</v>
      </c>
      <c r="G2703" s="19">
        <v>0.15</v>
      </c>
      <c r="H2703" s="5" t="s">
        <v>637</v>
      </c>
      <c r="I2703" s="10">
        <f>IF(OR(D2703="", F2703=""), "", F2703 * VLOOKUP(D2703, Products!A:E, 5, FALSE) * (1 - G2703))</f>
        <v>2663.8319999999999</v>
      </c>
      <c r="J2703" s="10"/>
    </row>
    <row r="2704" spans="1:10" ht="15.75" customHeight="1" x14ac:dyDescent="0.3">
      <c r="A2704" s="5" t="s">
        <v>3571</v>
      </c>
      <c r="B2704" s="11">
        <v>45763</v>
      </c>
      <c r="C2704" s="5" t="s">
        <v>779</v>
      </c>
      <c r="D2704" s="5" t="s">
        <v>134</v>
      </c>
      <c r="E2704" s="5" t="s">
        <v>21</v>
      </c>
      <c r="F2704" s="5">
        <v>3</v>
      </c>
      <c r="G2704" s="19">
        <v>0.1</v>
      </c>
      <c r="H2704" s="5" t="s">
        <v>776</v>
      </c>
      <c r="I2704" s="10">
        <f>IF(OR(D2704="", F2704=""), "", F2704 * VLOOKUP(D2704, Products!A:E, 5, FALSE) * (1 - G2704))</f>
        <v>3313.5480000000002</v>
      </c>
      <c r="J2704" s="10"/>
    </row>
    <row r="2705" spans="1:10" ht="15.75" customHeight="1" x14ac:dyDescent="0.3">
      <c r="A2705" s="5" t="s">
        <v>3572</v>
      </c>
      <c r="B2705" s="11">
        <v>45385</v>
      </c>
      <c r="C2705" s="5" t="s">
        <v>519</v>
      </c>
      <c r="D2705" s="5" t="s">
        <v>243</v>
      </c>
      <c r="E2705" s="5" t="s">
        <v>33</v>
      </c>
      <c r="F2705" s="5">
        <v>1</v>
      </c>
      <c r="G2705" s="19">
        <v>0.05</v>
      </c>
      <c r="H2705" s="5" t="s">
        <v>776</v>
      </c>
      <c r="I2705" s="10">
        <f>IF(OR(D2705="", F2705=""), "", F2705 * VLOOKUP(D2705, Products!A:E, 5, FALSE) * (1 - G2705))</f>
        <v>513.89300000000003</v>
      </c>
      <c r="J2705" s="10"/>
    </row>
    <row r="2706" spans="1:10" ht="15.75" customHeight="1" x14ac:dyDescent="0.3">
      <c r="A2706" s="5" t="s">
        <v>3573</v>
      </c>
      <c r="B2706" s="11">
        <v>45182</v>
      </c>
      <c r="C2706" s="5" t="s">
        <v>387</v>
      </c>
      <c r="D2706" s="5" t="s">
        <v>74</v>
      </c>
      <c r="E2706" s="5" t="s">
        <v>33</v>
      </c>
      <c r="F2706" s="5">
        <v>1</v>
      </c>
      <c r="G2706" s="19">
        <v>0</v>
      </c>
      <c r="H2706" s="5" t="s">
        <v>454</v>
      </c>
      <c r="I2706" s="10">
        <f>IF(OR(D2706="", F2706=""), "", F2706 * VLOOKUP(D2706, Products!A:E, 5, FALSE) * (1 - G2706))</f>
        <v>1194.1199999999999</v>
      </c>
      <c r="J2706" s="10"/>
    </row>
    <row r="2707" spans="1:10" ht="15.75" customHeight="1" x14ac:dyDescent="0.3">
      <c r="A2707" s="5" t="s">
        <v>3574</v>
      </c>
      <c r="B2707" s="11">
        <v>45774</v>
      </c>
      <c r="C2707" s="5" t="s">
        <v>274</v>
      </c>
      <c r="D2707" s="5" t="s">
        <v>193</v>
      </c>
      <c r="E2707" s="5" t="s">
        <v>29</v>
      </c>
      <c r="F2707" s="5">
        <v>3</v>
      </c>
      <c r="G2707" s="19">
        <v>0.15</v>
      </c>
      <c r="H2707" s="5" t="s">
        <v>637</v>
      </c>
      <c r="I2707" s="10">
        <f>IF(OR(D2707="", F2707=""), "", F2707 * VLOOKUP(D2707, Products!A:E, 5, FALSE) * (1 - G2707))</f>
        <v>74.561999999999998</v>
      </c>
      <c r="J2707" s="10"/>
    </row>
    <row r="2708" spans="1:10" ht="15.75" customHeight="1" x14ac:dyDescent="0.3">
      <c r="A2708" s="5" t="s">
        <v>3575</v>
      </c>
      <c r="B2708" s="11">
        <v>45520</v>
      </c>
      <c r="C2708" s="5" t="s">
        <v>635</v>
      </c>
      <c r="D2708" s="5" t="s">
        <v>57</v>
      </c>
      <c r="E2708" s="5" t="s">
        <v>21</v>
      </c>
      <c r="F2708" s="5">
        <v>5</v>
      </c>
      <c r="G2708" s="19">
        <v>0.05</v>
      </c>
      <c r="H2708" s="5" t="s">
        <v>637</v>
      </c>
      <c r="I2708" s="10">
        <f>IF(OR(D2708="", F2708=""), "", F2708 * VLOOKUP(D2708, Products!A:E, 5, FALSE) * (1 - G2708))</f>
        <v>6632.0450000000001</v>
      </c>
      <c r="J2708" s="10"/>
    </row>
    <row r="2709" spans="1:10" ht="15.75" customHeight="1" x14ac:dyDescent="0.3">
      <c r="A2709" s="5" t="s">
        <v>3576</v>
      </c>
      <c r="B2709" s="11">
        <v>45801</v>
      </c>
      <c r="C2709" s="5" t="s">
        <v>649</v>
      </c>
      <c r="D2709" s="5" t="s">
        <v>249</v>
      </c>
      <c r="E2709" s="5" t="s">
        <v>25</v>
      </c>
      <c r="F2709" s="5">
        <v>2</v>
      </c>
      <c r="G2709" s="19">
        <v>0.05</v>
      </c>
      <c r="H2709" s="5" t="s">
        <v>776</v>
      </c>
      <c r="I2709" s="10">
        <f>IF(OR(D2709="", F2709=""), "", F2709 * VLOOKUP(D2709, Products!A:E, 5, FALSE) * (1 - G2709))</f>
        <v>3316.6589999999997</v>
      </c>
      <c r="J2709" s="10"/>
    </row>
    <row r="2710" spans="1:10" ht="15.75" customHeight="1" x14ac:dyDescent="0.3">
      <c r="A2710" s="5" t="s">
        <v>3577</v>
      </c>
      <c r="B2710" s="11">
        <v>45271</v>
      </c>
      <c r="C2710" s="5" t="s">
        <v>353</v>
      </c>
      <c r="D2710" s="5" t="s">
        <v>77</v>
      </c>
      <c r="E2710" s="5" t="s">
        <v>29</v>
      </c>
      <c r="F2710" s="5">
        <v>5</v>
      </c>
      <c r="G2710" s="19">
        <v>0.05</v>
      </c>
      <c r="H2710" s="5" t="s">
        <v>776</v>
      </c>
      <c r="I2710" s="10">
        <f>IF(OR(D2710="", F2710=""), "", F2710 * VLOOKUP(D2710, Products!A:E, 5, FALSE) * (1 - G2710))</f>
        <v>1180.7074999999998</v>
      </c>
      <c r="J2710" s="10"/>
    </row>
    <row r="2711" spans="1:10" ht="15.75" customHeight="1" x14ac:dyDescent="0.3">
      <c r="A2711" s="5" t="s">
        <v>3578</v>
      </c>
      <c r="B2711" s="11">
        <v>45734</v>
      </c>
      <c r="C2711" s="5" t="s">
        <v>671</v>
      </c>
      <c r="D2711" s="5" t="s">
        <v>200</v>
      </c>
      <c r="E2711" s="5" t="s">
        <v>29</v>
      </c>
      <c r="F2711" s="5">
        <v>5</v>
      </c>
      <c r="G2711" s="19">
        <v>0.05</v>
      </c>
      <c r="H2711" s="5" t="s">
        <v>697</v>
      </c>
      <c r="I2711" s="10">
        <f>IF(OR(D2711="", F2711=""), "", F2711 * VLOOKUP(D2711, Products!A:E, 5, FALSE) * (1 - G2711))</f>
        <v>5204.67</v>
      </c>
      <c r="J2711" s="10"/>
    </row>
    <row r="2712" spans="1:10" ht="15.75" customHeight="1" x14ac:dyDescent="0.3">
      <c r="A2712" s="5" t="s">
        <v>3579</v>
      </c>
      <c r="B2712" s="11">
        <v>45211</v>
      </c>
      <c r="C2712" s="5" t="s">
        <v>526</v>
      </c>
      <c r="D2712" s="5" t="s">
        <v>119</v>
      </c>
      <c r="E2712" s="5" t="s">
        <v>25</v>
      </c>
      <c r="F2712" s="5">
        <v>1</v>
      </c>
      <c r="G2712" s="19">
        <v>0.05</v>
      </c>
      <c r="H2712" s="5" t="s">
        <v>697</v>
      </c>
      <c r="I2712" s="10">
        <f>IF(OR(D2712="", F2712=""), "", F2712 * VLOOKUP(D2712, Products!A:E, 5, FALSE) * (1 - G2712))</f>
        <v>1025.8955000000001</v>
      </c>
      <c r="J2712" s="10"/>
    </row>
    <row r="2713" spans="1:10" ht="15.75" customHeight="1" x14ac:dyDescent="0.3">
      <c r="A2713" s="5" t="s">
        <v>3580</v>
      </c>
      <c r="B2713" s="11">
        <v>45877</v>
      </c>
      <c r="C2713" s="5" t="s">
        <v>799</v>
      </c>
      <c r="D2713" s="5" t="s">
        <v>291</v>
      </c>
      <c r="E2713" s="5" t="s">
        <v>25</v>
      </c>
      <c r="F2713" s="5">
        <v>5</v>
      </c>
      <c r="G2713" s="19">
        <v>0.15</v>
      </c>
      <c r="H2713" s="5" t="s">
        <v>697</v>
      </c>
      <c r="I2713" s="10">
        <f>IF(OR(D2713="", F2713=""), "", F2713 * VLOOKUP(D2713, Products!A:E, 5, FALSE) * (1 - G2713))</f>
        <v>4439.72</v>
      </c>
      <c r="J2713" s="10"/>
    </row>
    <row r="2714" spans="1:10" ht="15.75" customHeight="1" x14ac:dyDescent="0.3">
      <c r="A2714" s="5" t="s">
        <v>3581</v>
      </c>
      <c r="B2714" s="11">
        <v>45358</v>
      </c>
      <c r="C2714" s="5" t="s">
        <v>437</v>
      </c>
      <c r="D2714" s="5" t="s">
        <v>180</v>
      </c>
      <c r="E2714" s="5" t="s">
        <v>21</v>
      </c>
      <c r="F2714" s="5">
        <v>4</v>
      </c>
      <c r="G2714" s="19">
        <v>0.1</v>
      </c>
      <c r="H2714" s="5" t="s">
        <v>637</v>
      </c>
      <c r="I2714" s="10">
        <f>IF(OR(D2714="", F2714=""), "", F2714 * VLOOKUP(D2714, Products!A:E, 5, FALSE) * (1 - G2714))</f>
        <v>2425.6080000000002</v>
      </c>
      <c r="J2714" s="10"/>
    </row>
    <row r="2715" spans="1:10" ht="15.75" customHeight="1" x14ac:dyDescent="0.3">
      <c r="A2715" s="5" t="s">
        <v>3582</v>
      </c>
      <c r="B2715" s="11">
        <v>45202</v>
      </c>
      <c r="C2715" s="5" t="s">
        <v>661</v>
      </c>
      <c r="D2715" s="5" t="s">
        <v>70</v>
      </c>
      <c r="E2715" s="5" t="s">
        <v>33</v>
      </c>
      <c r="F2715" s="5">
        <v>4</v>
      </c>
      <c r="G2715" s="19">
        <v>0.15</v>
      </c>
      <c r="H2715" s="5" t="s">
        <v>454</v>
      </c>
      <c r="I2715" s="10">
        <f>IF(OR(D2715="", F2715=""), "", F2715 * VLOOKUP(D2715, Products!A:E, 5, FALSE) * (1 - G2715))</f>
        <v>418.846</v>
      </c>
      <c r="J2715" s="10"/>
    </row>
    <row r="2716" spans="1:10" ht="15.75" customHeight="1" x14ac:dyDescent="0.3">
      <c r="A2716" s="5" t="s">
        <v>3583</v>
      </c>
      <c r="B2716" s="11">
        <v>45570</v>
      </c>
      <c r="C2716" s="5" t="s">
        <v>286</v>
      </c>
      <c r="D2716" s="5" t="s">
        <v>193</v>
      </c>
      <c r="E2716" s="5" t="s">
        <v>29</v>
      </c>
      <c r="F2716" s="5">
        <v>1</v>
      </c>
      <c r="G2716" s="19">
        <v>0</v>
      </c>
      <c r="H2716" s="5" t="s">
        <v>454</v>
      </c>
      <c r="I2716" s="10">
        <f>IF(OR(D2716="", F2716=""), "", F2716 * VLOOKUP(D2716, Products!A:E, 5, FALSE) * (1 - G2716))</f>
        <v>29.24</v>
      </c>
      <c r="J2716" s="10"/>
    </row>
    <row r="2717" spans="1:10" ht="15.75" customHeight="1" x14ac:dyDescent="0.3">
      <c r="A2717" s="5" t="s">
        <v>3584</v>
      </c>
      <c r="B2717" s="11">
        <v>45296</v>
      </c>
      <c r="C2717" s="5" t="s">
        <v>819</v>
      </c>
      <c r="D2717" s="5" t="s">
        <v>47</v>
      </c>
      <c r="E2717" s="5" t="s">
        <v>37</v>
      </c>
      <c r="F2717" s="5">
        <v>3</v>
      </c>
      <c r="G2717" s="19">
        <v>0.05</v>
      </c>
      <c r="H2717" s="5" t="s">
        <v>776</v>
      </c>
      <c r="I2717" s="10">
        <f>IF(OR(D2717="", F2717=""), "", F2717 * VLOOKUP(D2717, Products!A:E, 5, FALSE) * (1 - G2717))</f>
        <v>2333.4659999999994</v>
      </c>
      <c r="J2717" s="10"/>
    </row>
    <row r="2718" spans="1:10" ht="15.75" customHeight="1" x14ac:dyDescent="0.3">
      <c r="A2718" s="5" t="s">
        <v>3585</v>
      </c>
      <c r="B2718" s="11">
        <v>45414</v>
      </c>
      <c r="C2718" s="5" t="s">
        <v>171</v>
      </c>
      <c r="D2718" s="5" t="s">
        <v>269</v>
      </c>
      <c r="E2718" s="5" t="s">
        <v>33</v>
      </c>
      <c r="F2718" s="5">
        <v>2</v>
      </c>
      <c r="G2718" s="19">
        <v>0.05</v>
      </c>
      <c r="H2718" s="5" t="s">
        <v>637</v>
      </c>
      <c r="I2718" s="10">
        <f>IF(OR(D2718="", F2718=""), "", F2718 * VLOOKUP(D2718, Products!A:E, 5, FALSE) * (1 - G2718))</f>
        <v>3570.2519999999995</v>
      </c>
      <c r="J2718" s="10"/>
    </row>
    <row r="2719" spans="1:10" ht="15.75" customHeight="1" x14ac:dyDescent="0.3">
      <c r="A2719" s="5" t="s">
        <v>3586</v>
      </c>
      <c r="B2719" s="11">
        <v>45775</v>
      </c>
      <c r="C2719" s="5" t="s">
        <v>317</v>
      </c>
      <c r="D2719" s="5" t="s">
        <v>153</v>
      </c>
      <c r="E2719" s="5" t="s">
        <v>25</v>
      </c>
      <c r="F2719" s="5">
        <v>4</v>
      </c>
      <c r="G2719" s="19">
        <v>0.05</v>
      </c>
      <c r="H2719" s="5" t="s">
        <v>637</v>
      </c>
      <c r="I2719" s="10">
        <f>IF(OR(D2719="", F2719=""), "", F2719 * VLOOKUP(D2719, Products!A:E, 5, FALSE) * (1 - G2719))</f>
        <v>5652.1580000000004</v>
      </c>
      <c r="J2719" s="10"/>
    </row>
    <row r="2720" spans="1:10" ht="15.75" customHeight="1" x14ac:dyDescent="0.3">
      <c r="A2720" s="5" t="s">
        <v>3587</v>
      </c>
      <c r="B2720" s="11">
        <v>45865</v>
      </c>
      <c r="C2720" s="5" t="s">
        <v>543</v>
      </c>
      <c r="D2720" s="5" t="s">
        <v>162</v>
      </c>
      <c r="E2720" s="5" t="s">
        <v>37</v>
      </c>
      <c r="F2720" s="5">
        <v>2</v>
      </c>
      <c r="G2720" s="19">
        <v>0.05</v>
      </c>
      <c r="H2720" s="5" t="s">
        <v>454</v>
      </c>
      <c r="I2720" s="10">
        <f>IF(OR(D2720="", F2720=""), "", F2720 * VLOOKUP(D2720, Products!A:E, 5, FALSE) * (1 - G2720))</f>
        <v>815.38499999999988</v>
      </c>
      <c r="J2720" s="10"/>
    </row>
    <row r="2721" spans="1:10" ht="15.75" customHeight="1" x14ac:dyDescent="0.3">
      <c r="A2721" s="5" t="s">
        <v>3588</v>
      </c>
      <c r="B2721" s="11">
        <v>45868</v>
      </c>
      <c r="C2721" s="5" t="s">
        <v>185</v>
      </c>
      <c r="D2721" s="5" t="s">
        <v>200</v>
      </c>
      <c r="E2721" s="5" t="s">
        <v>25</v>
      </c>
      <c r="F2721" s="5">
        <v>3</v>
      </c>
      <c r="G2721" s="19">
        <v>0.05</v>
      </c>
      <c r="H2721" s="5" t="s">
        <v>637</v>
      </c>
      <c r="I2721" s="10">
        <f>IF(OR(D2721="", F2721=""), "", F2721 * VLOOKUP(D2721, Products!A:E, 5, FALSE) * (1 - G2721))</f>
        <v>3122.8019999999997</v>
      </c>
      <c r="J2721" s="10"/>
    </row>
    <row r="2722" spans="1:10" ht="15.75" customHeight="1" x14ac:dyDescent="0.3">
      <c r="A2722" s="5" t="s">
        <v>3589</v>
      </c>
      <c r="B2722" s="11">
        <v>45561</v>
      </c>
      <c r="C2722" s="5" t="s">
        <v>261</v>
      </c>
      <c r="D2722" s="5" t="s">
        <v>265</v>
      </c>
      <c r="E2722" s="5" t="s">
        <v>37</v>
      </c>
      <c r="F2722" s="5">
        <v>2</v>
      </c>
      <c r="G2722" s="19">
        <v>0.05</v>
      </c>
      <c r="H2722" s="5" t="s">
        <v>637</v>
      </c>
      <c r="I2722" s="10">
        <f>IF(OR(D2722="", F2722=""), "", F2722 * VLOOKUP(D2722, Products!A:E, 5, FALSE) * (1 - G2722))</f>
        <v>1072.3979999999999</v>
      </c>
      <c r="J2722" s="10"/>
    </row>
    <row r="2723" spans="1:10" ht="15.75" customHeight="1" x14ac:dyDescent="0.3">
      <c r="A2723" s="5" t="s">
        <v>3590</v>
      </c>
      <c r="B2723" s="11">
        <v>45596</v>
      </c>
      <c r="C2723" s="5" t="s">
        <v>296</v>
      </c>
      <c r="D2723" s="5" t="s">
        <v>57</v>
      </c>
      <c r="E2723" s="5" t="s">
        <v>29</v>
      </c>
      <c r="F2723" s="5">
        <v>3</v>
      </c>
      <c r="G2723" s="19">
        <v>0</v>
      </c>
      <c r="H2723" s="5" t="s">
        <v>776</v>
      </c>
      <c r="I2723" s="10">
        <f>IF(OR(D2723="", F2723=""), "", F2723 * VLOOKUP(D2723, Products!A:E, 5, FALSE) * (1 - G2723))</f>
        <v>4188.66</v>
      </c>
      <c r="J2723" s="10"/>
    </row>
    <row r="2724" spans="1:10" ht="15.75" customHeight="1" x14ac:dyDescent="0.3">
      <c r="A2724" s="5" t="s">
        <v>3591</v>
      </c>
      <c r="B2724" s="11">
        <v>45896</v>
      </c>
      <c r="C2724" s="5" t="s">
        <v>661</v>
      </c>
      <c r="D2724" s="5" t="s">
        <v>61</v>
      </c>
      <c r="E2724" s="5" t="s">
        <v>29</v>
      </c>
      <c r="F2724" s="5">
        <v>5</v>
      </c>
      <c r="G2724" s="19">
        <v>0</v>
      </c>
      <c r="H2724" s="5" t="s">
        <v>637</v>
      </c>
      <c r="I2724" s="10">
        <f>IF(OR(D2724="", F2724=""), "", F2724 * VLOOKUP(D2724, Products!A:E, 5, FALSE) * (1 - G2724))</f>
        <v>1590.25</v>
      </c>
      <c r="J2724" s="10"/>
    </row>
    <row r="2725" spans="1:10" ht="15.75" customHeight="1" x14ac:dyDescent="0.3">
      <c r="A2725" s="5" t="s">
        <v>3592</v>
      </c>
      <c r="B2725" s="11">
        <v>45907</v>
      </c>
      <c r="C2725" s="5" t="s">
        <v>389</v>
      </c>
      <c r="D2725" s="5" t="s">
        <v>57</v>
      </c>
      <c r="E2725" s="5" t="s">
        <v>33</v>
      </c>
      <c r="F2725" s="5">
        <v>3</v>
      </c>
      <c r="G2725" s="19">
        <v>0</v>
      </c>
      <c r="H2725" s="5" t="s">
        <v>637</v>
      </c>
      <c r="I2725" s="10">
        <f>IF(OR(D2725="", F2725=""), "", F2725 * VLOOKUP(D2725, Products!A:E, 5, FALSE) * (1 - G2725))</f>
        <v>4188.66</v>
      </c>
      <c r="J2725" s="10"/>
    </row>
    <row r="2726" spans="1:10" ht="15.75" customHeight="1" x14ac:dyDescent="0.3">
      <c r="A2726" s="5" t="s">
        <v>3593</v>
      </c>
      <c r="B2726" s="11">
        <v>45511</v>
      </c>
      <c r="C2726" s="5" t="s">
        <v>308</v>
      </c>
      <c r="D2726" s="5" t="s">
        <v>237</v>
      </c>
      <c r="E2726" s="5" t="s">
        <v>21</v>
      </c>
      <c r="F2726" s="5">
        <v>3</v>
      </c>
      <c r="G2726" s="19">
        <v>0.1</v>
      </c>
      <c r="H2726" s="5" t="s">
        <v>776</v>
      </c>
      <c r="I2726" s="10">
        <f>IF(OR(D2726="", F2726=""), "", F2726 * VLOOKUP(D2726, Products!A:E, 5, FALSE) * (1 - G2726))</f>
        <v>990.71100000000001</v>
      </c>
      <c r="J2726" s="10"/>
    </row>
    <row r="2727" spans="1:10" ht="15.75" customHeight="1" x14ac:dyDescent="0.3">
      <c r="A2727" s="5" t="s">
        <v>3594</v>
      </c>
      <c r="B2727" s="11">
        <v>45774</v>
      </c>
      <c r="C2727" s="5" t="s">
        <v>532</v>
      </c>
      <c r="D2727" s="5" t="s">
        <v>226</v>
      </c>
      <c r="E2727" s="5" t="s">
        <v>29</v>
      </c>
      <c r="F2727" s="5">
        <v>1</v>
      </c>
      <c r="G2727" s="19">
        <v>0.15</v>
      </c>
      <c r="H2727" s="5" t="s">
        <v>637</v>
      </c>
      <c r="I2727" s="10">
        <f>IF(OR(D2727="", F2727=""), "", F2727 * VLOOKUP(D2727, Products!A:E, 5, FALSE) * (1 - G2727))</f>
        <v>1276.241</v>
      </c>
      <c r="J2727" s="10"/>
    </row>
    <row r="2728" spans="1:10" ht="15.75" customHeight="1" x14ac:dyDescent="0.3">
      <c r="A2728" s="5" t="s">
        <v>3595</v>
      </c>
      <c r="B2728" s="11">
        <v>45465</v>
      </c>
      <c r="C2728" s="5" t="s">
        <v>715</v>
      </c>
      <c r="D2728" s="5" t="s">
        <v>180</v>
      </c>
      <c r="E2728" s="5" t="s">
        <v>25</v>
      </c>
      <c r="F2728" s="5">
        <v>4</v>
      </c>
      <c r="G2728" s="19">
        <v>0.1</v>
      </c>
      <c r="H2728" s="5" t="s">
        <v>697</v>
      </c>
      <c r="I2728" s="10">
        <f>IF(OR(D2728="", F2728=""), "", F2728 * VLOOKUP(D2728, Products!A:E, 5, FALSE) * (1 - G2728))</f>
        <v>2425.6080000000002</v>
      </c>
      <c r="J2728" s="10"/>
    </row>
    <row r="2729" spans="1:10" ht="15.75" customHeight="1" x14ac:dyDescent="0.3">
      <c r="A2729" s="5" t="s">
        <v>3596</v>
      </c>
      <c r="B2729" s="11">
        <v>45690</v>
      </c>
      <c r="C2729" s="5" t="s">
        <v>661</v>
      </c>
      <c r="D2729" s="5" t="s">
        <v>206</v>
      </c>
      <c r="E2729" s="5" t="s">
        <v>21</v>
      </c>
      <c r="F2729" s="5">
        <v>1</v>
      </c>
      <c r="G2729" s="19">
        <v>0.1</v>
      </c>
      <c r="H2729" s="5" t="s">
        <v>697</v>
      </c>
      <c r="I2729" s="10">
        <f>IF(OR(D2729="", F2729=""), "", F2729 * VLOOKUP(D2729, Products!A:E, 5, FALSE) * (1 - G2729))</f>
        <v>274.23899999999998</v>
      </c>
      <c r="J2729" s="10"/>
    </row>
    <row r="2730" spans="1:10" ht="15.75" customHeight="1" x14ac:dyDescent="0.3">
      <c r="A2730" s="5" t="s">
        <v>3597</v>
      </c>
      <c r="B2730" s="11">
        <v>45889</v>
      </c>
      <c r="C2730" s="5" t="s">
        <v>602</v>
      </c>
      <c r="D2730" s="5" t="s">
        <v>82</v>
      </c>
      <c r="E2730" s="5" t="s">
        <v>33</v>
      </c>
      <c r="F2730" s="5">
        <v>4</v>
      </c>
      <c r="G2730" s="19">
        <v>0.15</v>
      </c>
      <c r="H2730" s="5" t="s">
        <v>776</v>
      </c>
      <c r="I2730" s="10">
        <f>IF(OR(D2730="", F2730=""), "", F2730 * VLOOKUP(D2730, Products!A:E, 5, FALSE) * (1 - G2730))</f>
        <v>4056.5059999999994</v>
      </c>
      <c r="J2730" s="10"/>
    </row>
    <row r="2731" spans="1:10" ht="15.75" customHeight="1" x14ac:dyDescent="0.3">
      <c r="A2731" s="5" t="s">
        <v>3598</v>
      </c>
      <c r="B2731" s="11">
        <v>45691</v>
      </c>
      <c r="C2731" s="5" t="s">
        <v>758</v>
      </c>
      <c r="D2731" s="5" t="s">
        <v>237</v>
      </c>
      <c r="E2731" s="5" t="s">
        <v>21</v>
      </c>
      <c r="F2731" s="5">
        <v>3</v>
      </c>
      <c r="G2731" s="19">
        <v>0.1</v>
      </c>
      <c r="H2731" s="5" t="s">
        <v>454</v>
      </c>
      <c r="I2731" s="10">
        <f>IF(OR(D2731="", F2731=""), "", F2731 * VLOOKUP(D2731, Products!A:E, 5, FALSE) * (1 - G2731))</f>
        <v>990.71100000000001</v>
      </c>
      <c r="J2731" s="10"/>
    </row>
    <row r="2732" spans="1:10" ht="15.75" customHeight="1" x14ac:dyDescent="0.3">
      <c r="A2732" s="5" t="s">
        <v>3599</v>
      </c>
      <c r="B2732" s="11">
        <v>45544</v>
      </c>
      <c r="C2732" s="5" t="s">
        <v>758</v>
      </c>
      <c r="D2732" s="5" t="s">
        <v>65</v>
      </c>
      <c r="E2732" s="5" t="s">
        <v>37</v>
      </c>
      <c r="F2732" s="5">
        <v>3</v>
      </c>
      <c r="G2732" s="19">
        <v>0.15</v>
      </c>
      <c r="H2732" s="5" t="s">
        <v>454</v>
      </c>
      <c r="I2732" s="10">
        <f>IF(OR(D2732="", F2732=""), "", F2732 * VLOOKUP(D2732, Products!A:E, 5, FALSE) * (1 - G2732))</f>
        <v>3759.0059999999994</v>
      </c>
      <c r="J2732" s="10"/>
    </row>
    <row r="2733" spans="1:10" ht="15.75" customHeight="1" x14ac:dyDescent="0.3">
      <c r="A2733" s="5" t="s">
        <v>3600</v>
      </c>
      <c r="B2733" s="11">
        <v>45444</v>
      </c>
      <c r="C2733" s="5" t="s">
        <v>511</v>
      </c>
      <c r="D2733" s="5" t="s">
        <v>65</v>
      </c>
      <c r="E2733" s="5" t="s">
        <v>21</v>
      </c>
      <c r="F2733" s="5">
        <v>1</v>
      </c>
      <c r="G2733" s="19">
        <v>0</v>
      </c>
      <c r="H2733" s="5" t="s">
        <v>637</v>
      </c>
      <c r="I2733" s="10">
        <f>IF(OR(D2733="", F2733=""), "", F2733 * VLOOKUP(D2733, Products!A:E, 5, FALSE) * (1 - G2733))</f>
        <v>1474.12</v>
      </c>
      <c r="J2733" s="10"/>
    </row>
    <row r="2734" spans="1:10" ht="15.75" customHeight="1" x14ac:dyDescent="0.3">
      <c r="A2734" s="5" t="s">
        <v>3601</v>
      </c>
      <c r="B2734" s="11">
        <v>45444</v>
      </c>
      <c r="C2734" s="5" t="s">
        <v>401</v>
      </c>
      <c r="D2734" s="5" t="s">
        <v>82</v>
      </c>
      <c r="E2734" s="5" t="s">
        <v>37</v>
      </c>
      <c r="F2734" s="5">
        <v>4</v>
      </c>
      <c r="G2734" s="19">
        <v>0.05</v>
      </c>
      <c r="H2734" s="5" t="s">
        <v>637</v>
      </c>
      <c r="I2734" s="10">
        <f>IF(OR(D2734="", F2734=""), "", F2734 * VLOOKUP(D2734, Products!A:E, 5, FALSE) * (1 - G2734))</f>
        <v>4533.7419999999993</v>
      </c>
      <c r="J2734" s="10"/>
    </row>
    <row r="2735" spans="1:10" ht="15.75" customHeight="1" x14ac:dyDescent="0.3">
      <c r="A2735" s="5" t="s">
        <v>3602</v>
      </c>
      <c r="B2735" s="11">
        <v>45741</v>
      </c>
      <c r="C2735" s="5" t="s">
        <v>602</v>
      </c>
      <c r="D2735" s="5" t="s">
        <v>269</v>
      </c>
      <c r="E2735" s="5" t="s">
        <v>29</v>
      </c>
      <c r="F2735" s="5">
        <v>1</v>
      </c>
      <c r="G2735" s="19">
        <v>0.15</v>
      </c>
      <c r="H2735" s="5" t="s">
        <v>637</v>
      </c>
      <c r="I2735" s="10">
        <f>IF(OR(D2735="", F2735=""), "", F2735 * VLOOKUP(D2735, Products!A:E, 5, FALSE) * (1 - G2735))</f>
        <v>1597.2179999999998</v>
      </c>
      <c r="J2735" s="10"/>
    </row>
    <row r="2736" spans="1:10" ht="15.75" customHeight="1" x14ac:dyDescent="0.3">
      <c r="A2736" s="5" t="s">
        <v>3603</v>
      </c>
      <c r="B2736" s="11">
        <v>45483</v>
      </c>
      <c r="C2736" s="5" t="s">
        <v>733</v>
      </c>
      <c r="D2736" s="5" t="s">
        <v>200</v>
      </c>
      <c r="E2736" s="5" t="s">
        <v>37</v>
      </c>
      <c r="F2736" s="5">
        <v>4</v>
      </c>
      <c r="G2736" s="19">
        <v>0</v>
      </c>
      <c r="H2736" s="5" t="s">
        <v>776</v>
      </c>
      <c r="I2736" s="10">
        <f>IF(OR(D2736="", F2736=""), "", F2736 * VLOOKUP(D2736, Products!A:E, 5, FALSE) * (1 - G2736))</f>
        <v>4382.88</v>
      </c>
      <c r="J2736" s="10"/>
    </row>
    <row r="2737" spans="1:10" ht="15.75" customHeight="1" x14ac:dyDescent="0.3">
      <c r="A2737" s="5" t="s">
        <v>3604</v>
      </c>
      <c r="B2737" s="11">
        <v>45183</v>
      </c>
      <c r="C2737" s="5" t="s">
        <v>722</v>
      </c>
      <c r="D2737" s="5" t="s">
        <v>74</v>
      </c>
      <c r="E2737" s="5" t="s">
        <v>21</v>
      </c>
      <c r="F2737" s="5">
        <v>5</v>
      </c>
      <c r="G2737" s="19">
        <v>0</v>
      </c>
      <c r="H2737" s="5" t="s">
        <v>776</v>
      </c>
      <c r="I2737" s="10">
        <f>IF(OR(D2737="", F2737=""), "", F2737 * VLOOKUP(D2737, Products!A:E, 5, FALSE) * (1 - G2737))</f>
        <v>5970.5999999999995</v>
      </c>
      <c r="J2737" s="10"/>
    </row>
    <row r="2738" spans="1:10" ht="15.75" customHeight="1" x14ac:dyDescent="0.3">
      <c r="A2738" s="5" t="s">
        <v>3605</v>
      </c>
      <c r="B2738" s="11">
        <v>45324</v>
      </c>
      <c r="C2738" s="5" t="s">
        <v>865</v>
      </c>
      <c r="D2738" s="5" t="s">
        <v>175</v>
      </c>
      <c r="E2738" s="5" t="s">
        <v>25</v>
      </c>
      <c r="F2738" s="5">
        <v>3</v>
      </c>
      <c r="G2738" s="19">
        <v>0.15</v>
      </c>
      <c r="H2738" s="5" t="s">
        <v>637</v>
      </c>
      <c r="I2738" s="10">
        <f>IF(OR(D2738="", F2738=""), "", F2738 * VLOOKUP(D2738, Products!A:E, 5, FALSE) * (1 - G2738))</f>
        <v>3244.1864999999998</v>
      </c>
      <c r="J2738" s="10"/>
    </row>
    <row r="2739" spans="1:10" ht="15.75" customHeight="1" x14ac:dyDescent="0.3">
      <c r="A2739" s="5" t="s">
        <v>3606</v>
      </c>
      <c r="B2739" s="11">
        <v>45383</v>
      </c>
      <c r="C2739" s="5" t="s">
        <v>826</v>
      </c>
      <c r="D2739" s="5" t="s">
        <v>276</v>
      </c>
      <c r="E2739" s="5" t="s">
        <v>21</v>
      </c>
      <c r="F2739" s="5">
        <v>3</v>
      </c>
      <c r="G2739" s="19">
        <v>0.15</v>
      </c>
      <c r="H2739" s="5" t="s">
        <v>637</v>
      </c>
      <c r="I2739" s="10">
        <f>IF(OR(D2739="", F2739=""), "", F2739 * VLOOKUP(D2739, Products!A:E, 5, FALSE) * (1 - G2739))</f>
        <v>3052.8089999999997</v>
      </c>
      <c r="J2739" s="10"/>
    </row>
    <row r="2740" spans="1:10" ht="15.75" customHeight="1" x14ac:dyDescent="0.3">
      <c r="A2740" s="5" t="s">
        <v>3607</v>
      </c>
      <c r="B2740" s="11">
        <v>45264</v>
      </c>
      <c r="C2740" s="5" t="s">
        <v>705</v>
      </c>
      <c r="D2740" s="5" t="s">
        <v>217</v>
      </c>
      <c r="E2740" s="5" t="s">
        <v>37</v>
      </c>
      <c r="F2740" s="5">
        <v>1</v>
      </c>
      <c r="G2740" s="19">
        <v>0.15</v>
      </c>
      <c r="H2740" s="5" t="s">
        <v>637</v>
      </c>
      <c r="I2740" s="10">
        <f>IF(OR(D2740="", F2740=""), "", F2740 * VLOOKUP(D2740, Products!A:E, 5, FALSE) * (1 - G2740))</f>
        <v>363.84249999999997</v>
      </c>
      <c r="J2740" s="10"/>
    </row>
    <row r="2741" spans="1:10" ht="15.75" customHeight="1" x14ac:dyDescent="0.3">
      <c r="A2741" s="5" t="s">
        <v>3608</v>
      </c>
      <c r="B2741" s="11">
        <v>45342</v>
      </c>
      <c r="C2741" s="5" t="s">
        <v>786</v>
      </c>
      <c r="D2741" s="5" t="s">
        <v>74</v>
      </c>
      <c r="E2741" s="5" t="s">
        <v>21</v>
      </c>
      <c r="F2741" s="5">
        <v>2</v>
      </c>
      <c r="G2741" s="19">
        <v>0.05</v>
      </c>
      <c r="H2741" s="5" t="s">
        <v>776</v>
      </c>
      <c r="I2741" s="10">
        <f>IF(OR(D2741="", F2741=""), "", F2741 * VLOOKUP(D2741, Products!A:E, 5, FALSE) * (1 - G2741))</f>
        <v>2268.8279999999995</v>
      </c>
      <c r="J2741" s="10"/>
    </row>
    <row r="2742" spans="1:10" ht="15.75" customHeight="1" x14ac:dyDescent="0.3">
      <c r="A2742" s="5" t="s">
        <v>3609</v>
      </c>
      <c r="B2742" s="11">
        <v>45533</v>
      </c>
      <c r="C2742" s="5" t="s">
        <v>752</v>
      </c>
      <c r="D2742" s="5" t="s">
        <v>269</v>
      </c>
      <c r="E2742" s="5" t="s">
        <v>29</v>
      </c>
      <c r="F2742" s="5">
        <v>1</v>
      </c>
      <c r="G2742" s="19">
        <v>0.1</v>
      </c>
      <c r="H2742" s="5" t="s">
        <v>637</v>
      </c>
      <c r="I2742" s="10">
        <f>IF(OR(D2742="", F2742=""), "", F2742 * VLOOKUP(D2742, Products!A:E, 5, FALSE) * (1 - G2742))</f>
        <v>1691.172</v>
      </c>
      <c r="J2742" s="10"/>
    </row>
    <row r="2743" spans="1:10" ht="15.75" customHeight="1" x14ac:dyDescent="0.3">
      <c r="A2743" s="5" t="s">
        <v>3610</v>
      </c>
      <c r="B2743" s="11">
        <v>45812</v>
      </c>
      <c r="C2743" s="5" t="s">
        <v>121</v>
      </c>
      <c r="D2743" s="5" t="s">
        <v>162</v>
      </c>
      <c r="E2743" s="5" t="s">
        <v>33</v>
      </c>
      <c r="F2743" s="5">
        <v>3</v>
      </c>
      <c r="G2743" s="19">
        <v>0.1</v>
      </c>
      <c r="H2743" s="5" t="s">
        <v>454</v>
      </c>
      <c r="I2743" s="10">
        <f>IF(OR(D2743="", F2743=""), "", F2743 * VLOOKUP(D2743, Products!A:E, 5, FALSE) * (1 - G2743))</f>
        <v>1158.7049999999999</v>
      </c>
      <c r="J2743" s="10"/>
    </row>
    <row r="2744" spans="1:10" ht="15.75" customHeight="1" x14ac:dyDescent="0.3">
      <c r="A2744" s="5" t="s">
        <v>3611</v>
      </c>
      <c r="B2744" s="11">
        <v>45654</v>
      </c>
      <c r="C2744" s="5" t="s">
        <v>507</v>
      </c>
      <c r="D2744" s="5" t="s">
        <v>140</v>
      </c>
      <c r="E2744" s="5" t="s">
        <v>25</v>
      </c>
      <c r="F2744" s="5">
        <v>3</v>
      </c>
      <c r="G2744" s="19">
        <v>0.15</v>
      </c>
      <c r="H2744" s="5" t="s">
        <v>776</v>
      </c>
      <c r="I2744" s="10">
        <f>IF(OR(D2744="", F2744=""), "", F2744 * VLOOKUP(D2744, Products!A:E, 5, FALSE) * (1 - G2744))</f>
        <v>65.203500000000005</v>
      </c>
      <c r="J2744" s="10"/>
    </row>
    <row r="2745" spans="1:10" ht="15.75" customHeight="1" x14ac:dyDescent="0.3">
      <c r="A2745" s="5" t="s">
        <v>3612</v>
      </c>
      <c r="B2745" s="11">
        <v>45344</v>
      </c>
      <c r="C2745" s="5" t="s">
        <v>481</v>
      </c>
      <c r="D2745" s="5" t="s">
        <v>115</v>
      </c>
      <c r="E2745" s="5" t="s">
        <v>33</v>
      </c>
      <c r="F2745" s="5">
        <v>3</v>
      </c>
      <c r="G2745" s="19">
        <v>0.05</v>
      </c>
      <c r="H2745" s="5" t="s">
        <v>697</v>
      </c>
      <c r="I2745" s="10">
        <f>IF(OR(D2745="", F2745=""), "", F2745 * VLOOKUP(D2745, Products!A:E, 5, FALSE) * (1 - G2745))</f>
        <v>3551.4134999999997</v>
      </c>
      <c r="J2745" s="10"/>
    </row>
    <row r="2746" spans="1:10" ht="15.75" customHeight="1" x14ac:dyDescent="0.3">
      <c r="A2746" s="5" t="s">
        <v>3613</v>
      </c>
      <c r="B2746" s="11">
        <v>45868</v>
      </c>
      <c r="C2746" s="5" t="s">
        <v>691</v>
      </c>
      <c r="D2746" s="5" t="s">
        <v>43</v>
      </c>
      <c r="E2746" s="5" t="s">
        <v>37</v>
      </c>
      <c r="F2746" s="5">
        <v>3</v>
      </c>
      <c r="G2746" s="19">
        <v>0.15</v>
      </c>
      <c r="H2746" s="5" t="s">
        <v>454</v>
      </c>
      <c r="I2746" s="10">
        <f>IF(OR(D2746="", F2746=""), "", F2746 * VLOOKUP(D2746, Products!A:E, 5, FALSE) * (1 - G2746))</f>
        <v>4267.9094999999998</v>
      </c>
      <c r="J2746" s="10"/>
    </row>
    <row r="2747" spans="1:10" ht="15.75" customHeight="1" x14ac:dyDescent="0.3">
      <c r="A2747" s="5" t="s">
        <v>3614</v>
      </c>
      <c r="B2747" s="11">
        <v>45568</v>
      </c>
      <c r="C2747" s="5" t="s">
        <v>878</v>
      </c>
      <c r="D2747" s="5" t="s">
        <v>43</v>
      </c>
      <c r="E2747" s="5" t="s">
        <v>25</v>
      </c>
      <c r="F2747" s="5">
        <v>4</v>
      </c>
      <c r="G2747" s="19">
        <v>0</v>
      </c>
      <c r="H2747" s="5" t="s">
        <v>454</v>
      </c>
      <c r="I2747" s="10">
        <f>IF(OR(D2747="", F2747=""), "", F2747 * VLOOKUP(D2747, Products!A:E, 5, FALSE) * (1 - G2747))</f>
        <v>6694.76</v>
      </c>
      <c r="J2747" s="10"/>
    </row>
    <row r="2748" spans="1:10" ht="15.75" customHeight="1" x14ac:dyDescent="0.3">
      <c r="A2748" s="5" t="s">
        <v>3615</v>
      </c>
      <c r="B2748" s="11">
        <v>45313</v>
      </c>
      <c r="C2748" s="5" t="s">
        <v>507</v>
      </c>
      <c r="D2748" s="5" t="s">
        <v>232</v>
      </c>
      <c r="E2748" s="5" t="s">
        <v>37</v>
      </c>
      <c r="F2748" s="5">
        <v>5</v>
      </c>
      <c r="G2748" s="19">
        <v>0.05</v>
      </c>
      <c r="H2748" s="5" t="s">
        <v>454</v>
      </c>
      <c r="I2748" s="10">
        <f>IF(OR(D2748="", F2748=""), "", F2748 * VLOOKUP(D2748, Products!A:E, 5, FALSE) * (1 - G2748))</f>
        <v>9275.0874999999996</v>
      </c>
      <c r="J2748" s="10"/>
    </row>
    <row r="2749" spans="1:10" ht="15.75" customHeight="1" x14ac:dyDescent="0.3">
      <c r="A2749" s="5" t="s">
        <v>3616</v>
      </c>
      <c r="B2749" s="11">
        <v>45697</v>
      </c>
      <c r="C2749" s="5" t="s">
        <v>462</v>
      </c>
      <c r="D2749" s="5" t="s">
        <v>147</v>
      </c>
      <c r="E2749" s="5" t="s">
        <v>21</v>
      </c>
      <c r="F2749" s="5">
        <v>1</v>
      </c>
      <c r="G2749" s="19">
        <v>0.15</v>
      </c>
      <c r="H2749" s="5" t="s">
        <v>454</v>
      </c>
      <c r="I2749" s="10">
        <f>IF(OR(D2749="", F2749=""), "", F2749 * VLOOKUP(D2749, Products!A:E, 5, FALSE) * (1 - G2749))</f>
        <v>1596.6994999999999</v>
      </c>
      <c r="J2749" s="10"/>
    </row>
    <row r="2750" spans="1:10" ht="15.75" customHeight="1" x14ac:dyDescent="0.3">
      <c r="A2750" s="5" t="s">
        <v>3617</v>
      </c>
      <c r="B2750" s="11">
        <v>45531</v>
      </c>
      <c r="C2750" s="5" t="s">
        <v>402</v>
      </c>
      <c r="D2750" s="5" t="s">
        <v>180</v>
      </c>
      <c r="E2750" s="5" t="s">
        <v>33</v>
      </c>
      <c r="F2750" s="5">
        <v>2</v>
      </c>
      <c r="G2750" s="19">
        <v>0.15</v>
      </c>
      <c r="H2750" s="5" t="s">
        <v>697</v>
      </c>
      <c r="I2750" s="10">
        <f>IF(OR(D2750="", F2750=""), "", F2750 * VLOOKUP(D2750, Products!A:E, 5, FALSE) * (1 - G2750))</f>
        <v>1145.4259999999999</v>
      </c>
      <c r="J2750" s="10"/>
    </row>
    <row r="2751" spans="1:10" ht="15.75" customHeight="1" x14ac:dyDescent="0.3">
      <c r="A2751" s="5" t="s">
        <v>3618</v>
      </c>
      <c r="B2751" s="11">
        <v>45305</v>
      </c>
      <c r="C2751" s="5" t="s">
        <v>420</v>
      </c>
      <c r="D2751" s="5" t="s">
        <v>256</v>
      </c>
      <c r="E2751" s="5" t="s">
        <v>33</v>
      </c>
      <c r="F2751" s="5">
        <v>3</v>
      </c>
      <c r="G2751" s="19">
        <v>0.1</v>
      </c>
      <c r="H2751" s="5" t="s">
        <v>637</v>
      </c>
      <c r="I2751" s="10">
        <f>IF(OR(D2751="", F2751=""), "", F2751 * VLOOKUP(D2751, Products!A:E, 5, FALSE) * (1 - G2751))</f>
        <v>4414.527</v>
      </c>
      <c r="J2751" s="10"/>
    </row>
    <row r="2752" spans="1:10" ht="15.75" customHeight="1" x14ac:dyDescent="0.3">
      <c r="A2752" s="5" t="s">
        <v>3619</v>
      </c>
      <c r="B2752" s="11">
        <v>45479</v>
      </c>
      <c r="C2752" s="5" t="s">
        <v>515</v>
      </c>
      <c r="D2752" s="5" t="s">
        <v>262</v>
      </c>
      <c r="E2752" s="5" t="s">
        <v>25</v>
      </c>
      <c r="F2752" s="5">
        <v>2</v>
      </c>
      <c r="G2752" s="19">
        <v>0.1</v>
      </c>
      <c r="H2752" s="5" t="s">
        <v>776</v>
      </c>
      <c r="I2752" s="10">
        <f>IF(OR(D2752="", F2752=""), "", F2752 * VLOOKUP(D2752, Products!A:E, 5, FALSE) * (1 - G2752))</f>
        <v>816.51600000000008</v>
      </c>
      <c r="J2752" s="10"/>
    </row>
    <row r="2753" spans="1:10" ht="15.75" customHeight="1" x14ac:dyDescent="0.3">
      <c r="A2753" s="5" t="s">
        <v>3620</v>
      </c>
      <c r="B2753" s="11">
        <v>45641</v>
      </c>
      <c r="C2753" s="5" t="s">
        <v>245</v>
      </c>
      <c r="D2753" s="5" t="s">
        <v>43</v>
      </c>
      <c r="E2753" s="5" t="s">
        <v>25</v>
      </c>
      <c r="F2753" s="5">
        <v>5</v>
      </c>
      <c r="G2753" s="19">
        <v>0.1</v>
      </c>
      <c r="H2753" s="5" t="s">
        <v>454</v>
      </c>
      <c r="I2753" s="10">
        <f>IF(OR(D2753="", F2753=""), "", F2753 * VLOOKUP(D2753, Products!A:E, 5, FALSE) * (1 - G2753))</f>
        <v>7531.6050000000005</v>
      </c>
      <c r="J2753" s="10"/>
    </row>
    <row r="2754" spans="1:10" ht="15.75" customHeight="1" x14ac:dyDescent="0.3">
      <c r="A2754" s="5" t="s">
        <v>3621</v>
      </c>
      <c r="B2754" s="11">
        <v>45617</v>
      </c>
      <c r="C2754" s="5" t="s">
        <v>859</v>
      </c>
      <c r="D2754" s="5" t="s">
        <v>249</v>
      </c>
      <c r="E2754" s="5" t="s">
        <v>37</v>
      </c>
      <c r="F2754" s="5">
        <v>5</v>
      </c>
      <c r="G2754" s="19">
        <v>0.05</v>
      </c>
      <c r="H2754" s="5" t="s">
        <v>637</v>
      </c>
      <c r="I2754" s="10">
        <f>IF(OR(D2754="", F2754=""), "", F2754 * VLOOKUP(D2754, Products!A:E, 5, FALSE) * (1 - G2754))</f>
        <v>8291.6474999999991</v>
      </c>
      <c r="J2754" s="10"/>
    </row>
    <row r="2755" spans="1:10" ht="15.75" customHeight="1" x14ac:dyDescent="0.3">
      <c r="A2755" s="5" t="s">
        <v>3622</v>
      </c>
      <c r="B2755" s="11">
        <v>45383</v>
      </c>
      <c r="C2755" s="5" t="s">
        <v>744</v>
      </c>
      <c r="D2755" s="5" t="s">
        <v>265</v>
      </c>
      <c r="E2755" s="5" t="s">
        <v>21</v>
      </c>
      <c r="F2755" s="5">
        <v>2</v>
      </c>
      <c r="G2755" s="19">
        <v>0</v>
      </c>
      <c r="H2755" s="5" t="s">
        <v>776</v>
      </c>
      <c r="I2755" s="10">
        <f>IF(OR(D2755="", F2755=""), "", F2755 * VLOOKUP(D2755, Products!A:E, 5, FALSE) * (1 - G2755))</f>
        <v>1128.8399999999999</v>
      </c>
      <c r="J2755" s="10"/>
    </row>
    <row r="2756" spans="1:10" ht="15.75" customHeight="1" x14ac:dyDescent="0.3">
      <c r="A2756" s="5" t="s">
        <v>3623</v>
      </c>
      <c r="B2756" s="11">
        <v>45667</v>
      </c>
      <c r="C2756" s="5" t="s">
        <v>823</v>
      </c>
      <c r="D2756" s="5" t="s">
        <v>74</v>
      </c>
      <c r="E2756" s="5" t="s">
        <v>37</v>
      </c>
      <c r="F2756" s="5">
        <v>4</v>
      </c>
      <c r="G2756" s="19">
        <v>0.1</v>
      </c>
      <c r="H2756" s="5" t="s">
        <v>697</v>
      </c>
      <c r="I2756" s="10">
        <f>IF(OR(D2756="", F2756=""), "", F2756 * VLOOKUP(D2756, Products!A:E, 5, FALSE) * (1 - G2756))</f>
        <v>4298.8319999999994</v>
      </c>
      <c r="J2756" s="10"/>
    </row>
    <row r="2757" spans="1:10" ht="15.75" customHeight="1" x14ac:dyDescent="0.3">
      <c r="A2757" s="5" t="s">
        <v>3624</v>
      </c>
      <c r="B2757" s="11">
        <v>45686</v>
      </c>
      <c r="C2757" s="5" t="s">
        <v>826</v>
      </c>
      <c r="D2757" s="5" t="s">
        <v>74</v>
      </c>
      <c r="E2757" s="5" t="s">
        <v>29</v>
      </c>
      <c r="F2757" s="5">
        <v>5</v>
      </c>
      <c r="G2757" s="19">
        <v>0.1</v>
      </c>
      <c r="H2757" s="5" t="s">
        <v>637</v>
      </c>
      <c r="I2757" s="10">
        <f>IF(OR(D2757="", F2757=""), "", F2757 * VLOOKUP(D2757, Products!A:E, 5, FALSE) * (1 - G2757))</f>
        <v>5373.54</v>
      </c>
      <c r="J2757" s="10"/>
    </row>
    <row r="2758" spans="1:10" ht="15.75" customHeight="1" x14ac:dyDescent="0.3">
      <c r="A2758" s="5" t="s">
        <v>3625</v>
      </c>
      <c r="B2758" s="11">
        <v>45498</v>
      </c>
      <c r="C2758" s="5" t="s">
        <v>286</v>
      </c>
      <c r="D2758" s="5" t="s">
        <v>193</v>
      </c>
      <c r="E2758" s="5" t="s">
        <v>33</v>
      </c>
      <c r="F2758" s="5">
        <v>1</v>
      </c>
      <c r="G2758" s="19">
        <v>0.1</v>
      </c>
      <c r="H2758" s="5" t="s">
        <v>776</v>
      </c>
      <c r="I2758" s="10">
        <f>IF(OR(D2758="", F2758=""), "", F2758 * VLOOKUP(D2758, Products!A:E, 5, FALSE) * (1 - G2758))</f>
        <v>26.315999999999999</v>
      </c>
      <c r="J2758" s="10"/>
    </row>
    <row r="2759" spans="1:10" ht="15.75" customHeight="1" x14ac:dyDescent="0.3">
      <c r="A2759" s="5" t="s">
        <v>3626</v>
      </c>
      <c r="B2759" s="11">
        <v>45231</v>
      </c>
      <c r="C2759" s="5" t="s">
        <v>477</v>
      </c>
      <c r="D2759" s="5" t="s">
        <v>77</v>
      </c>
      <c r="E2759" s="5" t="s">
        <v>25</v>
      </c>
      <c r="F2759" s="5">
        <v>4</v>
      </c>
      <c r="G2759" s="19">
        <v>0</v>
      </c>
      <c r="H2759" s="5" t="s">
        <v>697</v>
      </c>
      <c r="I2759" s="10">
        <f>IF(OR(D2759="", F2759=""), "", F2759 * VLOOKUP(D2759, Products!A:E, 5, FALSE) * (1 - G2759))</f>
        <v>994.28</v>
      </c>
      <c r="J2759" s="10"/>
    </row>
    <row r="2760" spans="1:10" ht="15.75" customHeight="1" x14ac:dyDescent="0.3">
      <c r="A2760" s="5" t="s">
        <v>3627</v>
      </c>
      <c r="B2760" s="11">
        <v>45834</v>
      </c>
      <c r="C2760" s="5" t="s">
        <v>683</v>
      </c>
      <c r="D2760" s="5" t="s">
        <v>115</v>
      </c>
      <c r="E2760" s="5" t="s">
        <v>25</v>
      </c>
      <c r="F2760" s="5">
        <v>3</v>
      </c>
      <c r="G2760" s="19">
        <v>0</v>
      </c>
      <c r="H2760" s="5" t="s">
        <v>637</v>
      </c>
      <c r="I2760" s="10">
        <f>IF(OR(D2760="", F2760=""), "", F2760 * VLOOKUP(D2760, Products!A:E, 5, FALSE) * (1 - G2760))</f>
        <v>3738.33</v>
      </c>
      <c r="J2760" s="10"/>
    </row>
    <row r="2761" spans="1:10" ht="15.75" customHeight="1" x14ac:dyDescent="0.3">
      <c r="A2761" s="5" t="s">
        <v>3628</v>
      </c>
      <c r="B2761" s="11">
        <v>45512</v>
      </c>
      <c r="C2761" s="5" t="s">
        <v>380</v>
      </c>
      <c r="D2761" s="5" t="s">
        <v>276</v>
      </c>
      <c r="E2761" s="5" t="s">
        <v>25</v>
      </c>
      <c r="F2761" s="5">
        <v>2</v>
      </c>
      <c r="G2761" s="19">
        <v>0.05</v>
      </c>
      <c r="H2761" s="5" t="s">
        <v>637</v>
      </c>
      <c r="I2761" s="10">
        <f>IF(OR(D2761="", F2761=""), "", F2761 * VLOOKUP(D2761, Products!A:E, 5, FALSE) * (1 - G2761))</f>
        <v>2274.6419999999998</v>
      </c>
      <c r="J2761" s="10"/>
    </row>
    <row r="2762" spans="1:10" ht="15.75" customHeight="1" x14ac:dyDescent="0.3">
      <c r="A2762" s="5" t="s">
        <v>3629</v>
      </c>
      <c r="B2762" s="11">
        <v>45290</v>
      </c>
      <c r="C2762" s="5" t="s">
        <v>766</v>
      </c>
      <c r="D2762" s="5" t="s">
        <v>74</v>
      </c>
      <c r="E2762" s="5" t="s">
        <v>25</v>
      </c>
      <c r="F2762" s="5">
        <v>2</v>
      </c>
      <c r="G2762" s="19">
        <v>0</v>
      </c>
      <c r="H2762" s="5" t="s">
        <v>454</v>
      </c>
      <c r="I2762" s="10">
        <f>IF(OR(D2762="", F2762=""), "", F2762 * VLOOKUP(D2762, Products!A:E, 5, FALSE) * (1 - G2762))</f>
        <v>2388.2399999999998</v>
      </c>
      <c r="J2762" s="10"/>
    </row>
    <row r="2763" spans="1:10" ht="15.75" customHeight="1" x14ac:dyDescent="0.3">
      <c r="A2763" s="5" t="s">
        <v>3630</v>
      </c>
      <c r="B2763" s="11">
        <v>45558</v>
      </c>
      <c r="C2763" s="5" t="s">
        <v>401</v>
      </c>
      <c r="D2763" s="5" t="s">
        <v>103</v>
      </c>
      <c r="E2763" s="5" t="s">
        <v>21</v>
      </c>
      <c r="F2763" s="5">
        <v>5</v>
      </c>
      <c r="G2763" s="19">
        <v>0.15</v>
      </c>
      <c r="H2763" s="5" t="s">
        <v>637</v>
      </c>
      <c r="I2763" s="10">
        <f>IF(OR(D2763="", F2763=""), "", F2763 * VLOOKUP(D2763, Products!A:E, 5, FALSE) * (1 - G2763))</f>
        <v>1149.4124999999999</v>
      </c>
      <c r="J2763" s="10"/>
    </row>
    <row r="2764" spans="1:10" ht="15.75" customHeight="1" x14ac:dyDescent="0.3">
      <c r="A2764" s="5" t="s">
        <v>3631</v>
      </c>
      <c r="B2764" s="11">
        <v>45681</v>
      </c>
      <c r="C2764" s="5" t="s">
        <v>563</v>
      </c>
      <c r="D2764" s="5" t="s">
        <v>47</v>
      </c>
      <c r="E2764" s="5" t="s">
        <v>37</v>
      </c>
      <c r="F2764" s="5">
        <v>5</v>
      </c>
      <c r="G2764" s="19">
        <v>0.05</v>
      </c>
      <c r="H2764" s="5" t="s">
        <v>637</v>
      </c>
      <c r="I2764" s="10">
        <f>IF(OR(D2764="", F2764=""), "", F2764 * VLOOKUP(D2764, Products!A:E, 5, FALSE) * (1 - G2764))</f>
        <v>3889.11</v>
      </c>
      <c r="J2764" s="10"/>
    </row>
    <row r="2765" spans="1:10" ht="15.75" customHeight="1" x14ac:dyDescent="0.3">
      <c r="A2765" s="5" t="s">
        <v>3632</v>
      </c>
      <c r="B2765" s="11">
        <v>45240</v>
      </c>
      <c r="C2765" s="5" t="s">
        <v>342</v>
      </c>
      <c r="D2765" s="5" t="s">
        <v>269</v>
      </c>
      <c r="E2765" s="5" t="s">
        <v>37</v>
      </c>
      <c r="F2765" s="5">
        <v>5</v>
      </c>
      <c r="G2765" s="19">
        <v>0.15</v>
      </c>
      <c r="H2765" s="5" t="s">
        <v>637</v>
      </c>
      <c r="I2765" s="10">
        <f>IF(OR(D2765="", F2765=""), "", F2765 * VLOOKUP(D2765, Products!A:E, 5, FALSE) * (1 - G2765))</f>
        <v>7986.0899999999992</v>
      </c>
      <c r="J2765" s="10"/>
    </row>
    <row r="2766" spans="1:10" ht="15.75" customHeight="1" x14ac:dyDescent="0.3">
      <c r="A2766" s="5" t="s">
        <v>3633</v>
      </c>
      <c r="B2766" s="11">
        <v>45470</v>
      </c>
      <c r="C2766" s="5" t="s">
        <v>854</v>
      </c>
      <c r="D2766" s="5" t="s">
        <v>291</v>
      </c>
      <c r="E2766" s="5" t="s">
        <v>29</v>
      </c>
      <c r="F2766" s="5">
        <v>3</v>
      </c>
      <c r="G2766" s="19">
        <v>0.1</v>
      </c>
      <c r="H2766" s="5" t="s">
        <v>637</v>
      </c>
      <c r="I2766" s="10">
        <f>IF(OR(D2766="", F2766=""), "", F2766 * VLOOKUP(D2766, Products!A:E, 5, FALSE) * (1 - G2766))</f>
        <v>2820.5280000000002</v>
      </c>
      <c r="J2766" s="10"/>
    </row>
    <row r="2767" spans="1:10" ht="15.75" customHeight="1" x14ac:dyDescent="0.3">
      <c r="A2767" s="5" t="s">
        <v>3634</v>
      </c>
      <c r="B2767" s="11">
        <v>45807</v>
      </c>
      <c r="C2767" s="5" t="s">
        <v>522</v>
      </c>
      <c r="D2767" s="5" t="s">
        <v>291</v>
      </c>
      <c r="E2767" s="5" t="s">
        <v>29</v>
      </c>
      <c r="F2767" s="5">
        <v>2</v>
      </c>
      <c r="G2767" s="19">
        <v>0.1</v>
      </c>
      <c r="H2767" s="5" t="s">
        <v>454</v>
      </c>
      <c r="I2767" s="10">
        <f>IF(OR(D2767="", F2767=""), "", F2767 * VLOOKUP(D2767, Products!A:E, 5, FALSE) * (1 - G2767))</f>
        <v>1880.3520000000003</v>
      </c>
      <c r="J2767" s="10"/>
    </row>
    <row r="2768" spans="1:10" ht="15.75" customHeight="1" x14ac:dyDescent="0.3">
      <c r="A2768" s="5" t="s">
        <v>3635</v>
      </c>
      <c r="B2768" s="11">
        <v>45830</v>
      </c>
      <c r="C2768" s="5" t="s">
        <v>191</v>
      </c>
      <c r="D2768" s="5" t="s">
        <v>272</v>
      </c>
      <c r="E2768" s="5" t="s">
        <v>25</v>
      </c>
      <c r="F2768" s="5">
        <v>3</v>
      </c>
      <c r="G2768" s="19">
        <v>0.05</v>
      </c>
      <c r="H2768" s="5" t="s">
        <v>697</v>
      </c>
      <c r="I2768" s="10">
        <f>IF(OR(D2768="", F2768=""), "", F2768 * VLOOKUP(D2768, Products!A:E, 5, FALSE) * (1 - G2768))</f>
        <v>3321.3044999999997</v>
      </c>
      <c r="J2768" s="10"/>
    </row>
    <row r="2769" spans="1:10" ht="15.75" customHeight="1" x14ac:dyDescent="0.3">
      <c r="A2769" s="5" t="s">
        <v>3636</v>
      </c>
      <c r="B2769" s="11">
        <v>45858</v>
      </c>
      <c r="C2769" s="5" t="s">
        <v>223</v>
      </c>
      <c r="D2769" s="5" t="s">
        <v>77</v>
      </c>
      <c r="E2769" s="5" t="s">
        <v>37</v>
      </c>
      <c r="F2769" s="5">
        <v>4</v>
      </c>
      <c r="G2769" s="19">
        <v>0.1</v>
      </c>
      <c r="H2769" s="5" t="s">
        <v>776</v>
      </c>
      <c r="I2769" s="10">
        <f>IF(OR(D2769="", F2769=""), "", F2769 * VLOOKUP(D2769, Products!A:E, 5, FALSE) * (1 - G2769))</f>
        <v>894.85199999999998</v>
      </c>
      <c r="J2769" s="10"/>
    </row>
    <row r="2770" spans="1:10" ht="15.75" customHeight="1" x14ac:dyDescent="0.3">
      <c r="A2770" s="5" t="s">
        <v>3637</v>
      </c>
      <c r="B2770" s="11">
        <v>45721</v>
      </c>
      <c r="C2770" s="5" t="s">
        <v>729</v>
      </c>
      <c r="D2770" s="5" t="s">
        <v>217</v>
      </c>
      <c r="E2770" s="5" t="s">
        <v>25</v>
      </c>
      <c r="F2770" s="5">
        <v>3</v>
      </c>
      <c r="G2770" s="19">
        <v>0.05</v>
      </c>
      <c r="H2770" s="5" t="s">
        <v>637</v>
      </c>
      <c r="I2770" s="10">
        <f>IF(OR(D2770="", F2770=""), "", F2770 * VLOOKUP(D2770, Products!A:E, 5, FALSE) * (1 - G2770))</f>
        <v>1219.9425000000001</v>
      </c>
      <c r="J2770" s="10"/>
    </row>
    <row r="2771" spans="1:10" ht="15.75" customHeight="1" x14ac:dyDescent="0.3">
      <c r="A2771" s="5" t="s">
        <v>3638</v>
      </c>
      <c r="B2771" s="11">
        <v>45784</v>
      </c>
      <c r="C2771" s="5" t="s">
        <v>425</v>
      </c>
      <c r="D2771" s="5" t="s">
        <v>168</v>
      </c>
      <c r="E2771" s="5" t="s">
        <v>37</v>
      </c>
      <c r="F2771" s="5">
        <v>1</v>
      </c>
      <c r="G2771" s="19">
        <v>0.15</v>
      </c>
      <c r="H2771" s="5" t="s">
        <v>637</v>
      </c>
      <c r="I2771" s="10">
        <f>IF(OR(D2771="", F2771=""), "", F2771 * VLOOKUP(D2771, Products!A:E, 5, FALSE) * (1 - G2771))</f>
        <v>863.39599999999996</v>
      </c>
      <c r="J2771" s="10"/>
    </row>
    <row r="2772" spans="1:10" ht="15.75" customHeight="1" x14ac:dyDescent="0.3">
      <c r="A2772" s="5" t="s">
        <v>3639</v>
      </c>
      <c r="B2772" s="11">
        <v>45272</v>
      </c>
      <c r="C2772" s="5" t="s">
        <v>638</v>
      </c>
      <c r="D2772" s="5" t="s">
        <v>269</v>
      </c>
      <c r="E2772" s="5" t="s">
        <v>37</v>
      </c>
      <c r="F2772" s="5">
        <v>4</v>
      </c>
      <c r="G2772" s="19">
        <v>0</v>
      </c>
      <c r="H2772" s="5" t="s">
        <v>697</v>
      </c>
      <c r="I2772" s="10">
        <f>IF(OR(D2772="", F2772=""), "", F2772 * VLOOKUP(D2772, Products!A:E, 5, FALSE) * (1 - G2772))</f>
        <v>7516.32</v>
      </c>
      <c r="J2772" s="10"/>
    </row>
    <row r="2773" spans="1:10" ht="15.75" customHeight="1" x14ac:dyDescent="0.3">
      <c r="A2773" s="5" t="s">
        <v>3640</v>
      </c>
      <c r="B2773" s="11">
        <v>45442</v>
      </c>
      <c r="C2773" s="5" t="s">
        <v>106</v>
      </c>
      <c r="D2773" s="5" t="s">
        <v>193</v>
      </c>
      <c r="E2773" s="5" t="s">
        <v>37</v>
      </c>
      <c r="F2773" s="5">
        <v>4</v>
      </c>
      <c r="G2773" s="19">
        <v>0</v>
      </c>
      <c r="H2773" s="5" t="s">
        <v>454</v>
      </c>
      <c r="I2773" s="10">
        <f>IF(OR(D2773="", F2773=""), "", F2773 * VLOOKUP(D2773, Products!A:E, 5, FALSE) * (1 - G2773))</f>
        <v>116.96</v>
      </c>
      <c r="J2773" s="10"/>
    </row>
    <row r="2774" spans="1:10" ht="15.75" customHeight="1" x14ac:dyDescent="0.3">
      <c r="A2774" s="5" t="s">
        <v>3641</v>
      </c>
      <c r="B2774" s="11">
        <v>45232</v>
      </c>
      <c r="C2774" s="5" t="s">
        <v>620</v>
      </c>
      <c r="D2774" s="5" t="s">
        <v>226</v>
      </c>
      <c r="E2774" s="5" t="s">
        <v>25</v>
      </c>
      <c r="F2774" s="5">
        <v>1</v>
      </c>
      <c r="G2774" s="19">
        <v>0.1</v>
      </c>
      <c r="H2774" s="5" t="s">
        <v>776</v>
      </c>
      <c r="I2774" s="10">
        <f>IF(OR(D2774="", F2774=""), "", F2774 * VLOOKUP(D2774, Products!A:E, 5, FALSE) * (1 - G2774))</f>
        <v>1351.3140000000001</v>
      </c>
      <c r="J2774" s="10"/>
    </row>
    <row r="2775" spans="1:10" ht="15.75" customHeight="1" x14ac:dyDescent="0.3">
      <c r="A2775" s="5" t="s">
        <v>3642</v>
      </c>
      <c r="B2775" s="11">
        <v>45313</v>
      </c>
      <c r="C2775" s="5" t="s">
        <v>829</v>
      </c>
      <c r="D2775" s="5" t="s">
        <v>50</v>
      </c>
      <c r="E2775" s="5" t="s">
        <v>29</v>
      </c>
      <c r="F2775" s="5">
        <v>5</v>
      </c>
      <c r="G2775" s="19">
        <v>0.1</v>
      </c>
      <c r="H2775" s="5" t="s">
        <v>776</v>
      </c>
      <c r="I2775" s="10">
        <f>IF(OR(D2775="", F2775=""), "", F2775 * VLOOKUP(D2775, Products!A:E, 5, FALSE) * (1 - G2775))</f>
        <v>1519.335</v>
      </c>
      <c r="J2775" s="10"/>
    </row>
    <row r="2776" spans="1:10" ht="15.75" customHeight="1" x14ac:dyDescent="0.3">
      <c r="A2776" s="5" t="s">
        <v>3643</v>
      </c>
      <c r="B2776" s="11">
        <v>45839</v>
      </c>
      <c r="C2776" s="5" t="s">
        <v>823</v>
      </c>
      <c r="D2776" s="5" t="s">
        <v>243</v>
      </c>
      <c r="E2776" s="5" t="s">
        <v>37</v>
      </c>
      <c r="F2776" s="5">
        <v>4</v>
      </c>
      <c r="G2776" s="19">
        <v>0.15</v>
      </c>
      <c r="H2776" s="5" t="s">
        <v>697</v>
      </c>
      <c r="I2776" s="10">
        <f>IF(OR(D2776="", F2776=""), "", F2776 * VLOOKUP(D2776, Products!A:E, 5, FALSE) * (1 - G2776))</f>
        <v>1839.1960000000001</v>
      </c>
      <c r="J2776" s="10"/>
    </row>
    <row r="2777" spans="1:10" ht="15.75" customHeight="1" x14ac:dyDescent="0.3">
      <c r="A2777" s="5" t="s">
        <v>3644</v>
      </c>
      <c r="B2777" s="11">
        <v>45527</v>
      </c>
      <c r="C2777" s="5" t="s">
        <v>546</v>
      </c>
      <c r="D2777" s="5" t="s">
        <v>249</v>
      </c>
      <c r="E2777" s="5" t="s">
        <v>25</v>
      </c>
      <c r="F2777" s="5">
        <v>4</v>
      </c>
      <c r="G2777" s="19">
        <v>0.1</v>
      </c>
      <c r="H2777" s="5" t="s">
        <v>454</v>
      </c>
      <c r="I2777" s="10">
        <f>IF(OR(D2777="", F2777=""), "", F2777 * VLOOKUP(D2777, Products!A:E, 5, FALSE) * (1 - G2777))</f>
        <v>6284.1959999999999</v>
      </c>
      <c r="J2777" s="10"/>
    </row>
    <row r="2778" spans="1:10" ht="15.75" customHeight="1" x14ac:dyDescent="0.3">
      <c r="A2778" s="5" t="s">
        <v>3645</v>
      </c>
      <c r="B2778" s="11">
        <v>45517</v>
      </c>
      <c r="C2778" s="5" t="s">
        <v>484</v>
      </c>
      <c r="D2778" s="5" t="s">
        <v>265</v>
      </c>
      <c r="E2778" s="5" t="s">
        <v>25</v>
      </c>
      <c r="F2778" s="5">
        <v>5</v>
      </c>
      <c r="G2778" s="19">
        <v>0.15</v>
      </c>
      <c r="H2778" s="5" t="s">
        <v>697</v>
      </c>
      <c r="I2778" s="10">
        <f>IF(OR(D2778="", F2778=""), "", F2778 * VLOOKUP(D2778, Products!A:E, 5, FALSE) * (1 - G2778))</f>
        <v>2398.7849999999999</v>
      </c>
      <c r="J2778" s="10"/>
    </row>
    <row r="2779" spans="1:10" ht="15.75" customHeight="1" x14ac:dyDescent="0.3">
      <c r="A2779" s="5" t="s">
        <v>3646</v>
      </c>
      <c r="B2779" s="11">
        <v>45536</v>
      </c>
      <c r="C2779" s="5" t="s">
        <v>869</v>
      </c>
      <c r="D2779" s="5" t="s">
        <v>134</v>
      </c>
      <c r="E2779" s="5" t="s">
        <v>37</v>
      </c>
      <c r="F2779" s="5">
        <v>5</v>
      </c>
      <c r="G2779" s="19">
        <v>0.1</v>
      </c>
      <c r="H2779" s="5" t="s">
        <v>776</v>
      </c>
      <c r="I2779" s="10">
        <f>IF(OR(D2779="", F2779=""), "", F2779 * VLOOKUP(D2779, Products!A:E, 5, FALSE) * (1 - G2779))</f>
        <v>5522.58</v>
      </c>
      <c r="J2779" s="10"/>
    </row>
    <row r="2780" spans="1:10" ht="15.75" customHeight="1" x14ac:dyDescent="0.3">
      <c r="A2780" s="5" t="s">
        <v>3647</v>
      </c>
      <c r="B2780" s="11">
        <v>45358</v>
      </c>
      <c r="C2780" s="5" t="s">
        <v>736</v>
      </c>
      <c r="D2780" s="5" t="s">
        <v>89</v>
      </c>
      <c r="E2780" s="5" t="s">
        <v>21</v>
      </c>
      <c r="F2780" s="5">
        <v>3</v>
      </c>
      <c r="G2780" s="19">
        <v>0</v>
      </c>
      <c r="H2780" s="5" t="s">
        <v>776</v>
      </c>
      <c r="I2780" s="10">
        <f>IF(OR(D2780="", F2780=""), "", F2780 * VLOOKUP(D2780, Products!A:E, 5, FALSE) * (1 - G2780))</f>
        <v>3404.3999999999996</v>
      </c>
      <c r="J2780" s="10"/>
    </row>
    <row r="2781" spans="1:10" ht="15.75" customHeight="1" x14ac:dyDescent="0.3">
      <c r="A2781" s="5" t="s">
        <v>3648</v>
      </c>
      <c r="B2781" s="11">
        <v>45513</v>
      </c>
      <c r="C2781" s="5" t="s">
        <v>740</v>
      </c>
      <c r="D2781" s="5" t="s">
        <v>256</v>
      </c>
      <c r="E2781" s="5" t="s">
        <v>21</v>
      </c>
      <c r="F2781" s="5">
        <v>5</v>
      </c>
      <c r="G2781" s="19">
        <v>0.15</v>
      </c>
      <c r="H2781" s="5" t="s">
        <v>697</v>
      </c>
      <c r="I2781" s="10">
        <f>IF(OR(D2781="", F2781=""), "", F2781 * VLOOKUP(D2781, Products!A:E, 5, FALSE) * (1 - G2781))</f>
        <v>6948.7924999999996</v>
      </c>
      <c r="J2781" s="10"/>
    </row>
    <row r="2782" spans="1:10" ht="15.75" customHeight="1" x14ac:dyDescent="0.3">
      <c r="A2782" s="5" t="s">
        <v>3649</v>
      </c>
      <c r="B2782" s="11">
        <v>45902</v>
      </c>
      <c r="C2782" s="5" t="s">
        <v>840</v>
      </c>
      <c r="D2782" s="5" t="s">
        <v>147</v>
      </c>
      <c r="E2782" s="5" t="s">
        <v>25</v>
      </c>
      <c r="F2782" s="5">
        <v>2</v>
      </c>
      <c r="G2782" s="19">
        <v>0.05</v>
      </c>
      <c r="H2782" s="5" t="s">
        <v>697</v>
      </c>
      <c r="I2782" s="10">
        <f>IF(OR(D2782="", F2782=""), "", F2782 * VLOOKUP(D2782, Products!A:E, 5, FALSE) * (1 - G2782))</f>
        <v>3569.0929999999998</v>
      </c>
      <c r="J2782" s="10"/>
    </row>
    <row r="2783" spans="1:10" ht="15.75" customHeight="1" x14ac:dyDescent="0.3">
      <c r="A2783" s="5" t="s">
        <v>3650</v>
      </c>
      <c r="B2783" s="11">
        <v>45826</v>
      </c>
      <c r="C2783" s="5" t="s">
        <v>121</v>
      </c>
      <c r="D2783" s="5" t="s">
        <v>269</v>
      </c>
      <c r="E2783" s="5" t="s">
        <v>33</v>
      </c>
      <c r="F2783" s="5">
        <v>1</v>
      </c>
      <c r="G2783" s="19">
        <v>0.1</v>
      </c>
      <c r="H2783" s="5" t="s">
        <v>776</v>
      </c>
      <c r="I2783" s="10">
        <f>IF(OR(D2783="", F2783=""), "", F2783 * VLOOKUP(D2783, Products!A:E, 5, FALSE) * (1 - G2783))</f>
        <v>1691.172</v>
      </c>
      <c r="J2783" s="10"/>
    </row>
    <row r="2784" spans="1:10" ht="15.75" customHeight="1" x14ac:dyDescent="0.3">
      <c r="A2784" s="5" t="s">
        <v>3651</v>
      </c>
      <c r="B2784" s="11">
        <v>45305</v>
      </c>
      <c r="C2784" s="5" t="s">
        <v>223</v>
      </c>
      <c r="D2784" s="5" t="s">
        <v>168</v>
      </c>
      <c r="E2784" s="5" t="s">
        <v>33</v>
      </c>
      <c r="F2784" s="5">
        <v>5</v>
      </c>
      <c r="G2784" s="19">
        <v>0.15</v>
      </c>
      <c r="H2784" s="5" t="s">
        <v>637</v>
      </c>
      <c r="I2784" s="10">
        <f>IF(OR(D2784="", F2784=""), "", F2784 * VLOOKUP(D2784, Products!A:E, 5, FALSE) * (1 - G2784))</f>
        <v>4316.9800000000005</v>
      </c>
      <c r="J2784" s="10"/>
    </row>
    <row r="2785" spans="1:10" ht="15.75" customHeight="1" x14ac:dyDescent="0.3">
      <c r="A2785" s="5" t="s">
        <v>3652</v>
      </c>
      <c r="B2785" s="11">
        <v>45681</v>
      </c>
      <c r="C2785" s="5" t="s">
        <v>532</v>
      </c>
      <c r="D2785" s="5" t="s">
        <v>70</v>
      </c>
      <c r="E2785" s="5" t="s">
        <v>33</v>
      </c>
      <c r="F2785" s="5">
        <v>2</v>
      </c>
      <c r="G2785" s="19">
        <v>0.1</v>
      </c>
      <c r="H2785" s="5" t="s">
        <v>697</v>
      </c>
      <c r="I2785" s="10">
        <f>IF(OR(D2785="", F2785=""), "", F2785 * VLOOKUP(D2785, Products!A:E, 5, FALSE) * (1 - G2785))</f>
        <v>221.74199999999999</v>
      </c>
      <c r="J2785" s="10"/>
    </row>
    <row r="2786" spans="1:10" ht="15.75" customHeight="1" x14ac:dyDescent="0.3">
      <c r="A2786" s="5" t="s">
        <v>3653</v>
      </c>
      <c r="B2786" s="11">
        <v>45337</v>
      </c>
      <c r="C2786" s="5" t="s">
        <v>223</v>
      </c>
      <c r="D2786" s="5" t="s">
        <v>74</v>
      </c>
      <c r="E2786" s="5" t="s">
        <v>29</v>
      </c>
      <c r="F2786" s="5">
        <v>3</v>
      </c>
      <c r="G2786" s="19">
        <v>0.05</v>
      </c>
      <c r="H2786" s="5" t="s">
        <v>637</v>
      </c>
      <c r="I2786" s="10">
        <f>IF(OR(D2786="", F2786=""), "", F2786 * VLOOKUP(D2786, Products!A:E, 5, FALSE) * (1 - G2786))</f>
        <v>3403.2419999999997</v>
      </c>
      <c r="J2786" s="10"/>
    </row>
    <row r="2787" spans="1:10" ht="15.75" customHeight="1" x14ac:dyDescent="0.3">
      <c r="A2787" s="5" t="s">
        <v>3654</v>
      </c>
      <c r="B2787" s="11">
        <v>45568</v>
      </c>
      <c r="C2787" s="5" t="s">
        <v>409</v>
      </c>
      <c r="D2787" s="5" t="s">
        <v>269</v>
      </c>
      <c r="E2787" s="5" t="s">
        <v>33</v>
      </c>
      <c r="F2787" s="5">
        <v>1</v>
      </c>
      <c r="G2787" s="19">
        <v>0.05</v>
      </c>
      <c r="H2787" s="5" t="s">
        <v>454</v>
      </c>
      <c r="I2787" s="10">
        <f>IF(OR(D2787="", F2787=""), "", F2787 * VLOOKUP(D2787, Products!A:E, 5, FALSE) * (1 - G2787))</f>
        <v>1785.1259999999997</v>
      </c>
      <c r="J2787" s="10"/>
    </row>
    <row r="2788" spans="1:10" ht="15.75" customHeight="1" x14ac:dyDescent="0.3">
      <c r="A2788" s="5" t="s">
        <v>3655</v>
      </c>
      <c r="B2788" s="11">
        <v>45792</v>
      </c>
      <c r="C2788" s="5" t="s">
        <v>550</v>
      </c>
      <c r="D2788" s="5" t="s">
        <v>134</v>
      </c>
      <c r="E2788" s="5" t="s">
        <v>25</v>
      </c>
      <c r="F2788" s="5">
        <v>2</v>
      </c>
      <c r="G2788" s="19">
        <v>0.1</v>
      </c>
      <c r="H2788" s="5" t="s">
        <v>776</v>
      </c>
      <c r="I2788" s="10">
        <f>IF(OR(D2788="", F2788=""), "", F2788 * VLOOKUP(D2788, Products!A:E, 5, FALSE) * (1 - G2788))</f>
        <v>2209.0320000000002</v>
      </c>
      <c r="J2788" s="10"/>
    </row>
    <row r="2789" spans="1:10" ht="15.75" customHeight="1" x14ac:dyDescent="0.3">
      <c r="A2789" s="5" t="s">
        <v>3656</v>
      </c>
      <c r="B2789" s="11">
        <v>45466</v>
      </c>
      <c r="C2789" s="5" t="s">
        <v>491</v>
      </c>
      <c r="D2789" s="5" t="s">
        <v>237</v>
      </c>
      <c r="E2789" s="5" t="s">
        <v>33</v>
      </c>
      <c r="F2789" s="5">
        <v>1</v>
      </c>
      <c r="G2789" s="19">
        <v>0.1</v>
      </c>
      <c r="H2789" s="5" t="s">
        <v>776</v>
      </c>
      <c r="I2789" s="10">
        <f>IF(OR(D2789="", F2789=""), "", F2789 * VLOOKUP(D2789, Products!A:E, 5, FALSE) * (1 - G2789))</f>
        <v>330.23700000000002</v>
      </c>
      <c r="J2789" s="10"/>
    </row>
    <row r="2790" spans="1:10" ht="15.75" customHeight="1" x14ac:dyDescent="0.3">
      <c r="A2790" s="5" t="s">
        <v>3657</v>
      </c>
      <c r="B2790" s="11">
        <v>45733</v>
      </c>
      <c r="C2790" s="5" t="s">
        <v>733</v>
      </c>
      <c r="D2790" s="5" t="s">
        <v>267</v>
      </c>
      <c r="E2790" s="5" t="s">
        <v>21</v>
      </c>
      <c r="F2790" s="5">
        <v>5</v>
      </c>
      <c r="G2790" s="19">
        <v>0</v>
      </c>
      <c r="H2790" s="5" t="s">
        <v>454</v>
      </c>
      <c r="I2790" s="10">
        <f>IF(OR(D2790="", F2790=""), "", F2790 * VLOOKUP(D2790, Products!A:E, 5, FALSE) * (1 - G2790))</f>
        <v>6432.75</v>
      </c>
      <c r="J2790" s="10"/>
    </row>
    <row r="2791" spans="1:10" ht="15.75" customHeight="1" x14ac:dyDescent="0.3">
      <c r="A2791" s="5" t="s">
        <v>3658</v>
      </c>
      <c r="B2791" s="11">
        <v>45233</v>
      </c>
      <c r="C2791" s="5" t="s">
        <v>223</v>
      </c>
      <c r="D2791" s="5" t="s">
        <v>147</v>
      </c>
      <c r="E2791" s="5" t="s">
        <v>25</v>
      </c>
      <c r="F2791" s="5">
        <v>1</v>
      </c>
      <c r="G2791" s="19">
        <v>0</v>
      </c>
      <c r="H2791" s="5" t="s">
        <v>776</v>
      </c>
      <c r="I2791" s="10">
        <f>IF(OR(D2791="", F2791=""), "", F2791 * VLOOKUP(D2791, Products!A:E, 5, FALSE) * (1 - G2791))</f>
        <v>1878.47</v>
      </c>
      <c r="J2791" s="10"/>
    </row>
    <row r="2792" spans="1:10" ht="15.75" customHeight="1" x14ac:dyDescent="0.3">
      <c r="A2792" s="5" t="s">
        <v>3659</v>
      </c>
      <c r="B2792" s="11">
        <v>45857</v>
      </c>
      <c r="C2792" s="5" t="s">
        <v>481</v>
      </c>
      <c r="D2792" s="5" t="s">
        <v>175</v>
      </c>
      <c r="E2792" s="5" t="s">
        <v>33</v>
      </c>
      <c r="F2792" s="5">
        <v>3</v>
      </c>
      <c r="G2792" s="19">
        <v>0</v>
      </c>
      <c r="H2792" s="5" t="s">
        <v>454</v>
      </c>
      <c r="I2792" s="10">
        <f>IF(OR(D2792="", F2792=""), "", F2792 * VLOOKUP(D2792, Products!A:E, 5, FALSE) * (1 - G2792))</f>
        <v>3816.69</v>
      </c>
      <c r="J2792" s="10"/>
    </row>
    <row r="2793" spans="1:10" ht="15.75" customHeight="1" x14ac:dyDescent="0.3">
      <c r="A2793" s="5" t="s">
        <v>3660</v>
      </c>
      <c r="B2793" s="11">
        <v>45564</v>
      </c>
      <c r="C2793" s="5" t="s">
        <v>181</v>
      </c>
      <c r="D2793" s="5" t="s">
        <v>212</v>
      </c>
      <c r="E2793" s="5" t="s">
        <v>25</v>
      </c>
      <c r="F2793" s="5">
        <v>2</v>
      </c>
      <c r="G2793" s="19">
        <v>0.15</v>
      </c>
      <c r="H2793" s="5" t="s">
        <v>697</v>
      </c>
      <c r="I2793" s="10">
        <f>IF(OR(D2793="", F2793=""), "", F2793 * VLOOKUP(D2793, Products!A:E, 5, FALSE) * (1 - G2793))</f>
        <v>3058.2489999999998</v>
      </c>
      <c r="J2793" s="10"/>
    </row>
    <row r="2794" spans="1:10" ht="15.75" customHeight="1" x14ac:dyDescent="0.3">
      <c r="A2794" s="5" t="s">
        <v>3661</v>
      </c>
      <c r="B2794" s="11">
        <v>45529</v>
      </c>
      <c r="C2794" s="5" t="s">
        <v>674</v>
      </c>
      <c r="D2794" s="5" t="s">
        <v>232</v>
      </c>
      <c r="E2794" s="5" t="s">
        <v>25</v>
      </c>
      <c r="F2794" s="5">
        <v>3</v>
      </c>
      <c r="G2794" s="19">
        <v>0</v>
      </c>
      <c r="H2794" s="5" t="s">
        <v>697</v>
      </c>
      <c r="I2794" s="10">
        <f>IF(OR(D2794="", F2794=""), "", F2794 * VLOOKUP(D2794, Products!A:E, 5, FALSE) * (1 - G2794))</f>
        <v>5857.9500000000007</v>
      </c>
      <c r="J2794" s="10"/>
    </row>
    <row r="2795" spans="1:10" ht="15.75" customHeight="1" x14ac:dyDescent="0.3">
      <c r="A2795" s="5" t="s">
        <v>3662</v>
      </c>
      <c r="B2795" s="11">
        <v>45386</v>
      </c>
      <c r="C2795" s="5" t="s">
        <v>727</v>
      </c>
      <c r="D2795" s="5" t="s">
        <v>47</v>
      </c>
      <c r="E2795" s="5" t="s">
        <v>29</v>
      </c>
      <c r="F2795" s="5">
        <v>5</v>
      </c>
      <c r="G2795" s="19">
        <v>0.05</v>
      </c>
      <c r="H2795" s="5" t="s">
        <v>637</v>
      </c>
      <c r="I2795" s="10">
        <f>IF(OR(D2795="", F2795=""), "", F2795 * VLOOKUP(D2795, Products!A:E, 5, FALSE) * (1 - G2795))</f>
        <v>3889.11</v>
      </c>
      <c r="J2795" s="10"/>
    </row>
    <row r="2796" spans="1:10" ht="15.75" customHeight="1" x14ac:dyDescent="0.3">
      <c r="A2796" s="5" t="s">
        <v>3663</v>
      </c>
      <c r="B2796" s="11">
        <v>45348</v>
      </c>
      <c r="C2796" s="5" t="s">
        <v>815</v>
      </c>
      <c r="D2796" s="5" t="s">
        <v>249</v>
      </c>
      <c r="E2796" s="5" t="s">
        <v>25</v>
      </c>
      <c r="F2796" s="5">
        <v>5</v>
      </c>
      <c r="G2796" s="19">
        <v>0.05</v>
      </c>
      <c r="H2796" s="5" t="s">
        <v>637</v>
      </c>
      <c r="I2796" s="10">
        <f>IF(OR(D2796="", F2796=""), "", F2796 * VLOOKUP(D2796, Products!A:E, 5, FALSE) * (1 - G2796))</f>
        <v>8291.6474999999991</v>
      </c>
      <c r="J2796" s="10"/>
    </row>
    <row r="2797" spans="1:10" ht="15.75" customHeight="1" x14ac:dyDescent="0.3">
      <c r="A2797" s="5" t="s">
        <v>3664</v>
      </c>
      <c r="B2797" s="11">
        <v>45245</v>
      </c>
      <c r="C2797" s="5" t="s">
        <v>121</v>
      </c>
      <c r="D2797" s="5" t="s">
        <v>82</v>
      </c>
      <c r="E2797" s="5" t="s">
        <v>37</v>
      </c>
      <c r="F2797" s="5">
        <v>1</v>
      </c>
      <c r="G2797" s="19">
        <v>0</v>
      </c>
      <c r="H2797" s="5" t="s">
        <v>454</v>
      </c>
      <c r="I2797" s="10">
        <f>IF(OR(D2797="", F2797=""), "", F2797 * VLOOKUP(D2797, Products!A:E, 5, FALSE) * (1 - G2797))</f>
        <v>1193.0899999999999</v>
      </c>
      <c r="J2797" s="10"/>
    </row>
    <row r="2798" spans="1:10" ht="15.75" customHeight="1" x14ac:dyDescent="0.3">
      <c r="A2798" s="5" t="s">
        <v>3665</v>
      </c>
      <c r="B2798" s="11">
        <v>45236</v>
      </c>
      <c r="C2798" s="5" t="s">
        <v>447</v>
      </c>
      <c r="D2798" s="5" t="s">
        <v>153</v>
      </c>
      <c r="E2798" s="5" t="s">
        <v>21</v>
      </c>
      <c r="F2798" s="5">
        <v>3</v>
      </c>
      <c r="G2798" s="19">
        <v>0.05</v>
      </c>
      <c r="H2798" s="5" t="s">
        <v>697</v>
      </c>
      <c r="I2798" s="10">
        <f>IF(OR(D2798="", F2798=""), "", F2798 * VLOOKUP(D2798, Products!A:E, 5, FALSE) * (1 - G2798))</f>
        <v>4239.1185000000005</v>
      </c>
      <c r="J2798" s="10"/>
    </row>
    <row r="2799" spans="1:10" ht="15.75" customHeight="1" x14ac:dyDescent="0.3">
      <c r="A2799" s="5" t="s">
        <v>3666</v>
      </c>
      <c r="B2799" s="11">
        <v>45270</v>
      </c>
      <c r="C2799" s="5" t="s">
        <v>229</v>
      </c>
      <c r="D2799" s="5" t="s">
        <v>180</v>
      </c>
      <c r="E2799" s="5" t="s">
        <v>33</v>
      </c>
      <c r="F2799" s="5">
        <v>2</v>
      </c>
      <c r="G2799" s="19">
        <v>0.05</v>
      </c>
      <c r="H2799" s="5" t="s">
        <v>454</v>
      </c>
      <c r="I2799" s="10">
        <f>IF(OR(D2799="", F2799=""), "", F2799 * VLOOKUP(D2799, Products!A:E, 5, FALSE) * (1 - G2799))</f>
        <v>1280.1819999999998</v>
      </c>
      <c r="J2799" s="10"/>
    </row>
    <row r="2800" spans="1:10" ht="15.75" customHeight="1" x14ac:dyDescent="0.3">
      <c r="A2800" s="5" t="s">
        <v>3667</v>
      </c>
      <c r="B2800" s="11">
        <v>45473</v>
      </c>
      <c r="C2800" s="5" t="s">
        <v>600</v>
      </c>
      <c r="D2800" s="5" t="s">
        <v>212</v>
      </c>
      <c r="E2800" s="5" t="s">
        <v>37</v>
      </c>
      <c r="F2800" s="5">
        <v>4</v>
      </c>
      <c r="G2800" s="19">
        <v>0.15</v>
      </c>
      <c r="H2800" s="5" t="s">
        <v>776</v>
      </c>
      <c r="I2800" s="10">
        <f>IF(OR(D2800="", F2800=""), "", F2800 * VLOOKUP(D2800, Products!A:E, 5, FALSE) * (1 - G2800))</f>
        <v>6116.4979999999996</v>
      </c>
      <c r="J2800" s="10"/>
    </row>
    <row r="2801" spans="1:10" ht="15.75" customHeight="1" x14ac:dyDescent="0.3">
      <c r="A2801" s="5" t="s">
        <v>3668</v>
      </c>
      <c r="B2801" s="11">
        <v>45491</v>
      </c>
      <c r="C2801" s="5" t="s">
        <v>786</v>
      </c>
      <c r="D2801" s="5" t="s">
        <v>67</v>
      </c>
      <c r="E2801" s="5" t="s">
        <v>37</v>
      </c>
      <c r="F2801" s="5">
        <v>1</v>
      </c>
      <c r="G2801" s="19">
        <v>0.1</v>
      </c>
      <c r="H2801" s="5" t="s">
        <v>697</v>
      </c>
      <c r="I2801" s="10">
        <f>IF(OR(D2801="", F2801=""), "", F2801 * VLOOKUP(D2801, Products!A:E, 5, FALSE) * (1 - G2801))</f>
        <v>98.802000000000007</v>
      </c>
      <c r="J2801" s="10"/>
    </row>
    <row r="2802" spans="1:10" ht="15.75" customHeight="1" x14ac:dyDescent="0.3">
      <c r="A2802" s="5" t="s">
        <v>3669</v>
      </c>
      <c r="B2802" s="11">
        <v>45328</v>
      </c>
      <c r="C2802" s="5" t="s">
        <v>519</v>
      </c>
      <c r="D2802" s="5" t="s">
        <v>272</v>
      </c>
      <c r="E2802" s="5" t="s">
        <v>25</v>
      </c>
      <c r="F2802" s="5">
        <v>2</v>
      </c>
      <c r="G2802" s="19">
        <v>0.15</v>
      </c>
      <c r="H2802" s="5" t="s">
        <v>697</v>
      </c>
      <c r="I2802" s="10">
        <f>IF(OR(D2802="", F2802=""), "", F2802 * VLOOKUP(D2802, Products!A:E, 5, FALSE) * (1 - G2802))</f>
        <v>1981.1289999999997</v>
      </c>
      <c r="J2802" s="10"/>
    </row>
    <row r="2803" spans="1:10" ht="15.75" customHeight="1" x14ac:dyDescent="0.3">
      <c r="A2803" s="5" t="s">
        <v>3670</v>
      </c>
      <c r="B2803" s="11">
        <v>45739</v>
      </c>
      <c r="C2803" s="5" t="s">
        <v>554</v>
      </c>
      <c r="D2803" s="5" t="s">
        <v>47</v>
      </c>
      <c r="E2803" s="5" t="s">
        <v>21</v>
      </c>
      <c r="F2803" s="5">
        <v>3</v>
      </c>
      <c r="G2803" s="19">
        <v>0</v>
      </c>
      <c r="H2803" s="5" t="s">
        <v>637</v>
      </c>
      <c r="I2803" s="10">
        <f>IF(OR(D2803="", F2803=""), "", F2803 * VLOOKUP(D2803, Products!A:E, 5, FALSE) * (1 - G2803))</f>
        <v>2456.2799999999997</v>
      </c>
      <c r="J2803" s="10"/>
    </row>
    <row r="2804" spans="1:10" ht="15.75" customHeight="1" x14ac:dyDescent="0.3">
      <c r="A2804" s="5" t="s">
        <v>3671</v>
      </c>
      <c r="B2804" s="11">
        <v>45293</v>
      </c>
      <c r="C2804" s="5" t="s">
        <v>773</v>
      </c>
      <c r="D2804" s="5" t="s">
        <v>180</v>
      </c>
      <c r="E2804" s="5" t="s">
        <v>37</v>
      </c>
      <c r="F2804" s="5">
        <v>1</v>
      </c>
      <c r="G2804" s="19">
        <v>0</v>
      </c>
      <c r="H2804" s="5" t="s">
        <v>454</v>
      </c>
      <c r="I2804" s="10">
        <f>IF(OR(D2804="", F2804=""), "", F2804 * VLOOKUP(D2804, Products!A:E, 5, FALSE) * (1 - G2804))</f>
        <v>673.78</v>
      </c>
      <c r="J2804" s="10"/>
    </row>
    <row r="2805" spans="1:10" ht="15.75" customHeight="1" x14ac:dyDescent="0.3">
      <c r="A2805" s="5" t="s">
        <v>3672</v>
      </c>
      <c r="B2805" s="11">
        <v>45339</v>
      </c>
      <c r="C2805" s="5" t="s">
        <v>665</v>
      </c>
      <c r="D2805" s="5" t="s">
        <v>267</v>
      </c>
      <c r="E2805" s="5" t="s">
        <v>37</v>
      </c>
      <c r="F2805" s="5">
        <v>5</v>
      </c>
      <c r="G2805" s="19">
        <v>0.15</v>
      </c>
      <c r="H2805" s="5" t="s">
        <v>697</v>
      </c>
      <c r="I2805" s="10">
        <f>IF(OR(D2805="", F2805=""), "", F2805 * VLOOKUP(D2805, Products!A:E, 5, FALSE) * (1 - G2805))</f>
        <v>5467.8374999999996</v>
      </c>
      <c r="J2805" s="10"/>
    </row>
    <row r="2806" spans="1:10" ht="15.75" customHeight="1" x14ac:dyDescent="0.3">
      <c r="A2806" s="5" t="s">
        <v>3673</v>
      </c>
      <c r="B2806" s="11">
        <v>45680</v>
      </c>
      <c r="C2806" s="5" t="s">
        <v>440</v>
      </c>
      <c r="D2806" s="5" t="s">
        <v>217</v>
      </c>
      <c r="E2806" s="5" t="s">
        <v>29</v>
      </c>
      <c r="F2806" s="5">
        <v>2</v>
      </c>
      <c r="G2806" s="19">
        <v>0.15</v>
      </c>
      <c r="H2806" s="5" t="s">
        <v>697</v>
      </c>
      <c r="I2806" s="10">
        <f>IF(OR(D2806="", F2806=""), "", F2806 * VLOOKUP(D2806, Products!A:E, 5, FALSE) * (1 - G2806))</f>
        <v>727.68499999999995</v>
      </c>
      <c r="J2806" s="10"/>
    </row>
    <row r="2807" spans="1:10" ht="15.75" customHeight="1" x14ac:dyDescent="0.3">
      <c r="A2807" s="5" t="s">
        <v>3674</v>
      </c>
      <c r="B2807" s="11">
        <v>45471</v>
      </c>
      <c r="C2807" s="5" t="s">
        <v>447</v>
      </c>
      <c r="D2807" s="5" t="s">
        <v>134</v>
      </c>
      <c r="E2807" s="5" t="s">
        <v>33</v>
      </c>
      <c r="F2807" s="5">
        <v>4</v>
      </c>
      <c r="G2807" s="19">
        <v>0.15</v>
      </c>
      <c r="H2807" s="5" t="s">
        <v>637</v>
      </c>
      <c r="I2807" s="10">
        <f>IF(OR(D2807="", F2807=""), "", F2807 * VLOOKUP(D2807, Products!A:E, 5, FALSE) * (1 - G2807))</f>
        <v>4172.616</v>
      </c>
      <c r="J2807" s="10"/>
    </row>
    <row r="2808" spans="1:10" ht="15.75" customHeight="1" x14ac:dyDescent="0.3">
      <c r="A2808" s="5" t="s">
        <v>3675</v>
      </c>
      <c r="B2808" s="11">
        <v>45462</v>
      </c>
      <c r="C2808" s="5" t="s">
        <v>203</v>
      </c>
      <c r="D2808" s="5" t="s">
        <v>128</v>
      </c>
      <c r="E2808" s="5" t="s">
        <v>33</v>
      </c>
      <c r="F2808" s="5">
        <v>1</v>
      </c>
      <c r="G2808" s="19">
        <v>0.15</v>
      </c>
      <c r="H2808" s="5" t="s">
        <v>776</v>
      </c>
      <c r="I2808" s="10">
        <f>IF(OR(D2808="", F2808=""), "", F2808 * VLOOKUP(D2808, Products!A:E, 5, FALSE) * (1 - G2808))</f>
        <v>275.33199999999999</v>
      </c>
      <c r="J2808" s="10"/>
    </row>
    <row r="2809" spans="1:10" ht="15.75" customHeight="1" x14ac:dyDescent="0.3">
      <c r="A2809" s="5" t="s">
        <v>3676</v>
      </c>
      <c r="B2809" s="11">
        <v>45320</v>
      </c>
      <c r="C2809" s="5" t="s">
        <v>477</v>
      </c>
      <c r="D2809" s="5" t="s">
        <v>168</v>
      </c>
      <c r="E2809" s="5" t="s">
        <v>37</v>
      </c>
      <c r="F2809" s="5">
        <v>4</v>
      </c>
      <c r="G2809" s="19">
        <v>0.15</v>
      </c>
      <c r="H2809" s="5" t="s">
        <v>454</v>
      </c>
      <c r="I2809" s="10">
        <f>IF(OR(D2809="", F2809=""), "", F2809 * VLOOKUP(D2809, Products!A:E, 5, FALSE) * (1 - G2809))</f>
        <v>3453.5839999999998</v>
      </c>
      <c r="J2809" s="10"/>
    </row>
    <row r="2810" spans="1:10" ht="15.75" customHeight="1" x14ac:dyDescent="0.3">
      <c r="A2810" s="5" t="s">
        <v>3677</v>
      </c>
      <c r="B2810" s="11">
        <v>45874</v>
      </c>
      <c r="C2810" s="5" t="s">
        <v>638</v>
      </c>
      <c r="D2810" s="5" t="s">
        <v>168</v>
      </c>
      <c r="E2810" s="5" t="s">
        <v>29</v>
      </c>
      <c r="F2810" s="5">
        <v>1</v>
      </c>
      <c r="G2810" s="19">
        <v>0</v>
      </c>
      <c r="H2810" s="5" t="s">
        <v>697</v>
      </c>
      <c r="I2810" s="10">
        <f>IF(OR(D2810="", F2810=""), "", F2810 * VLOOKUP(D2810, Products!A:E, 5, FALSE) * (1 - G2810))</f>
        <v>1015.76</v>
      </c>
      <c r="J2810" s="10"/>
    </row>
    <row r="2811" spans="1:10" ht="15.75" customHeight="1" x14ac:dyDescent="0.3">
      <c r="A2811" s="5" t="s">
        <v>3678</v>
      </c>
      <c r="B2811" s="11">
        <v>45818</v>
      </c>
      <c r="C2811" s="5" t="s">
        <v>209</v>
      </c>
      <c r="D2811" s="5" t="s">
        <v>232</v>
      </c>
      <c r="E2811" s="5" t="s">
        <v>29</v>
      </c>
      <c r="F2811" s="5">
        <v>5</v>
      </c>
      <c r="G2811" s="19">
        <v>0.05</v>
      </c>
      <c r="H2811" s="5" t="s">
        <v>454</v>
      </c>
      <c r="I2811" s="10">
        <f>IF(OR(D2811="", F2811=""), "", F2811 * VLOOKUP(D2811, Products!A:E, 5, FALSE) * (1 - G2811))</f>
        <v>9275.0874999999996</v>
      </c>
      <c r="J2811" s="10"/>
    </row>
    <row r="2812" spans="1:10" ht="15.75" customHeight="1" x14ac:dyDescent="0.3">
      <c r="A2812" s="5" t="s">
        <v>3679</v>
      </c>
      <c r="B2812" s="11">
        <v>45706</v>
      </c>
      <c r="C2812" s="5" t="s">
        <v>847</v>
      </c>
      <c r="D2812" s="5" t="s">
        <v>168</v>
      </c>
      <c r="E2812" s="5" t="s">
        <v>21</v>
      </c>
      <c r="F2812" s="5">
        <v>5</v>
      </c>
      <c r="G2812" s="19">
        <v>0</v>
      </c>
      <c r="H2812" s="5" t="s">
        <v>776</v>
      </c>
      <c r="I2812" s="10">
        <f>IF(OR(D2812="", F2812=""), "", F2812 * VLOOKUP(D2812, Products!A:E, 5, FALSE) * (1 - G2812))</f>
        <v>5078.8</v>
      </c>
      <c r="J2812" s="10"/>
    </row>
    <row r="2813" spans="1:10" ht="15.75" customHeight="1" x14ac:dyDescent="0.3">
      <c r="A2813" s="5" t="s">
        <v>3680</v>
      </c>
      <c r="B2813" s="11">
        <v>45469</v>
      </c>
      <c r="C2813" s="5" t="s">
        <v>458</v>
      </c>
      <c r="D2813" s="5" t="s">
        <v>262</v>
      </c>
      <c r="E2813" s="5" t="s">
        <v>33</v>
      </c>
      <c r="F2813" s="5">
        <v>2</v>
      </c>
      <c r="G2813" s="19">
        <v>0.1</v>
      </c>
      <c r="H2813" s="5" t="s">
        <v>776</v>
      </c>
      <c r="I2813" s="10">
        <f>IF(OR(D2813="", F2813=""), "", F2813 * VLOOKUP(D2813, Products!A:E, 5, FALSE) * (1 - G2813))</f>
        <v>816.51600000000008</v>
      </c>
      <c r="J2813" s="10"/>
    </row>
    <row r="2814" spans="1:10" ht="15.75" customHeight="1" x14ac:dyDescent="0.3">
      <c r="A2814" s="5" t="s">
        <v>3681</v>
      </c>
      <c r="B2814" s="11">
        <v>45696</v>
      </c>
      <c r="C2814" s="5" t="s">
        <v>800</v>
      </c>
      <c r="D2814" s="5" t="s">
        <v>128</v>
      </c>
      <c r="E2814" s="5" t="s">
        <v>33</v>
      </c>
      <c r="F2814" s="5">
        <v>5</v>
      </c>
      <c r="G2814" s="19">
        <v>0.05</v>
      </c>
      <c r="H2814" s="5" t="s">
        <v>454</v>
      </c>
      <c r="I2814" s="10">
        <f>IF(OR(D2814="", F2814=""), "", F2814 * VLOOKUP(D2814, Products!A:E, 5, FALSE) * (1 - G2814))</f>
        <v>1538.6200000000001</v>
      </c>
      <c r="J2814" s="10"/>
    </row>
    <row r="2815" spans="1:10" ht="15.75" customHeight="1" x14ac:dyDescent="0.3">
      <c r="A2815" s="5" t="s">
        <v>3682</v>
      </c>
      <c r="B2815" s="11">
        <v>45522</v>
      </c>
      <c r="C2815" s="5" t="s">
        <v>795</v>
      </c>
      <c r="D2815" s="5" t="s">
        <v>119</v>
      </c>
      <c r="E2815" s="5" t="s">
        <v>21</v>
      </c>
      <c r="F2815" s="5">
        <v>2</v>
      </c>
      <c r="G2815" s="19">
        <v>0</v>
      </c>
      <c r="H2815" s="5" t="s">
        <v>637</v>
      </c>
      <c r="I2815" s="10">
        <f>IF(OR(D2815="", F2815=""), "", F2815 * VLOOKUP(D2815, Products!A:E, 5, FALSE) * (1 - G2815))</f>
        <v>2159.7800000000002</v>
      </c>
      <c r="J2815" s="10"/>
    </row>
    <row r="2816" spans="1:10" ht="15.75" customHeight="1" x14ac:dyDescent="0.3">
      <c r="A2816" s="5" t="s">
        <v>3683</v>
      </c>
      <c r="B2816" s="11">
        <v>45652</v>
      </c>
      <c r="C2816" s="5" t="s">
        <v>342</v>
      </c>
      <c r="D2816" s="5" t="s">
        <v>256</v>
      </c>
      <c r="E2816" s="5" t="s">
        <v>25</v>
      </c>
      <c r="F2816" s="5">
        <v>3</v>
      </c>
      <c r="G2816" s="19">
        <v>0</v>
      </c>
      <c r="H2816" s="5" t="s">
        <v>697</v>
      </c>
      <c r="I2816" s="10">
        <f>IF(OR(D2816="", F2816=""), "", F2816 * VLOOKUP(D2816, Products!A:E, 5, FALSE) * (1 - G2816))</f>
        <v>4905.03</v>
      </c>
      <c r="J2816" s="10"/>
    </row>
    <row r="2817" spans="1:10" ht="15.75" customHeight="1" x14ac:dyDescent="0.3">
      <c r="A2817" s="5" t="s">
        <v>3684</v>
      </c>
      <c r="B2817" s="11">
        <v>45585</v>
      </c>
      <c r="C2817" s="5" t="s">
        <v>634</v>
      </c>
      <c r="D2817" s="5" t="s">
        <v>43</v>
      </c>
      <c r="E2817" s="5" t="s">
        <v>25</v>
      </c>
      <c r="F2817" s="5">
        <v>5</v>
      </c>
      <c r="G2817" s="19">
        <v>0</v>
      </c>
      <c r="H2817" s="5" t="s">
        <v>776</v>
      </c>
      <c r="I2817" s="10">
        <f>IF(OR(D2817="", F2817=""), "", F2817 * VLOOKUP(D2817, Products!A:E, 5, FALSE) * (1 - G2817))</f>
        <v>8368.4500000000007</v>
      </c>
      <c r="J2817" s="10"/>
    </row>
    <row r="2818" spans="1:10" ht="15.75" customHeight="1" x14ac:dyDescent="0.3">
      <c r="A2818" s="5" t="s">
        <v>3685</v>
      </c>
      <c r="B2818" s="11">
        <v>45647</v>
      </c>
      <c r="C2818" s="5" t="s">
        <v>532</v>
      </c>
      <c r="D2818" s="5" t="s">
        <v>265</v>
      </c>
      <c r="E2818" s="5" t="s">
        <v>25</v>
      </c>
      <c r="F2818" s="5">
        <v>1</v>
      </c>
      <c r="G2818" s="19">
        <v>0.1</v>
      </c>
      <c r="H2818" s="5" t="s">
        <v>776</v>
      </c>
      <c r="I2818" s="10">
        <f>IF(OR(D2818="", F2818=""), "", F2818 * VLOOKUP(D2818, Products!A:E, 5, FALSE) * (1 - G2818))</f>
        <v>507.97799999999995</v>
      </c>
      <c r="J2818" s="10"/>
    </row>
    <row r="2819" spans="1:10" ht="15.75" customHeight="1" x14ac:dyDescent="0.3">
      <c r="A2819" s="5" t="s">
        <v>3686</v>
      </c>
      <c r="B2819" s="11">
        <v>45422</v>
      </c>
      <c r="C2819" s="5" t="s">
        <v>397</v>
      </c>
      <c r="D2819" s="5" t="s">
        <v>47</v>
      </c>
      <c r="E2819" s="5" t="s">
        <v>29</v>
      </c>
      <c r="F2819" s="5">
        <v>2</v>
      </c>
      <c r="G2819" s="19">
        <v>0.15</v>
      </c>
      <c r="H2819" s="5" t="s">
        <v>697</v>
      </c>
      <c r="I2819" s="10">
        <f>IF(OR(D2819="", F2819=""), "", F2819 * VLOOKUP(D2819, Products!A:E, 5, FALSE) * (1 - G2819))</f>
        <v>1391.8920000000001</v>
      </c>
      <c r="J2819" s="10"/>
    </row>
    <row r="2820" spans="1:10" ht="15.75" customHeight="1" x14ac:dyDescent="0.3">
      <c r="A2820" s="5" t="s">
        <v>3687</v>
      </c>
      <c r="B2820" s="11">
        <v>45616</v>
      </c>
      <c r="C2820" s="5" t="s">
        <v>526</v>
      </c>
      <c r="D2820" s="5" t="s">
        <v>147</v>
      </c>
      <c r="E2820" s="5" t="s">
        <v>33</v>
      </c>
      <c r="F2820" s="5">
        <v>1</v>
      </c>
      <c r="G2820" s="19">
        <v>0.05</v>
      </c>
      <c r="H2820" s="5" t="s">
        <v>697</v>
      </c>
      <c r="I2820" s="10">
        <f>IF(OR(D2820="", F2820=""), "", F2820 * VLOOKUP(D2820, Products!A:E, 5, FALSE) * (1 - G2820))</f>
        <v>1784.5464999999999</v>
      </c>
      <c r="J2820" s="10"/>
    </row>
    <row r="2821" spans="1:10" ht="15.75" customHeight="1" x14ac:dyDescent="0.3">
      <c r="A2821" s="5" t="s">
        <v>3688</v>
      </c>
      <c r="B2821" s="11">
        <v>45761</v>
      </c>
      <c r="C2821" s="5" t="s">
        <v>727</v>
      </c>
      <c r="D2821" s="5" t="s">
        <v>265</v>
      </c>
      <c r="E2821" s="5" t="s">
        <v>25</v>
      </c>
      <c r="F2821" s="5">
        <v>5</v>
      </c>
      <c r="G2821" s="19">
        <v>0.1</v>
      </c>
      <c r="H2821" s="5" t="s">
        <v>637</v>
      </c>
      <c r="I2821" s="10">
        <f>IF(OR(D2821="", F2821=""), "", F2821 * VLOOKUP(D2821, Products!A:E, 5, FALSE) * (1 - G2821))</f>
        <v>2539.89</v>
      </c>
      <c r="J2821" s="10"/>
    </row>
    <row r="2822" spans="1:10" ht="15.75" customHeight="1" x14ac:dyDescent="0.3">
      <c r="A2822" s="5" t="s">
        <v>3689</v>
      </c>
      <c r="B2822" s="11">
        <v>45696</v>
      </c>
      <c r="C2822" s="5" t="s">
        <v>795</v>
      </c>
      <c r="D2822" s="5" t="s">
        <v>162</v>
      </c>
      <c r="E2822" s="5" t="s">
        <v>37</v>
      </c>
      <c r="F2822" s="5">
        <v>3</v>
      </c>
      <c r="G2822" s="19">
        <v>0.05</v>
      </c>
      <c r="H2822" s="5" t="s">
        <v>454</v>
      </c>
      <c r="I2822" s="10">
        <f>IF(OR(D2822="", F2822=""), "", F2822 * VLOOKUP(D2822, Products!A:E, 5, FALSE) * (1 - G2822))</f>
        <v>1223.0774999999999</v>
      </c>
      <c r="J2822" s="10"/>
    </row>
    <row r="2823" spans="1:10" ht="15.75" customHeight="1" x14ac:dyDescent="0.3">
      <c r="A2823" s="5" t="s">
        <v>3690</v>
      </c>
      <c r="B2823" s="11">
        <v>45294</v>
      </c>
      <c r="C2823" s="5" t="s">
        <v>557</v>
      </c>
      <c r="D2823" s="5" t="s">
        <v>65</v>
      </c>
      <c r="E2823" s="5" t="s">
        <v>21</v>
      </c>
      <c r="F2823" s="5">
        <v>4</v>
      </c>
      <c r="G2823" s="19">
        <v>0.15</v>
      </c>
      <c r="H2823" s="5" t="s">
        <v>637</v>
      </c>
      <c r="I2823" s="10">
        <f>IF(OR(D2823="", F2823=""), "", F2823 * VLOOKUP(D2823, Products!A:E, 5, FALSE) * (1 - G2823))</f>
        <v>5012.0079999999998</v>
      </c>
      <c r="J2823" s="10"/>
    </row>
    <row r="2824" spans="1:10" ht="15.75" customHeight="1" x14ac:dyDescent="0.3">
      <c r="A2824" s="5" t="s">
        <v>3691</v>
      </c>
      <c r="B2824" s="11">
        <v>45423</v>
      </c>
      <c r="C2824" s="5" t="s">
        <v>437</v>
      </c>
      <c r="D2824" s="5" t="s">
        <v>128</v>
      </c>
      <c r="E2824" s="5" t="s">
        <v>25</v>
      </c>
      <c r="F2824" s="5">
        <v>4</v>
      </c>
      <c r="G2824" s="19">
        <v>0.1</v>
      </c>
      <c r="H2824" s="5" t="s">
        <v>776</v>
      </c>
      <c r="I2824" s="10">
        <f>IF(OR(D2824="", F2824=""), "", F2824 * VLOOKUP(D2824, Products!A:E, 5, FALSE) * (1 - G2824))</f>
        <v>1166.1120000000001</v>
      </c>
      <c r="J2824" s="10"/>
    </row>
    <row r="2825" spans="1:10" ht="15.75" customHeight="1" x14ac:dyDescent="0.3">
      <c r="A2825" s="5" t="s">
        <v>3692</v>
      </c>
      <c r="B2825" s="11">
        <v>45778</v>
      </c>
      <c r="C2825" s="5" t="s">
        <v>750</v>
      </c>
      <c r="D2825" s="5" t="s">
        <v>140</v>
      </c>
      <c r="E2825" s="5" t="s">
        <v>33</v>
      </c>
      <c r="F2825" s="5">
        <v>1</v>
      </c>
      <c r="G2825" s="19">
        <v>0.15</v>
      </c>
      <c r="H2825" s="5" t="s">
        <v>697</v>
      </c>
      <c r="I2825" s="10">
        <f>IF(OR(D2825="", F2825=""), "", F2825 * VLOOKUP(D2825, Products!A:E, 5, FALSE) * (1 - G2825))</f>
        <v>21.734500000000001</v>
      </c>
      <c r="J2825" s="10"/>
    </row>
    <row r="2826" spans="1:10" ht="15.75" customHeight="1" x14ac:dyDescent="0.3">
      <c r="A2826" s="5" t="s">
        <v>3693</v>
      </c>
      <c r="B2826" s="11">
        <v>45319</v>
      </c>
      <c r="C2826" s="5" t="s">
        <v>779</v>
      </c>
      <c r="D2826" s="5" t="s">
        <v>61</v>
      </c>
      <c r="E2826" s="5" t="s">
        <v>25</v>
      </c>
      <c r="F2826" s="5">
        <v>1</v>
      </c>
      <c r="G2826" s="19">
        <v>0</v>
      </c>
      <c r="H2826" s="5" t="s">
        <v>776</v>
      </c>
      <c r="I2826" s="10">
        <f>IF(OR(D2826="", F2826=""), "", F2826 * VLOOKUP(D2826, Products!A:E, 5, FALSE) * (1 - G2826))</f>
        <v>318.05</v>
      </c>
      <c r="J2826" s="10"/>
    </row>
    <row r="2827" spans="1:10" ht="15.75" customHeight="1" x14ac:dyDescent="0.3">
      <c r="A2827" s="5" t="s">
        <v>3694</v>
      </c>
      <c r="B2827" s="11">
        <v>45792</v>
      </c>
      <c r="C2827" s="5" t="s">
        <v>312</v>
      </c>
      <c r="D2827" s="5" t="s">
        <v>95</v>
      </c>
      <c r="E2827" s="5" t="s">
        <v>33</v>
      </c>
      <c r="F2827" s="5">
        <v>1</v>
      </c>
      <c r="G2827" s="19">
        <v>0.05</v>
      </c>
      <c r="H2827" s="5" t="s">
        <v>454</v>
      </c>
      <c r="I2827" s="10">
        <f>IF(OR(D2827="", F2827=""), "", F2827 * VLOOKUP(D2827, Products!A:E, 5, FALSE) * (1 - G2827))</f>
        <v>1275.6125</v>
      </c>
      <c r="J2827" s="10"/>
    </row>
    <row r="2828" spans="1:10" ht="15.75" customHeight="1" x14ac:dyDescent="0.3">
      <c r="A2828" s="5" t="s">
        <v>3695</v>
      </c>
      <c r="B2828" s="11">
        <v>45249</v>
      </c>
      <c r="C2828" s="5" t="s">
        <v>322</v>
      </c>
      <c r="D2828" s="5" t="s">
        <v>115</v>
      </c>
      <c r="E2828" s="5" t="s">
        <v>29</v>
      </c>
      <c r="F2828" s="5">
        <v>4</v>
      </c>
      <c r="G2828" s="19">
        <v>0.1</v>
      </c>
      <c r="H2828" s="5" t="s">
        <v>454</v>
      </c>
      <c r="I2828" s="10">
        <f>IF(OR(D2828="", F2828=""), "", F2828 * VLOOKUP(D2828, Products!A:E, 5, FALSE) * (1 - G2828))</f>
        <v>4485.9960000000001</v>
      </c>
      <c r="J2828" s="10"/>
    </row>
    <row r="2829" spans="1:10" ht="15.75" customHeight="1" x14ac:dyDescent="0.3">
      <c r="A2829" s="5" t="s">
        <v>3696</v>
      </c>
      <c r="B2829" s="11">
        <v>45856</v>
      </c>
      <c r="C2829" s="5" t="s">
        <v>440</v>
      </c>
      <c r="D2829" s="5" t="s">
        <v>134</v>
      </c>
      <c r="E2829" s="5" t="s">
        <v>37</v>
      </c>
      <c r="F2829" s="5">
        <v>3</v>
      </c>
      <c r="G2829" s="19">
        <v>0</v>
      </c>
      <c r="H2829" s="5" t="s">
        <v>776</v>
      </c>
      <c r="I2829" s="10">
        <f>IF(OR(D2829="", F2829=""), "", F2829 * VLOOKUP(D2829, Products!A:E, 5, FALSE) * (1 - G2829))</f>
        <v>3681.7200000000003</v>
      </c>
      <c r="J2829" s="10"/>
    </row>
    <row r="2830" spans="1:10" ht="15.75" customHeight="1" x14ac:dyDescent="0.3">
      <c r="A2830" s="5" t="s">
        <v>3697</v>
      </c>
      <c r="B2830" s="11">
        <v>45551</v>
      </c>
      <c r="C2830" s="5" t="s">
        <v>546</v>
      </c>
      <c r="D2830" s="5" t="s">
        <v>237</v>
      </c>
      <c r="E2830" s="5" t="s">
        <v>25</v>
      </c>
      <c r="F2830" s="5">
        <v>1</v>
      </c>
      <c r="G2830" s="19">
        <v>0.15</v>
      </c>
      <c r="H2830" s="5" t="s">
        <v>697</v>
      </c>
      <c r="I2830" s="10">
        <f>IF(OR(D2830="", F2830=""), "", F2830 * VLOOKUP(D2830, Products!A:E, 5, FALSE) * (1 - G2830))</f>
        <v>311.89049999999997</v>
      </c>
      <c r="J2830" s="10"/>
    </row>
    <row r="2831" spans="1:10" ht="15.75" customHeight="1" x14ac:dyDescent="0.3">
      <c r="A2831" s="5" t="s">
        <v>3698</v>
      </c>
      <c r="B2831" s="11">
        <v>45784</v>
      </c>
      <c r="C2831" s="5" t="s">
        <v>274</v>
      </c>
      <c r="D2831" s="5" t="s">
        <v>95</v>
      </c>
      <c r="E2831" s="5" t="s">
        <v>37</v>
      </c>
      <c r="F2831" s="5">
        <v>1</v>
      </c>
      <c r="G2831" s="19">
        <v>0.15</v>
      </c>
      <c r="H2831" s="5" t="s">
        <v>637</v>
      </c>
      <c r="I2831" s="10">
        <f>IF(OR(D2831="", F2831=""), "", F2831 * VLOOKUP(D2831, Products!A:E, 5, FALSE) * (1 - G2831))</f>
        <v>1141.3374999999999</v>
      </c>
      <c r="J2831" s="10"/>
    </row>
    <row r="2832" spans="1:10" ht="15.75" customHeight="1" x14ac:dyDescent="0.3">
      <c r="A2832" s="5" t="s">
        <v>3699</v>
      </c>
      <c r="B2832" s="11">
        <v>45815</v>
      </c>
      <c r="C2832" s="5" t="s">
        <v>240</v>
      </c>
      <c r="D2832" s="5" t="s">
        <v>212</v>
      </c>
      <c r="E2832" s="5" t="s">
        <v>21</v>
      </c>
      <c r="F2832" s="5">
        <v>2</v>
      </c>
      <c r="G2832" s="19">
        <v>0</v>
      </c>
      <c r="H2832" s="5" t="s">
        <v>637</v>
      </c>
      <c r="I2832" s="10">
        <f>IF(OR(D2832="", F2832=""), "", F2832 * VLOOKUP(D2832, Products!A:E, 5, FALSE) * (1 - G2832))</f>
        <v>3597.94</v>
      </c>
      <c r="J2832" s="10"/>
    </row>
    <row r="2833" spans="1:10" ht="15.75" customHeight="1" x14ac:dyDescent="0.3">
      <c r="A2833" s="5" t="s">
        <v>3700</v>
      </c>
      <c r="B2833" s="11">
        <v>45533</v>
      </c>
      <c r="C2833" s="5" t="s">
        <v>342</v>
      </c>
      <c r="D2833" s="5" t="s">
        <v>50</v>
      </c>
      <c r="E2833" s="5" t="s">
        <v>21</v>
      </c>
      <c r="F2833" s="5">
        <v>1</v>
      </c>
      <c r="G2833" s="19">
        <v>0.05</v>
      </c>
      <c r="H2833" s="5" t="s">
        <v>637</v>
      </c>
      <c r="I2833" s="10">
        <f>IF(OR(D2833="", F2833=""), "", F2833 * VLOOKUP(D2833, Products!A:E, 5, FALSE) * (1 - G2833))</f>
        <v>320.74849999999998</v>
      </c>
      <c r="J2833" s="10"/>
    </row>
    <row r="2834" spans="1:10" ht="15.75" customHeight="1" x14ac:dyDescent="0.3">
      <c r="A2834" s="5" t="s">
        <v>3701</v>
      </c>
      <c r="B2834" s="11">
        <v>45567</v>
      </c>
      <c r="C2834" s="5" t="s">
        <v>740</v>
      </c>
      <c r="D2834" s="5" t="s">
        <v>61</v>
      </c>
      <c r="E2834" s="5" t="s">
        <v>29</v>
      </c>
      <c r="F2834" s="5">
        <v>4</v>
      </c>
      <c r="G2834" s="19">
        <v>0.05</v>
      </c>
      <c r="H2834" s="5" t="s">
        <v>637</v>
      </c>
      <c r="I2834" s="10">
        <f>IF(OR(D2834="", F2834=""), "", F2834 * VLOOKUP(D2834, Products!A:E, 5, FALSE) * (1 - G2834))</f>
        <v>1208.5899999999999</v>
      </c>
      <c r="J2834" s="10"/>
    </row>
    <row r="2835" spans="1:10" ht="15.75" customHeight="1" x14ac:dyDescent="0.3">
      <c r="A2835" s="5" t="s">
        <v>3702</v>
      </c>
      <c r="B2835" s="11">
        <v>45522</v>
      </c>
      <c r="C2835" s="5" t="s">
        <v>724</v>
      </c>
      <c r="D2835" s="5" t="s">
        <v>140</v>
      </c>
      <c r="E2835" s="5" t="s">
        <v>21</v>
      </c>
      <c r="F2835" s="5">
        <v>5</v>
      </c>
      <c r="G2835" s="19">
        <v>0.05</v>
      </c>
      <c r="H2835" s="5" t="s">
        <v>697</v>
      </c>
      <c r="I2835" s="10">
        <f>IF(OR(D2835="", F2835=""), "", F2835 * VLOOKUP(D2835, Products!A:E, 5, FALSE) * (1 - G2835))</f>
        <v>121.4575</v>
      </c>
      <c r="J2835" s="10"/>
    </row>
    <row r="2836" spans="1:10" ht="15.75" customHeight="1" x14ac:dyDescent="0.3">
      <c r="A2836" s="5" t="s">
        <v>3703</v>
      </c>
      <c r="B2836" s="11">
        <v>45240</v>
      </c>
      <c r="C2836" s="5" t="s">
        <v>833</v>
      </c>
      <c r="D2836" s="5" t="s">
        <v>267</v>
      </c>
      <c r="E2836" s="5" t="s">
        <v>29</v>
      </c>
      <c r="F2836" s="5">
        <v>1</v>
      </c>
      <c r="G2836" s="19">
        <v>0</v>
      </c>
      <c r="H2836" s="5" t="s">
        <v>697</v>
      </c>
      <c r="I2836" s="10">
        <f>IF(OR(D2836="", F2836=""), "", F2836 * VLOOKUP(D2836, Products!A:E, 5, FALSE) * (1 - G2836))</f>
        <v>1286.55</v>
      </c>
      <c r="J2836" s="10"/>
    </row>
    <row r="2837" spans="1:10" ht="15.75" customHeight="1" x14ac:dyDescent="0.3">
      <c r="A2837" s="5" t="s">
        <v>3704</v>
      </c>
      <c r="B2837" s="11">
        <v>45359</v>
      </c>
      <c r="C2837" s="5" t="s">
        <v>495</v>
      </c>
      <c r="D2837" s="5" t="s">
        <v>217</v>
      </c>
      <c r="E2837" s="5" t="s">
        <v>29</v>
      </c>
      <c r="F2837" s="5">
        <v>2</v>
      </c>
      <c r="G2837" s="19">
        <v>0.1</v>
      </c>
      <c r="H2837" s="5" t="s">
        <v>637</v>
      </c>
      <c r="I2837" s="10">
        <f>IF(OR(D2837="", F2837=""), "", F2837 * VLOOKUP(D2837, Products!A:E, 5, FALSE) * (1 - G2837))</f>
        <v>770.49</v>
      </c>
      <c r="J2837" s="10"/>
    </row>
    <row r="2838" spans="1:10" ht="15.75" customHeight="1" x14ac:dyDescent="0.3">
      <c r="A2838" s="5" t="s">
        <v>3705</v>
      </c>
      <c r="B2838" s="11">
        <v>45714</v>
      </c>
      <c r="C2838" s="5" t="s">
        <v>357</v>
      </c>
      <c r="D2838" s="5" t="s">
        <v>200</v>
      </c>
      <c r="E2838" s="5" t="s">
        <v>21</v>
      </c>
      <c r="F2838" s="5">
        <v>4</v>
      </c>
      <c r="G2838" s="19">
        <v>0.15</v>
      </c>
      <c r="H2838" s="5" t="s">
        <v>697</v>
      </c>
      <c r="I2838" s="10">
        <f>IF(OR(D2838="", F2838=""), "", F2838 * VLOOKUP(D2838, Products!A:E, 5, FALSE) * (1 - G2838))</f>
        <v>3725.4479999999999</v>
      </c>
      <c r="J2838" s="10"/>
    </row>
    <row r="2839" spans="1:10" ht="15.75" customHeight="1" x14ac:dyDescent="0.3">
      <c r="A2839" s="5" t="s">
        <v>3706</v>
      </c>
      <c r="B2839" s="11">
        <v>45710</v>
      </c>
      <c r="C2839" s="5" t="s">
        <v>447</v>
      </c>
      <c r="D2839" s="5" t="s">
        <v>280</v>
      </c>
      <c r="E2839" s="5" t="s">
        <v>37</v>
      </c>
      <c r="F2839" s="5">
        <v>1</v>
      </c>
      <c r="G2839" s="19">
        <v>0.05</v>
      </c>
      <c r="H2839" s="5" t="s">
        <v>697</v>
      </c>
      <c r="I2839" s="10">
        <f>IF(OR(D2839="", F2839=""), "", F2839 * VLOOKUP(D2839, Products!A:E, 5, FALSE) * (1 - G2839))</f>
        <v>1155.5419999999999</v>
      </c>
      <c r="J2839" s="10"/>
    </row>
    <row r="2840" spans="1:10" ht="15.75" customHeight="1" x14ac:dyDescent="0.3">
      <c r="A2840" s="5" t="s">
        <v>3707</v>
      </c>
      <c r="B2840" s="11">
        <v>45281</v>
      </c>
      <c r="C2840" s="5" t="s">
        <v>750</v>
      </c>
      <c r="D2840" s="5" t="s">
        <v>168</v>
      </c>
      <c r="E2840" s="5" t="s">
        <v>25</v>
      </c>
      <c r="F2840" s="5">
        <v>3</v>
      </c>
      <c r="G2840" s="19">
        <v>0.15</v>
      </c>
      <c r="H2840" s="5" t="s">
        <v>776</v>
      </c>
      <c r="I2840" s="10">
        <f>IF(OR(D2840="", F2840=""), "", F2840 * VLOOKUP(D2840, Products!A:E, 5, FALSE) * (1 - G2840))</f>
        <v>2590.1879999999996</v>
      </c>
      <c r="J2840" s="10"/>
    </row>
    <row r="2841" spans="1:10" ht="15.75" customHeight="1" x14ac:dyDescent="0.3">
      <c r="A2841" s="5" t="s">
        <v>3708</v>
      </c>
      <c r="B2841" s="11">
        <v>45686</v>
      </c>
      <c r="C2841" s="5" t="s">
        <v>586</v>
      </c>
      <c r="D2841" s="5" t="s">
        <v>237</v>
      </c>
      <c r="E2841" s="5" t="s">
        <v>21</v>
      </c>
      <c r="F2841" s="5">
        <v>2</v>
      </c>
      <c r="G2841" s="19">
        <v>0.1</v>
      </c>
      <c r="H2841" s="5" t="s">
        <v>697</v>
      </c>
      <c r="I2841" s="10">
        <f>IF(OR(D2841="", F2841=""), "", F2841 * VLOOKUP(D2841, Products!A:E, 5, FALSE) * (1 - G2841))</f>
        <v>660.47400000000005</v>
      </c>
      <c r="J2841" s="10"/>
    </row>
    <row r="2842" spans="1:10" ht="15.75" customHeight="1" x14ac:dyDescent="0.3">
      <c r="A2842" s="5" t="s">
        <v>3709</v>
      </c>
      <c r="B2842" s="11">
        <v>45889</v>
      </c>
      <c r="C2842" s="5" t="s">
        <v>296</v>
      </c>
      <c r="D2842" s="5" t="s">
        <v>175</v>
      </c>
      <c r="E2842" s="5" t="s">
        <v>37</v>
      </c>
      <c r="F2842" s="5">
        <v>3</v>
      </c>
      <c r="G2842" s="19">
        <v>0</v>
      </c>
      <c r="H2842" s="5" t="s">
        <v>776</v>
      </c>
      <c r="I2842" s="10">
        <f>IF(OR(D2842="", F2842=""), "", F2842 * VLOOKUP(D2842, Products!A:E, 5, FALSE) * (1 - G2842))</f>
        <v>3816.69</v>
      </c>
      <c r="J2842" s="10"/>
    </row>
    <row r="2843" spans="1:10" ht="15.75" customHeight="1" x14ac:dyDescent="0.3">
      <c r="A2843" s="5" t="s">
        <v>3710</v>
      </c>
      <c r="B2843" s="11">
        <v>45728</v>
      </c>
      <c r="C2843" s="5" t="s">
        <v>800</v>
      </c>
      <c r="D2843" s="5" t="s">
        <v>115</v>
      </c>
      <c r="E2843" s="5" t="s">
        <v>21</v>
      </c>
      <c r="F2843" s="5">
        <v>4</v>
      </c>
      <c r="G2843" s="19">
        <v>0</v>
      </c>
      <c r="H2843" s="5" t="s">
        <v>697</v>
      </c>
      <c r="I2843" s="10">
        <f>IF(OR(D2843="", F2843=""), "", F2843 * VLOOKUP(D2843, Products!A:E, 5, FALSE) * (1 - G2843))</f>
        <v>4984.4399999999996</v>
      </c>
      <c r="J2843" s="10"/>
    </row>
    <row r="2844" spans="1:10" ht="15.75" customHeight="1" x14ac:dyDescent="0.3">
      <c r="A2844" s="5" t="s">
        <v>3711</v>
      </c>
      <c r="B2844" s="11">
        <v>45545</v>
      </c>
      <c r="C2844" s="5" t="s">
        <v>833</v>
      </c>
      <c r="D2844" s="5" t="s">
        <v>47</v>
      </c>
      <c r="E2844" s="5" t="s">
        <v>29</v>
      </c>
      <c r="F2844" s="5">
        <v>3</v>
      </c>
      <c r="G2844" s="19">
        <v>0</v>
      </c>
      <c r="H2844" s="5" t="s">
        <v>697</v>
      </c>
      <c r="I2844" s="10">
        <f>IF(OR(D2844="", F2844=""), "", F2844 * VLOOKUP(D2844, Products!A:E, 5, FALSE) * (1 - G2844))</f>
        <v>2456.2799999999997</v>
      </c>
      <c r="J2844" s="10"/>
    </row>
    <row r="2845" spans="1:10" ht="15.75" customHeight="1" x14ac:dyDescent="0.3">
      <c r="A2845" s="5" t="s">
        <v>3712</v>
      </c>
      <c r="B2845" s="11">
        <v>45358</v>
      </c>
      <c r="C2845" s="5" t="s">
        <v>235</v>
      </c>
      <c r="D2845" s="5" t="s">
        <v>77</v>
      </c>
      <c r="E2845" s="5" t="s">
        <v>25</v>
      </c>
      <c r="F2845" s="5">
        <v>1</v>
      </c>
      <c r="G2845" s="19">
        <v>0.15</v>
      </c>
      <c r="H2845" s="5" t="s">
        <v>776</v>
      </c>
      <c r="I2845" s="10">
        <f>IF(OR(D2845="", F2845=""), "", F2845 * VLOOKUP(D2845, Products!A:E, 5, FALSE) * (1 - G2845))</f>
        <v>211.28449999999998</v>
      </c>
      <c r="J2845" s="10"/>
    </row>
    <row r="2846" spans="1:10" ht="15.75" customHeight="1" x14ac:dyDescent="0.3">
      <c r="A2846" s="5" t="s">
        <v>3713</v>
      </c>
      <c r="B2846" s="11">
        <v>45463</v>
      </c>
      <c r="C2846" s="5" t="s">
        <v>699</v>
      </c>
      <c r="D2846" s="5" t="s">
        <v>65</v>
      </c>
      <c r="E2846" s="5" t="s">
        <v>21</v>
      </c>
      <c r="F2846" s="5">
        <v>4</v>
      </c>
      <c r="G2846" s="19">
        <v>0</v>
      </c>
      <c r="H2846" s="5" t="s">
        <v>697</v>
      </c>
      <c r="I2846" s="10">
        <f>IF(OR(D2846="", F2846=""), "", F2846 * VLOOKUP(D2846, Products!A:E, 5, FALSE) * (1 - G2846))</f>
        <v>5896.48</v>
      </c>
      <c r="J2846" s="10"/>
    </row>
    <row r="2847" spans="1:10" ht="15.75" customHeight="1" x14ac:dyDescent="0.3">
      <c r="A2847" s="5" t="s">
        <v>3714</v>
      </c>
      <c r="B2847" s="11">
        <v>45488</v>
      </c>
      <c r="C2847" s="5" t="s">
        <v>865</v>
      </c>
      <c r="D2847" s="5" t="s">
        <v>180</v>
      </c>
      <c r="E2847" s="5" t="s">
        <v>21</v>
      </c>
      <c r="F2847" s="5">
        <v>5</v>
      </c>
      <c r="G2847" s="19">
        <v>0</v>
      </c>
      <c r="H2847" s="5" t="s">
        <v>776</v>
      </c>
      <c r="I2847" s="10">
        <f>IF(OR(D2847="", F2847=""), "", F2847 * VLOOKUP(D2847, Products!A:E, 5, FALSE) * (1 - G2847))</f>
        <v>3368.8999999999996</v>
      </c>
      <c r="J2847" s="10"/>
    </row>
    <row r="2848" spans="1:10" ht="15.75" customHeight="1" x14ac:dyDescent="0.3">
      <c r="A2848" s="5" t="s">
        <v>3715</v>
      </c>
      <c r="B2848" s="11">
        <v>45528</v>
      </c>
      <c r="C2848" s="5" t="s">
        <v>770</v>
      </c>
      <c r="D2848" s="5" t="s">
        <v>61</v>
      </c>
      <c r="E2848" s="5" t="s">
        <v>33</v>
      </c>
      <c r="F2848" s="5">
        <v>5</v>
      </c>
      <c r="G2848" s="19">
        <v>0.15</v>
      </c>
      <c r="H2848" s="5" t="s">
        <v>454</v>
      </c>
      <c r="I2848" s="10">
        <f>IF(OR(D2848="", F2848=""), "", F2848 * VLOOKUP(D2848, Products!A:E, 5, FALSE) * (1 - G2848))</f>
        <v>1351.7124999999999</v>
      </c>
      <c r="J2848" s="10"/>
    </row>
    <row r="2849" spans="1:10" ht="15.75" customHeight="1" x14ac:dyDescent="0.3">
      <c r="A2849" s="5" t="s">
        <v>3716</v>
      </c>
      <c r="B2849" s="11">
        <v>45748</v>
      </c>
      <c r="C2849" s="5" t="s">
        <v>800</v>
      </c>
      <c r="D2849" s="5" t="s">
        <v>206</v>
      </c>
      <c r="E2849" s="5" t="s">
        <v>37</v>
      </c>
      <c r="F2849" s="5">
        <v>4</v>
      </c>
      <c r="G2849" s="19">
        <v>0.15</v>
      </c>
      <c r="H2849" s="5" t="s">
        <v>697</v>
      </c>
      <c r="I2849" s="10">
        <f>IF(OR(D2849="", F2849=""), "", F2849 * VLOOKUP(D2849, Products!A:E, 5, FALSE) * (1 - G2849))</f>
        <v>1036.0139999999999</v>
      </c>
      <c r="J2849" s="10"/>
    </row>
    <row r="2850" spans="1:10" ht="15.75" customHeight="1" x14ac:dyDescent="0.3">
      <c r="A2850" s="5" t="s">
        <v>3717</v>
      </c>
      <c r="B2850" s="11">
        <v>45807</v>
      </c>
      <c r="C2850" s="5" t="s">
        <v>795</v>
      </c>
      <c r="D2850" s="5" t="s">
        <v>115</v>
      </c>
      <c r="E2850" s="5" t="s">
        <v>33</v>
      </c>
      <c r="F2850" s="5">
        <v>5</v>
      </c>
      <c r="G2850" s="19">
        <v>0.1</v>
      </c>
      <c r="H2850" s="5" t="s">
        <v>454</v>
      </c>
      <c r="I2850" s="10">
        <f>IF(OR(D2850="", F2850=""), "", F2850 * VLOOKUP(D2850, Products!A:E, 5, FALSE) * (1 - G2850))</f>
        <v>5607.4949999999999</v>
      </c>
      <c r="J2850" s="10"/>
    </row>
    <row r="2851" spans="1:10" ht="15.75" customHeight="1" x14ac:dyDescent="0.3">
      <c r="A2851" s="5" t="s">
        <v>3718</v>
      </c>
      <c r="B2851" s="11">
        <v>45573</v>
      </c>
      <c r="C2851" s="5" t="s">
        <v>755</v>
      </c>
      <c r="D2851" s="5" t="s">
        <v>74</v>
      </c>
      <c r="E2851" s="5" t="s">
        <v>33</v>
      </c>
      <c r="F2851" s="5">
        <v>4</v>
      </c>
      <c r="G2851" s="19">
        <v>0.05</v>
      </c>
      <c r="H2851" s="5" t="s">
        <v>637</v>
      </c>
      <c r="I2851" s="10">
        <f>IF(OR(D2851="", F2851=""), "", F2851 * VLOOKUP(D2851, Products!A:E, 5, FALSE) * (1 - G2851))</f>
        <v>4537.655999999999</v>
      </c>
      <c r="J2851" s="10"/>
    </row>
    <row r="2852" spans="1:10" ht="15.75" customHeight="1" x14ac:dyDescent="0.3">
      <c r="A2852" s="5" t="s">
        <v>3719</v>
      </c>
      <c r="B2852" s="11">
        <v>45542</v>
      </c>
      <c r="C2852" s="5" t="s">
        <v>674</v>
      </c>
      <c r="D2852" s="5" t="s">
        <v>67</v>
      </c>
      <c r="E2852" s="5" t="s">
        <v>29</v>
      </c>
      <c r="F2852" s="5">
        <v>2</v>
      </c>
      <c r="G2852" s="19">
        <v>0.05</v>
      </c>
      <c r="H2852" s="5" t="s">
        <v>454</v>
      </c>
      <c r="I2852" s="10">
        <f>IF(OR(D2852="", F2852=""), "", F2852 * VLOOKUP(D2852, Products!A:E, 5, FALSE) * (1 - G2852))</f>
        <v>208.58199999999999</v>
      </c>
      <c r="J2852" s="10"/>
    </row>
    <row r="2853" spans="1:10" ht="15.75" customHeight="1" x14ac:dyDescent="0.3">
      <c r="A2853" s="5" t="s">
        <v>3720</v>
      </c>
      <c r="B2853" s="11">
        <v>45214</v>
      </c>
      <c r="C2853" s="5" t="s">
        <v>758</v>
      </c>
      <c r="D2853" s="5" t="s">
        <v>95</v>
      </c>
      <c r="E2853" s="5" t="s">
        <v>25</v>
      </c>
      <c r="F2853" s="5">
        <v>4</v>
      </c>
      <c r="G2853" s="19">
        <v>0.1</v>
      </c>
      <c r="H2853" s="5" t="s">
        <v>697</v>
      </c>
      <c r="I2853" s="10">
        <f>IF(OR(D2853="", F2853=""), "", F2853 * VLOOKUP(D2853, Products!A:E, 5, FALSE) * (1 - G2853))</f>
        <v>4833.9000000000005</v>
      </c>
      <c r="J2853" s="10"/>
    </row>
    <row r="2854" spans="1:10" ht="15.75" customHeight="1" x14ac:dyDescent="0.3">
      <c r="A2854" s="5" t="s">
        <v>3721</v>
      </c>
      <c r="B2854" s="11">
        <v>45309</v>
      </c>
      <c r="C2854" s="5" t="s">
        <v>522</v>
      </c>
      <c r="D2854" s="5" t="s">
        <v>193</v>
      </c>
      <c r="E2854" s="5" t="s">
        <v>21</v>
      </c>
      <c r="F2854" s="5">
        <v>4</v>
      </c>
      <c r="G2854" s="19">
        <v>0.1</v>
      </c>
      <c r="H2854" s="5" t="s">
        <v>697</v>
      </c>
      <c r="I2854" s="10">
        <f>IF(OR(D2854="", F2854=""), "", F2854 * VLOOKUP(D2854, Products!A:E, 5, FALSE) * (1 - G2854))</f>
        <v>105.264</v>
      </c>
      <c r="J2854" s="10"/>
    </row>
    <row r="2855" spans="1:10" ht="15.75" customHeight="1" x14ac:dyDescent="0.3">
      <c r="A2855" s="5" t="s">
        <v>3722</v>
      </c>
      <c r="B2855" s="11">
        <v>45687</v>
      </c>
      <c r="C2855" s="5" t="s">
        <v>144</v>
      </c>
      <c r="D2855" s="5" t="s">
        <v>140</v>
      </c>
      <c r="E2855" s="5" t="s">
        <v>33</v>
      </c>
      <c r="F2855" s="5">
        <v>4</v>
      </c>
      <c r="G2855" s="19">
        <v>0.05</v>
      </c>
      <c r="H2855" s="5" t="s">
        <v>637</v>
      </c>
      <c r="I2855" s="10">
        <f>IF(OR(D2855="", F2855=""), "", F2855 * VLOOKUP(D2855, Products!A:E, 5, FALSE) * (1 - G2855))</f>
        <v>97.165999999999997</v>
      </c>
      <c r="J2855" s="10"/>
    </row>
    <row r="2856" spans="1:10" ht="15.75" customHeight="1" x14ac:dyDescent="0.3">
      <c r="A2856" s="5" t="s">
        <v>3723</v>
      </c>
      <c r="B2856" s="11">
        <v>45474</v>
      </c>
      <c r="C2856" s="5" t="s">
        <v>274</v>
      </c>
      <c r="D2856" s="5" t="s">
        <v>162</v>
      </c>
      <c r="E2856" s="5" t="s">
        <v>29</v>
      </c>
      <c r="F2856" s="5">
        <v>2</v>
      </c>
      <c r="G2856" s="19">
        <v>0.15</v>
      </c>
      <c r="H2856" s="5" t="s">
        <v>637</v>
      </c>
      <c r="I2856" s="10">
        <f>IF(OR(D2856="", F2856=""), "", F2856 * VLOOKUP(D2856, Products!A:E, 5, FALSE) * (1 - G2856))</f>
        <v>729.55499999999995</v>
      </c>
      <c r="J2856" s="10"/>
    </row>
    <row r="2857" spans="1:10" ht="15.75" customHeight="1" x14ac:dyDescent="0.3">
      <c r="A2857" s="5" t="s">
        <v>3724</v>
      </c>
      <c r="B2857" s="11">
        <v>45510</v>
      </c>
      <c r="C2857" s="5" t="s">
        <v>563</v>
      </c>
      <c r="D2857" s="5" t="s">
        <v>77</v>
      </c>
      <c r="E2857" s="5" t="s">
        <v>33</v>
      </c>
      <c r="F2857" s="5">
        <v>4</v>
      </c>
      <c r="G2857" s="19">
        <v>0.15</v>
      </c>
      <c r="H2857" s="5" t="s">
        <v>637</v>
      </c>
      <c r="I2857" s="10">
        <f>IF(OR(D2857="", F2857=""), "", F2857 * VLOOKUP(D2857, Products!A:E, 5, FALSE) * (1 - G2857))</f>
        <v>845.13799999999992</v>
      </c>
      <c r="J2857" s="10"/>
    </row>
    <row r="2858" spans="1:10" ht="15.75" customHeight="1" x14ac:dyDescent="0.3">
      <c r="A2858" s="5" t="s">
        <v>3725</v>
      </c>
      <c r="B2858" s="11">
        <v>45597</v>
      </c>
      <c r="C2858" s="5" t="s">
        <v>608</v>
      </c>
      <c r="D2858" s="5" t="s">
        <v>285</v>
      </c>
      <c r="E2858" s="5" t="s">
        <v>29</v>
      </c>
      <c r="F2858" s="5">
        <v>3</v>
      </c>
      <c r="G2858" s="19">
        <v>0.1</v>
      </c>
      <c r="H2858" s="5" t="s">
        <v>637</v>
      </c>
      <c r="I2858" s="10">
        <f>IF(OR(D2858="", F2858=""), "", F2858 * VLOOKUP(D2858, Products!A:E, 5, FALSE) * (1 - G2858))</f>
        <v>1048.3019999999999</v>
      </c>
      <c r="J2858" s="10"/>
    </row>
    <row r="2859" spans="1:10" ht="15.75" customHeight="1" x14ac:dyDescent="0.3">
      <c r="A2859" s="5" t="s">
        <v>3726</v>
      </c>
      <c r="B2859" s="11">
        <v>45292</v>
      </c>
      <c r="C2859" s="5" t="s">
        <v>286</v>
      </c>
      <c r="D2859" s="5" t="s">
        <v>243</v>
      </c>
      <c r="E2859" s="5" t="s">
        <v>37</v>
      </c>
      <c r="F2859" s="5">
        <v>2</v>
      </c>
      <c r="G2859" s="19">
        <v>0.05</v>
      </c>
      <c r="H2859" s="5" t="s">
        <v>697</v>
      </c>
      <c r="I2859" s="10">
        <f>IF(OR(D2859="", F2859=""), "", F2859 * VLOOKUP(D2859, Products!A:E, 5, FALSE) * (1 - G2859))</f>
        <v>1027.7860000000001</v>
      </c>
      <c r="J2859" s="10"/>
    </row>
    <row r="2860" spans="1:10" ht="15.75" customHeight="1" x14ac:dyDescent="0.3">
      <c r="A2860" s="5" t="s">
        <v>3727</v>
      </c>
      <c r="B2860" s="11">
        <v>45833</v>
      </c>
      <c r="C2860" s="5" t="s">
        <v>823</v>
      </c>
      <c r="D2860" s="5" t="s">
        <v>134</v>
      </c>
      <c r="E2860" s="5" t="s">
        <v>25</v>
      </c>
      <c r="F2860" s="5">
        <v>5</v>
      </c>
      <c r="G2860" s="19">
        <v>0.05</v>
      </c>
      <c r="H2860" s="5" t="s">
        <v>454</v>
      </c>
      <c r="I2860" s="10">
        <f>IF(OR(D2860="", F2860=""), "", F2860 * VLOOKUP(D2860, Products!A:E, 5, FALSE) * (1 - G2860))</f>
        <v>5829.3899999999994</v>
      </c>
      <c r="J2860" s="10"/>
    </row>
    <row r="2861" spans="1:10" ht="15.75" customHeight="1" x14ac:dyDescent="0.3">
      <c r="A2861" s="5" t="s">
        <v>3728</v>
      </c>
      <c r="B2861" s="11">
        <v>45845</v>
      </c>
      <c r="C2861" s="5" t="s">
        <v>608</v>
      </c>
      <c r="D2861" s="5" t="s">
        <v>54</v>
      </c>
      <c r="E2861" s="5" t="s">
        <v>37</v>
      </c>
      <c r="F2861" s="5">
        <v>4</v>
      </c>
      <c r="G2861" s="19">
        <v>0.1</v>
      </c>
      <c r="H2861" s="5" t="s">
        <v>454</v>
      </c>
      <c r="I2861" s="10">
        <f>IF(OR(D2861="", F2861=""), "", F2861 * VLOOKUP(D2861, Products!A:E, 5, FALSE) * (1 - G2861))</f>
        <v>6673.5720000000001</v>
      </c>
      <c r="J2861" s="10"/>
    </row>
    <row r="2862" spans="1:10" ht="15.75" customHeight="1" x14ac:dyDescent="0.3">
      <c r="A2862" s="5" t="s">
        <v>3729</v>
      </c>
      <c r="B2862" s="11">
        <v>45465</v>
      </c>
      <c r="C2862" s="5" t="s">
        <v>368</v>
      </c>
      <c r="D2862" s="5" t="s">
        <v>226</v>
      </c>
      <c r="E2862" s="5" t="s">
        <v>33</v>
      </c>
      <c r="F2862" s="5">
        <v>2</v>
      </c>
      <c r="G2862" s="19">
        <v>0.15</v>
      </c>
      <c r="H2862" s="5" t="s">
        <v>776</v>
      </c>
      <c r="I2862" s="10">
        <f>IF(OR(D2862="", F2862=""), "", F2862 * VLOOKUP(D2862, Products!A:E, 5, FALSE) * (1 - G2862))</f>
        <v>2552.482</v>
      </c>
      <c r="J2862" s="10"/>
    </row>
    <row r="2863" spans="1:10" ht="15.75" customHeight="1" x14ac:dyDescent="0.3">
      <c r="A2863" s="5" t="s">
        <v>3730</v>
      </c>
      <c r="B2863" s="11">
        <v>45532</v>
      </c>
      <c r="C2863" s="5" t="s">
        <v>676</v>
      </c>
      <c r="D2863" s="5" t="s">
        <v>134</v>
      </c>
      <c r="E2863" s="5" t="s">
        <v>33</v>
      </c>
      <c r="F2863" s="5">
        <v>3</v>
      </c>
      <c r="G2863" s="19">
        <v>0.15</v>
      </c>
      <c r="H2863" s="5" t="s">
        <v>776</v>
      </c>
      <c r="I2863" s="10">
        <f>IF(OR(D2863="", F2863=""), "", F2863 * VLOOKUP(D2863, Products!A:E, 5, FALSE) * (1 - G2863))</f>
        <v>3129.462</v>
      </c>
      <c r="J2863" s="10"/>
    </row>
    <row r="2864" spans="1:10" ht="15.75" customHeight="1" x14ac:dyDescent="0.3">
      <c r="A2864" s="5" t="s">
        <v>3731</v>
      </c>
      <c r="B2864" s="11">
        <v>45810</v>
      </c>
      <c r="C2864" s="5" t="s">
        <v>357</v>
      </c>
      <c r="D2864" s="5" t="s">
        <v>82</v>
      </c>
      <c r="E2864" s="5" t="s">
        <v>25</v>
      </c>
      <c r="F2864" s="5">
        <v>3</v>
      </c>
      <c r="G2864" s="19">
        <v>0.05</v>
      </c>
      <c r="H2864" s="5" t="s">
        <v>637</v>
      </c>
      <c r="I2864" s="10">
        <f>IF(OR(D2864="", F2864=""), "", F2864 * VLOOKUP(D2864, Products!A:E, 5, FALSE) * (1 - G2864))</f>
        <v>3400.3064999999992</v>
      </c>
      <c r="J2864" s="10"/>
    </row>
    <row r="2865" spans="1:10" ht="15.75" customHeight="1" x14ac:dyDescent="0.3">
      <c r="A2865" s="5" t="s">
        <v>3732</v>
      </c>
      <c r="B2865" s="11">
        <v>45674</v>
      </c>
      <c r="C2865" s="5" t="s">
        <v>657</v>
      </c>
      <c r="D2865" s="5" t="s">
        <v>200</v>
      </c>
      <c r="E2865" s="5" t="s">
        <v>33</v>
      </c>
      <c r="F2865" s="5">
        <v>2</v>
      </c>
      <c r="G2865" s="19">
        <v>0.15</v>
      </c>
      <c r="H2865" s="5" t="s">
        <v>776</v>
      </c>
      <c r="I2865" s="10">
        <f>IF(OR(D2865="", F2865=""), "", F2865 * VLOOKUP(D2865, Products!A:E, 5, FALSE) * (1 - G2865))</f>
        <v>1862.7239999999999</v>
      </c>
      <c r="J2865" s="10"/>
    </row>
    <row r="2866" spans="1:10" ht="15.75" customHeight="1" x14ac:dyDescent="0.3">
      <c r="A2866" s="5" t="s">
        <v>3733</v>
      </c>
      <c r="B2866" s="11">
        <v>45714</v>
      </c>
      <c r="C2866" s="5" t="s">
        <v>805</v>
      </c>
      <c r="D2866" s="5" t="s">
        <v>272</v>
      </c>
      <c r="E2866" s="5" t="s">
        <v>25</v>
      </c>
      <c r="F2866" s="5">
        <v>4</v>
      </c>
      <c r="G2866" s="19">
        <v>0.05</v>
      </c>
      <c r="H2866" s="5" t="s">
        <v>454</v>
      </c>
      <c r="I2866" s="10">
        <f>IF(OR(D2866="", F2866=""), "", F2866 * VLOOKUP(D2866, Products!A:E, 5, FALSE) * (1 - G2866))</f>
        <v>4428.405999999999</v>
      </c>
      <c r="J2866" s="10"/>
    </row>
    <row r="2867" spans="1:10" ht="15.75" customHeight="1" x14ac:dyDescent="0.3">
      <c r="A2867" s="5" t="s">
        <v>3734</v>
      </c>
      <c r="B2867" s="11">
        <v>45244</v>
      </c>
      <c r="C2867" s="5" t="s">
        <v>850</v>
      </c>
      <c r="D2867" s="5" t="s">
        <v>82</v>
      </c>
      <c r="E2867" s="5" t="s">
        <v>37</v>
      </c>
      <c r="F2867" s="5">
        <v>2</v>
      </c>
      <c r="G2867" s="19">
        <v>0.15</v>
      </c>
      <c r="H2867" s="5" t="s">
        <v>697</v>
      </c>
      <c r="I2867" s="10">
        <f>IF(OR(D2867="", F2867=""), "", F2867 * VLOOKUP(D2867, Products!A:E, 5, FALSE) * (1 - G2867))</f>
        <v>2028.2529999999997</v>
      </c>
      <c r="J2867" s="10"/>
    </row>
    <row r="2868" spans="1:10" ht="15.75" customHeight="1" x14ac:dyDescent="0.3">
      <c r="A2868" s="5" t="s">
        <v>3735</v>
      </c>
      <c r="B2868" s="11">
        <v>45285</v>
      </c>
      <c r="C2868" s="5" t="s">
        <v>304</v>
      </c>
      <c r="D2868" s="5" t="s">
        <v>74</v>
      </c>
      <c r="E2868" s="5" t="s">
        <v>33</v>
      </c>
      <c r="F2868" s="5">
        <v>3</v>
      </c>
      <c r="G2868" s="19">
        <v>0.15</v>
      </c>
      <c r="H2868" s="5" t="s">
        <v>697</v>
      </c>
      <c r="I2868" s="10">
        <f>IF(OR(D2868="", F2868=""), "", F2868 * VLOOKUP(D2868, Products!A:E, 5, FALSE) * (1 - G2868))</f>
        <v>3045.0059999999999</v>
      </c>
      <c r="J2868" s="10"/>
    </row>
    <row r="2869" spans="1:10" ht="15.75" customHeight="1" x14ac:dyDescent="0.3">
      <c r="A2869" s="5" t="s">
        <v>3736</v>
      </c>
      <c r="B2869" s="11">
        <v>45415</v>
      </c>
      <c r="C2869" s="5" t="s">
        <v>847</v>
      </c>
      <c r="D2869" s="5" t="s">
        <v>134</v>
      </c>
      <c r="E2869" s="5" t="s">
        <v>25</v>
      </c>
      <c r="F2869" s="5">
        <v>4</v>
      </c>
      <c r="G2869" s="19">
        <v>0.1</v>
      </c>
      <c r="H2869" s="5" t="s">
        <v>776</v>
      </c>
      <c r="I2869" s="10">
        <f>IF(OR(D2869="", F2869=""), "", F2869 * VLOOKUP(D2869, Products!A:E, 5, FALSE) * (1 - G2869))</f>
        <v>4418.0640000000003</v>
      </c>
      <c r="J2869" s="10"/>
    </row>
    <row r="2870" spans="1:10" ht="15.75" customHeight="1" x14ac:dyDescent="0.3">
      <c r="A2870" s="5" t="s">
        <v>3737</v>
      </c>
      <c r="B2870" s="11">
        <v>45445</v>
      </c>
      <c r="C2870" s="5" t="s">
        <v>662</v>
      </c>
      <c r="D2870" s="5" t="s">
        <v>54</v>
      </c>
      <c r="E2870" s="5" t="s">
        <v>21</v>
      </c>
      <c r="F2870" s="5">
        <v>1</v>
      </c>
      <c r="G2870" s="19">
        <v>0</v>
      </c>
      <c r="H2870" s="5" t="s">
        <v>776</v>
      </c>
      <c r="I2870" s="10">
        <f>IF(OR(D2870="", F2870=""), "", F2870 * VLOOKUP(D2870, Products!A:E, 5, FALSE) * (1 - G2870))</f>
        <v>1853.77</v>
      </c>
      <c r="J2870" s="10"/>
    </row>
    <row r="2871" spans="1:10" ht="15.75" customHeight="1" x14ac:dyDescent="0.3">
      <c r="A2871" s="5" t="s">
        <v>3738</v>
      </c>
      <c r="B2871" s="11">
        <v>45382</v>
      </c>
      <c r="C2871" s="5" t="s">
        <v>81</v>
      </c>
      <c r="D2871" s="5" t="s">
        <v>57</v>
      </c>
      <c r="E2871" s="5" t="s">
        <v>21</v>
      </c>
      <c r="F2871" s="5">
        <v>3</v>
      </c>
      <c r="G2871" s="19">
        <v>0</v>
      </c>
      <c r="H2871" s="5" t="s">
        <v>454</v>
      </c>
      <c r="I2871" s="10">
        <f>IF(OR(D2871="", F2871=""), "", F2871 * VLOOKUP(D2871, Products!A:E, 5, FALSE) * (1 - G2871))</f>
        <v>4188.66</v>
      </c>
      <c r="J2871" s="10"/>
    </row>
    <row r="2872" spans="1:10" ht="15.75" customHeight="1" x14ac:dyDescent="0.3">
      <c r="A2872" s="5" t="s">
        <v>3739</v>
      </c>
      <c r="B2872" s="11">
        <v>45329</v>
      </c>
      <c r="C2872" s="5" t="s">
        <v>511</v>
      </c>
      <c r="D2872" s="5" t="s">
        <v>82</v>
      </c>
      <c r="E2872" s="5" t="s">
        <v>25</v>
      </c>
      <c r="F2872" s="5">
        <v>2</v>
      </c>
      <c r="G2872" s="19">
        <v>0.05</v>
      </c>
      <c r="H2872" s="5" t="s">
        <v>454</v>
      </c>
      <c r="I2872" s="10">
        <f>IF(OR(D2872="", F2872=""), "", F2872 * VLOOKUP(D2872, Products!A:E, 5, FALSE) * (1 - G2872))</f>
        <v>2266.8709999999996</v>
      </c>
      <c r="J2872" s="10"/>
    </row>
    <row r="2873" spans="1:10" ht="15.75" customHeight="1" x14ac:dyDescent="0.3">
      <c r="A2873" s="5" t="s">
        <v>3740</v>
      </c>
      <c r="B2873" s="11">
        <v>45449</v>
      </c>
      <c r="C2873" s="5" t="s">
        <v>177</v>
      </c>
      <c r="D2873" s="5" t="s">
        <v>267</v>
      </c>
      <c r="E2873" s="5" t="s">
        <v>29</v>
      </c>
      <c r="F2873" s="5">
        <v>5</v>
      </c>
      <c r="G2873" s="19">
        <v>0.1</v>
      </c>
      <c r="H2873" s="5" t="s">
        <v>637</v>
      </c>
      <c r="I2873" s="10">
        <f>IF(OR(D2873="", F2873=""), "", F2873 * VLOOKUP(D2873, Products!A:E, 5, FALSE) * (1 - G2873))</f>
        <v>5789.4750000000004</v>
      </c>
      <c r="J2873" s="10"/>
    </row>
    <row r="2874" spans="1:10" ht="15.75" customHeight="1" x14ac:dyDescent="0.3">
      <c r="A2874" s="5" t="s">
        <v>3741</v>
      </c>
      <c r="B2874" s="11">
        <v>45362</v>
      </c>
      <c r="C2874" s="5" t="s">
        <v>618</v>
      </c>
      <c r="D2874" s="5" t="s">
        <v>188</v>
      </c>
      <c r="E2874" s="5" t="s">
        <v>29</v>
      </c>
      <c r="F2874" s="5">
        <v>2</v>
      </c>
      <c r="G2874" s="19">
        <v>0.1</v>
      </c>
      <c r="H2874" s="5" t="s">
        <v>454</v>
      </c>
      <c r="I2874" s="10">
        <f>IF(OR(D2874="", F2874=""), "", F2874 * VLOOKUP(D2874, Products!A:E, 5, FALSE) * (1 - G2874))</f>
        <v>2673.09</v>
      </c>
      <c r="J2874" s="10"/>
    </row>
    <row r="2875" spans="1:10" ht="15.75" customHeight="1" x14ac:dyDescent="0.3">
      <c r="A2875" s="5" t="s">
        <v>3742</v>
      </c>
      <c r="B2875" s="11">
        <v>45279</v>
      </c>
      <c r="C2875" s="5" t="s">
        <v>229</v>
      </c>
      <c r="D2875" s="5" t="s">
        <v>153</v>
      </c>
      <c r="E2875" s="5" t="s">
        <v>37</v>
      </c>
      <c r="F2875" s="5">
        <v>2</v>
      </c>
      <c r="G2875" s="19">
        <v>0.05</v>
      </c>
      <c r="H2875" s="5" t="s">
        <v>697</v>
      </c>
      <c r="I2875" s="10">
        <f>IF(OR(D2875="", F2875=""), "", F2875 * VLOOKUP(D2875, Products!A:E, 5, FALSE) * (1 - G2875))</f>
        <v>2826.0790000000002</v>
      </c>
      <c r="J2875" s="10"/>
    </row>
    <row r="2876" spans="1:10" ht="15.75" customHeight="1" x14ac:dyDescent="0.3">
      <c r="A2876" s="5" t="s">
        <v>3743</v>
      </c>
      <c r="B2876" s="11">
        <v>45589</v>
      </c>
      <c r="C2876" s="5" t="s">
        <v>563</v>
      </c>
      <c r="D2876" s="5" t="s">
        <v>265</v>
      </c>
      <c r="E2876" s="5" t="s">
        <v>21</v>
      </c>
      <c r="F2876" s="5">
        <v>5</v>
      </c>
      <c r="G2876" s="19">
        <v>0.15</v>
      </c>
      <c r="H2876" s="5" t="s">
        <v>697</v>
      </c>
      <c r="I2876" s="10">
        <f>IF(OR(D2876="", F2876=""), "", F2876 * VLOOKUP(D2876, Products!A:E, 5, FALSE) * (1 - G2876))</f>
        <v>2398.7849999999999</v>
      </c>
      <c r="J2876" s="10"/>
    </row>
    <row r="2877" spans="1:10" ht="15.75" customHeight="1" x14ac:dyDescent="0.3">
      <c r="A2877" s="5" t="s">
        <v>3744</v>
      </c>
      <c r="B2877" s="11">
        <v>45653</v>
      </c>
      <c r="C2877" s="5" t="s">
        <v>695</v>
      </c>
      <c r="D2877" s="5" t="s">
        <v>256</v>
      </c>
      <c r="E2877" s="5" t="s">
        <v>37</v>
      </c>
      <c r="F2877" s="5">
        <v>4</v>
      </c>
      <c r="G2877" s="19">
        <v>0.1</v>
      </c>
      <c r="H2877" s="5" t="s">
        <v>697</v>
      </c>
      <c r="I2877" s="10">
        <f>IF(OR(D2877="", F2877=""), "", F2877 * VLOOKUP(D2877, Products!A:E, 5, FALSE) * (1 - G2877))</f>
        <v>5886.0360000000001</v>
      </c>
      <c r="J2877" s="10"/>
    </row>
    <row r="2878" spans="1:10" ht="15.75" customHeight="1" x14ac:dyDescent="0.3">
      <c r="A2878" s="5" t="s">
        <v>3745</v>
      </c>
      <c r="B2878" s="11">
        <v>45570</v>
      </c>
      <c r="C2878" s="5" t="s">
        <v>250</v>
      </c>
      <c r="D2878" s="5" t="s">
        <v>147</v>
      </c>
      <c r="E2878" s="5" t="s">
        <v>25</v>
      </c>
      <c r="F2878" s="5">
        <v>4</v>
      </c>
      <c r="G2878" s="19">
        <v>0</v>
      </c>
      <c r="H2878" s="5" t="s">
        <v>776</v>
      </c>
      <c r="I2878" s="10">
        <f>IF(OR(D2878="", F2878=""), "", F2878 * VLOOKUP(D2878, Products!A:E, 5, FALSE) * (1 - G2878))</f>
        <v>7513.88</v>
      </c>
      <c r="J2878" s="10"/>
    </row>
    <row r="2879" spans="1:10" ht="15.75" customHeight="1" x14ac:dyDescent="0.3">
      <c r="A2879" s="5" t="s">
        <v>3746</v>
      </c>
      <c r="B2879" s="11">
        <v>45821</v>
      </c>
      <c r="C2879" s="5" t="s">
        <v>286</v>
      </c>
      <c r="D2879" s="5" t="s">
        <v>119</v>
      </c>
      <c r="E2879" s="5" t="s">
        <v>33</v>
      </c>
      <c r="F2879" s="5">
        <v>4</v>
      </c>
      <c r="G2879" s="19">
        <v>0.15</v>
      </c>
      <c r="H2879" s="5" t="s">
        <v>637</v>
      </c>
      <c r="I2879" s="10">
        <f>IF(OR(D2879="", F2879=""), "", F2879 * VLOOKUP(D2879, Products!A:E, 5, FALSE) * (1 - G2879))</f>
        <v>3671.6260000000002</v>
      </c>
      <c r="J2879" s="10"/>
    </row>
    <row r="2880" spans="1:10" ht="15.75" customHeight="1" x14ac:dyDescent="0.3">
      <c r="A2880" s="5" t="s">
        <v>3747</v>
      </c>
      <c r="B2880" s="11">
        <v>45892</v>
      </c>
      <c r="C2880" s="5" t="s">
        <v>326</v>
      </c>
      <c r="D2880" s="5" t="s">
        <v>200</v>
      </c>
      <c r="E2880" s="5" t="s">
        <v>21</v>
      </c>
      <c r="F2880" s="5">
        <v>5</v>
      </c>
      <c r="G2880" s="19">
        <v>0.1</v>
      </c>
      <c r="H2880" s="5" t="s">
        <v>637</v>
      </c>
      <c r="I2880" s="10">
        <f>IF(OR(D2880="", F2880=""), "", F2880 * VLOOKUP(D2880, Products!A:E, 5, FALSE) * (1 - G2880))</f>
        <v>4930.7400000000007</v>
      </c>
      <c r="J2880" s="10"/>
    </row>
    <row r="2881" spans="1:10" ht="15.75" customHeight="1" x14ac:dyDescent="0.3">
      <c r="A2881" s="5" t="s">
        <v>3748</v>
      </c>
      <c r="B2881" s="11">
        <v>45866</v>
      </c>
      <c r="C2881" s="5" t="s">
        <v>715</v>
      </c>
      <c r="D2881" s="5" t="s">
        <v>47</v>
      </c>
      <c r="E2881" s="5" t="s">
        <v>37</v>
      </c>
      <c r="F2881" s="5">
        <v>2</v>
      </c>
      <c r="G2881" s="19">
        <v>0.15</v>
      </c>
      <c r="H2881" s="5" t="s">
        <v>776</v>
      </c>
      <c r="I2881" s="10">
        <f>IF(OR(D2881="", F2881=""), "", F2881 * VLOOKUP(D2881, Products!A:E, 5, FALSE) * (1 - G2881))</f>
        <v>1391.8920000000001</v>
      </c>
      <c r="J2881" s="10"/>
    </row>
    <row r="2882" spans="1:10" ht="15.75" customHeight="1" x14ac:dyDescent="0.3">
      <c r="A2882" s="5" t="s">
        <v>3749</v>
      </c>
      <c r="B2882" s="11">
        <v>45626</v>
      </c>
      <c r="C2882" s="5" t="s">
        <v>631</v>
      </c>
      <c r="D2882" s="5" t="s">
        <v>212</v>
      </c>
      <c r="E2882" s="5" t="s">
        <v>37</v>
      </c>
      <c r="F2882" s="5">
        <v>3</v>
      </c>
      <c r="G2882" s="19">
        <v>0.1</v>
      </c>
      <c r="H2882" s="5" t="s">
        <v>776</v>
      </c>
      <c r="I2882" s="10">
        <f>IF(OR(D2882="", F2882=""), "", F2882 * VLOOKUP(D2882, Products!A:E, 5, FALSE) * (1 - G2882))</f>
        <v>4857.2190000000001</v>
      </c>
      <c r="J2882" s="10"/>
    </row>
    <row r="2883" spans="1:10" ht="15.75" customHeight="1" x14ac:dyDescent="0.3">
      <c r="A2883" s="5" t="s">
        <v>3750</v>
      </c>
      <c r="B2883" s="11">
        <v>45465</v>
      </c>
      <c r="C2883" s="5" t="s">
        <v>522</v>
      </c>
      <c r="D2883" s="5" t="s">
        <v>272</v>
      </c>
      <c r="E2883" s="5" t="s">
        <v>21</v>
      </c>
      <c r="F2883" s="5">
        <v>2</v>
      </c>
      <c r="G2883" s="19">
        <v>0.05</v>
      </c>
      <c r="H2883" s="5" t="s">
        <v>454</v>
      </c>
      <c r="I2883" s="10">
        <f>IF(OR(D2883="", F2883=""), "", F2883 * VLOOKUP(D2883, Products!A:E, 5, FALSE) * (1 - G2883))</f>
        <v>2214.2029999999995</v>
      </c>
      <c r="J2883" s="10"/>
    </row>
    <row r="2884" spans="1:10" ht="15.75" customHeight="1" x14ac:dyDescent="0.3">
      <c r="A2884" s="5" t="s">
        <v>3751</v>
      </c>
      <c r="B2884" s="11">
        <v>45794</v>
      </c>
      <c r="C2884" s="5" t="s">
        <v>662</v>
      </c>
      <c r="D2884" s="5" t="s">
        <v>280</v>
      </c>
      <c r="E2884" s="5" t="s">
        <v>33</v>
      </c>
      <c r="F2884" s="5">
        <v>2</v>
      </c>
      <c r="G2884" s="19">
        <v>0</v>
      </c>
      <c r="H2884" s="5" t="s">
        <v>697</v>
      </c>
      <c r="I2884" s="10">
        <f>IF(OR(D2884="", F2884=""), "", F2884 * VLOOKUP(D2884, Products!A:E, 5, FALSE) * (1 - G2884))</f>
        <v>2432.7199999999998</v>
      </c>
      <c r="J2884" s="10"/>
    </row>
    <row r="2885" spans="1:10" ht="15.75" customHeight="1" x14ac:dyDescent="0.3">
      <c r="A2885" s="5" t="s">
        <v>3752</v>
      </c>
      <c r="B2885" s="11">
        <v>45388</v>
      </c>
      <c r="C2885" s="5" t="s">
        <v>755</v>
      </c>
      <c r="D2885" s="5" t="s">
        <v>193</v>
      </c>
      <c r="E2885" s="5" t="s">
        <v>29</v>
      </c>
      <c r="F2885" s="5">
        <v>3</v>
      </c>
      <c r="G2885" s="19">
        <v>0</v>
      </c>
      <c r="H2885" s="5" t="s">
        <v>454</v>
      </c>
      <c r="I2885" s="10">
        <f>IF(OR(D2885="", F2885=""), "", F2885 * VLOOKUP(D2885, Products!A:E, 5, FALSE) * (1 - G2885))</f>
        <v>87.72</v>
      </c>
      <c r="J2885" s="10"/>
    </row>
    <row r="2886" spans="1:10" ht="15.75" customHeight="1" x14ac:dyDescent="0.3">
      <c r="A2886" s="5" t="s">
        <v>3753</v>
      </c>
      <c r="B2886" s="11">
        <v>45288</v>
      </c>
      <c r="C2886" s="5" t="s">
        <v>729</v>
      </c>
      <c r="D2886" s="5" t="s">
        <v>162</v>
      </c>
      <c r="E2886" s="5" t="s">
        <v>33</v>
      </c>
      <c r="F2886" s="5">
        <v>1</v>
      </c>
      <c r="G2886" s="19">
        <v>0.15</v>
      </c>
      <c r="H2886" s="5" t="s">
        <v>697</v>
      </c>
      <c r="I2886" s="10">
        <f>IF(OR(D2886="", F2886=""), "", F2886 * VLOOKUP(D2886, Products!A:E, 5, FALSE) * (1 - G2886))</f>
        <v>364.77749999999997</v>
      </c>
      <c r="J2886" s="10"/>
    </row>
    <row r="2887" spans="1:10" ht="15.75" customHeight="1" x14ac:dyDescent="0.3">
      <c r="A2887" s="5" t="s">
        <v>3754</v>
      </c>
      <c r="B2887" s="11">
        <v>45183</v>
      </c>
      <c r="C2887" s="5" t="s">
        <v>519</v>
      </c>
      <c r="D2887" s="5" t="s">
        <v>54</v>
      </c>
      <c r="E2887" s="5" t="s">
        <v>29</v>
      </c>
      <c r="F2887" s="5">
        <v>2</v>
      </c>
      <c r="G2887" s="19">
        <v>0.1</v>
      </c>
      <c r="H2887" s="5" t="s">
        <v>776</v>
      </c>
      <c r="I2887" s="10">
        <f>IF(OR(D2887="", F2887=""), "", F2887 * VLOOKUP(D2887, Products!A:E, 5, FALSE) * (1 - G2887))</f>
        <v>3336.7860000000001</v>
      </c>
      <c r="J2887" s="10"/>
    </row>
    <row r="2888" spans="1:10" ht="15.75" customHeight="1" x14ac:dyDescent="0.3">
      <c r="A2888" s="5" t="s">
        <v>3755</v>
      </c>
      <c r="B2888" s="11">
        <v>45396</v>
      </c>
      <c r="C2888" s="5" t="s">
        <v>631</v>
      </c>
      <c r="D2888" s="5" t="s">
        <v>276</v>
      </c>
      <c r="E2888" s="5" t="s">
        <v>29</v>
      </c>
      <c r="F2888" s="5">
        <v>2</v>
      </c>
      <c r="G2888" s="19">
        <v>0</v>
      </c>
      <c r="H2888" s="5" t="s">
        <v>697</v>
      </c>
      <c r="I2888" s="10">
        <f>IF(OR(D2888="", F2888=""), "", F2888 * VLOOKUP(D2888, Products!A:E, 5, FALSE) * (1 - G2888))</f>
        <v>2394.36</v>
      </c>
      <c r="J2888" s="10"/>
    </row>
    <row r="2889" spans="1:10" ht="15.75" customHeight="1" x14ac:dyDescent="0.3">
      <c r="A2889" s="5" t="s">
        <v>3756</v>
      </c>
      <c r="B2889" s="11">
        <v>45748</v>
      </c>
      <c r="C2889" s="5" t="s">
        <v>811</v>
      </c>
      <c r="D2889" s="5" t="s">
        <v>237</v>
      </c>
      <c r="E2889" s="5" t="s">
        <v>29</v>
      </c>
      <c r="F2889" s="5">
        <v>3</v>
      </c>
      <c r="G2889" s="19">
        <v>0.15</v>
      </c>
      <c r="H2889" s="5" t="s">
        <v>637</v>
      </c>
      <c r="I2889" s="10">
        <f>IF(OR(D2889="", F2889=""), "", F2889 * VLOOKUP(D2889, Products!A:E, 5, FALSE) * (1 - G2889))</f>
        <v>935.67149999999992</v>
      </c>
      <c r="J2889" s="10"/>
    </row>
    <row r="2890" spans="1:10" ht="15.75" customHeight="1" x14ac:dyDescent="0.3">
      <c r="A2890" s="5" t="s">
        <v>3757</v>
      </c>
      <c r="B2890" s="11">
        <v>45687</v>
      </c>
      <c r="C2890" s="5" t="s">
        <v>491</v>
      </c>
      <c r="D2890" s="5" t="s">
        <v>109</v>
      </c>
      <c r="E2890" s="5" t="s">
        <v>21</v>
      </c>
      <c r="F2890" s="5">
        <v>3</v>
      </c>
      <c r="G2890" s="19">
        <v>0.15</v>
      </c>
      <c r="H2890" s="5" t="s">
        <v>776</v>
      </c>
      <c r="I2890" s="10">
        <f>IF(OR(D2890="", F2890=""), "", F2890 * VLOOKUP(D2890, Products!A:E, 5, FALSE) * (1 - G2890))</f>
        <v>4739.8125</v>
      </c>
      <c r="J2890" s="10"/>
    </row>
    <row r="2891" spans="1:10" ht="15.75" customHeight="1" x14ac:dyDescent="0.3">
      <c r="A2891" s="5" t="s">
        <v>3758</v>
      </c>
      <c r="B2891" s="11">
        <v>45603</v>
      </c>
      <c r="C2891" s="5" t="s">
        <v>488</v>
      </c>
      <c r="D2891" s="5" t="s">
        <v>243</v>
      </c>
      <c r="E2891" s="5" t="s">
        <v>37</v>
      </c>
      <c r="F2891" s="5">
        <v>1</v>
      </c>
      <c r="G2891" s="19">
        <v>0.05</v>
      </c>
      <c r="H2891" s="5" t="s">
        <v>776</v>
      </c>
      <c r="I2891" s="10">
        <f>IF(OR(D2891="", F2891=""), "", F2891 * VLOOKUP(D2891, Products!A:E, 5, FALSE) * (1 - G2891))</f>
        <v>513.89300000000003</v>
      </c>
      <c r="J2891" s="10"/>
    </row>
    <row r="2892" spans="1:10" ht="15.75" customHeight="1" x14ac:dyDescent="0.3">
      <c r="A2892" s="5" t="s">
        <v>3759</v>
      </c>
      <c r="B2892" s="11">
        <v>45454</v>
      </c>
      <c r="C2892" s="5" t="s">
        <v>842</v>
      </c>
      <c r="D2892" s="5" t="s">
        <v>103</v>
      </c>
      <c r="E2892" s="5" t="s">
        <v>37</v>
      </c>
      <c r="F2892" s="5">
        <v>1</v>
      </c>
      <c r="G2892" s="19">
        <v>0.1</v>
      </c>
      <c r="H2892" s="5" t="s">
        <v>637</v>
      </c>
      <c r="I2892" s="10">
        <f>IF(OR(D2892="", F2892=""), "", F2892 * VLOOKUP(D2892, Products!A:E, 5, FALSE) * (1 - G2892))</f>
        <v>243.405</v>
      </c>
      <c r="J2892" s="10"/>
    </row>
    <row r="2893" spans="1:10" ht="15.75" customHeight="1" x14ac:dyDescent="0.3">
      <c r="A2893" s="5" t="s">
        <v>3760</v>
      </c>
      <c r="B2893" s="11">
        <v>45775</v>
      </c>
      <c r="C2893" s="5" t="s">
        <v>357</v>
      </c>
      <c r="D2893" s="5" t="s">
        <v>74</v>
      </c>
      <c r="E2893" s="5" t="s">
        <v>33</v>
      </c>
      <c r="F2893" s="5">
        <v>4</v>
      </c>
      <c r="G2893" s="19">
        <v>0.15</v>
      </c>
      <c r="H2893" s="5" t="s">
        <v>776</v>
      </c>
      <c r="I2893" s="10">
        <f>IF(OR(D2893="", F2893=""), "", F2893 * VLOOKUP(D2893, Products!A:E, 5, FALSE) * (1 - G2893))</f>
        <v>4060.0079999999994</v>
      </c>
      <c r="J2893" s="10"/>
    </row>
    <row r="2894" spans="1:10" ht="15.75" customHeight="1" x14ac:dyDescent="0.3">
      <c r="A2894" s="5" t="s">
        <v>3761</v>
      </c>
      <c r="B2894" s="11">
        <v>45792</v>
      </c>
      <c r="C2894" s="5" t="s">
        <v>805</v>
      </c>
      <c r="D2894" s="5" t="s">
        <v>47</v>
      </c>
      <c r="E2894" s="5" t="s">
        <v>29</v>
      </c>
      <c r="F2894" s="5">
        <v>4</v>
      </c>
      <c r="G2894" s="19">
        <v>0.1</v>
      </c>
      <c r="H2894" s="5" t="s">
        <v>454</v>
      </c>
      <c r="I2894" s="10">
        <f>IF(OR(D2894="", F2894=""), "", F2894 * VLOOKUP(D2894, Products!A:E, 5, FALSE) * (1 - G2894))</f>
        <v>2947.5360000000001</v>
      </c>
      <c r="J2894" s="10"/>
    </row>
    <row r="2895" spans="1:10" ht="15.75" customHeight="1" x14ac:dyDescent="0.3">
      <c r="A2895" s="5" t="s">
        <v>3762</v>
      </c>
      <c r="B2895" s="11">
        <v>45306</v>
      </c>
      <c r="C2895" s="5" t="s">
        <v>652</v>
      </c>
      <c r="D2895" s="5" t="s">
        <v>77</v>
      </c>
      <c r="E2895" s="5" t="s">
        <v>33</v>
      </c>
      <c r="F2895" s="5">
        <v>4</v>
      </c>
      <c r="G2895" s="19">
        <v>0.1</v>
      </c>
      <c r="H2895" s="5" t="s">
        <v>697</v>
      </c>
      <c r="I2895" s="10">
        <f>IF(OR(D2895="", F2895=""), "", F2895 * VLOOKUP(D2895, Products!A:E, 5, FALSE) * (1 - G2895))</f>
        <v>894.85199999999998</v>
      </c>
      <c r="J2895" s="10"/>
    </row>
    <row r="2896" spans="1:10" ht="15.75" customHeight="1" x14ac:dyDescent="0.3">
      <c r="A2896" s="5" t="s">
        <v>3763</v>
      </c>
      <c r="B2896" s="11">
        <v>45321</v>
      </c>
      <c r="C2896" s="5" t="s">
        <v>499</v>
      </c>
      <c r="D2896" s="5" t="s">
        <v>134</v>
      </c>
      <c r="E2896" s="5" t="s">
        <v>29</v>
      </c>
      <c r="F2896" s="5">
        <v>5</v>
      </c>
      <c r="G2896" s="19">
        <v>0.05</v>
      </c>
      <c r="H2896" s="5" t="s">
        <v>637</v>
      </c>
      <c r="I2896" s="10">
        <f>IF(OR(D2896="", F2896=""), "", F2896 * VLOOKUP(D2896, Products!A:E, 5, FALSE) * (1 - G2896))</f>
        <v>5829.3899999999994</v>
      </c>
      <c r="J2896" s="10"/>
    </row>
    <row r="2897" spans="1:10" ht="15.75" customHeight="1" x14ac:dyDescent="0.3">
      <c r="A2897" s="5" t="s">
        <v>3764</v>
      </c>
      <c r="B2897" s="11">
        <v>45644</v>
      </c>
      <c r="C2897" s="5" t="s">
        <v>440</v>
      </c>
      <c r="D2897" s="5" t="s">
        <v>122</v>
      </c>
      <c r="E2897" s="5" t="s">
        <v>29</v>
      </c>
      <c r="F2897" s="5">
        <v>1</v>
      </c>
      <c r="G2897" s="19">
        <v>0.15</v>
      </c>
      <c r="H2897" s="5" t="s">
        <v>776</v>
      </c>
      <c r="I2897" s="10">
        <f>IF(OR(D2897="", F2897=""), "", F2897 * VLOOKUP(D2897, Products!A:E, 5, FALSE) * (1 - G2897))</f>
        <v>1498.482</v>
      </c>
      <c r="J2897" s="10"/>
    </row>
    <row r="2898" spans="1:10" ht="15.75" customHeight="1" x14ac:dyDescent="0.3">
      <c r="A2898" s="5" t="s">
        <v>3765</v>
      </c>
      <c r="B2898" s="11">
        <v>45387</v>
      </c>
      <c r="C2898" s="5" t="s">
        <v>602</v>
      </c>
      <c r="D2898" s="5" t="s">
        <v>95</v>
      </c>
      <c r="E2898" s="5" t="s">
        <v>29</v>
      </c>
      <c r="F2898" s="5">
        <v>5</v>
      </c>
      <c r="G2898" s="19">
        <v>0</v>
      </c>
      <c r="H2898" s="5" t="s">
        <v>776</v>
      </c>
      <c r="I2898" s="10">
        <f>IF(OR(D2898="", F2898=""), "", F2898 * VLOOKUP(D2898, Products!A:E, 5, FALSE) * (1 - G2898))</f>
        <v>6713.75</v>
      </c>
      <c r="J2898" s="10"/>
    </row>
    <row r="2899" spans="1:10" ht="15.75" customHeight="1" x14ac:dyDescent="0.3">
      <c r="A2899" s="5" t="s">
        <v>3766</v>
      </c>
      <c r="B2899" s="11">
        <v>45578</v>
      </c>
      <c r="C2899" s="5" t="s">
        <v>274</v>
      </c>
      <c r="D2899" s="5" t="s">
        <v>67</v>
      </c>
      <c r="E2899" s="5" t="s">
        <v>21</v>
      </c>
      <c r="F2899" s="5">
        <v>2</v>
      </c>
      <c r="G2899" s="19">
        <v>0</v>
      </c>
      <c r="H2899" s="5" t="s">
        <v>697</v>
      </c>
      <c r="I2899" s="10">
        <f>IF(OR(D2899="", F2899=""), "", F2899 * VLOOKUP(D2899, Products!A:E, 5, FALSE) * (1 - G2899))</f>
        <v>219.56</v>
      </c>
      <c r="J2899" s="10"/>
    </row>
    <row r="2900" spans="1:10" ht="15.75" customHeight="1" x14ac:dyDescent="0.3">
      <c r="A2900" s="5" t="s">
        <v>3767</v>
      </c>
      <c r="B2900" s="11">
        <v>45430</v>
      </c>
      <c r="C2900" s="5" t="s">
        <v>526</v>
      </c>
      <c r="D2900" s="5" t="s">
        <v>212</v>
      </c>
      <c r="E2900" s="5" t="s">
        <v>21</v>
      </c>
      <c r="F2900" s="5">
        <v>2</v>
      </c>
      <c r="G2900" s="19">
        <v>0.05</v>
      </c>
      <c r="H2900" s="5" t="s">
        <v>776</v>
      </c>
      <c r="I2900" s="10">
        <f>IF(OR(D2900="", F2900=""), "", F2900 * VLOOKUP(D2900, Products!A:E, 5, FALSE) * (1 - G2900))</f>
        <v>3418.0429999999997</v>
      </c>
      <c r="J2900" s="10"/>
    </row>
    <row r="2901" spans="1:10" ht="15.75" customHeight="1" x14ac:dyDescent="0.3">
      <c r="A2901" s="5" t="s">
        <v>3768</v>
      </c>
      <c r="B2901" s="11">
        <v>45262</v>
      </c>
      <c r="C2901" s="5" t="s">
        <v>191</v>
      </c>
      <c r="D2901" s="5" t="s">
        <v>162</v>
      </c>
      <c r="E2901" s="5" t="s">
        <v>21</v>
      </c>
      <c r="F2901" s="5">
        <v>1</v>
      </c>
      <c r="G2901" s="19">
        <v>0.1</v>
      </c>
      <c r="H2901" s="5" t="s">
        <v>776</v>
      </c>
      <c r="I2901" s="10">
        <f>IF(OR(D2901="", F2901=""), "", F2901 * VLOOKUP(D2901, Products!A:E, 5, FALSE) * (1 - G2901))</f>
        <v>386.23500000000001</v>
      </c>
      <c r="J2901" s="10"/>
    </row>
    <row r="2902" spans="1:10" ht="15.75" customHeight="1" x14ac:dyDescent="0.3">
      <c r="A2902" s="5" t="s">
        <v>3769</v>
      </c>
      <c r="B2902" s="11">
        <v>45840</v>
      </c>
      <c r="C2902" s="5" t="s">
        <v>308</v>
      </c>
      <c r="D2902" s="5" t="s">
        <v>134</v>
      </c>
      <c r="E2902" s="5" t="s">
        <v>37</v>
      </c>
      <c r="F2902" s="5">
        <v>4</v>
      </c>
      <c r="G2902" s="19">
        <v>0.1</v>
      </c>
      <c r="H2902" s="5" t="s">
        <v>776</v>
      </c>
      <c r="I2902" s="10">
        <f>IF(OR(D2902="", F2902=""), "", F2902 * VLOOKUP(D2902, Products!A:E, 5, FALSE) * (1 - G2902))</f>
        <v>4418.0640000000003</v>
      </c>
      <c r="J2902" s="10"/>
    </row>
    <row r="2903" spans="1:10" ht="15.75" customHeight="1" x14ac:dyDescent="0.3">
      <c r="A2903" s="5" t="s">
        <v>3770</v>
      </c>
      <c r="B2903" s="11">
        <v>45792</v>
      </c>
      <c r="C2903" s="5" t="s">
        <v>736</v>
      </c>
      <c r="D2903" s="5" t="s">
        <v>285</v>
      </c>
      <c r="E2903" s="5" t="s">
        <v>21</v>
      </c>
      <c r="F2903" s="5">
        <v>1</v>
      </c>
      <c r="G2903" s="19">
        <v>0.05</v>
      </c>
      <c r="H2903" s="5" t="s">
        <v>697</v>
      </c>
      <c r="I2903" s="10">
        <f>IF(OR(D2903="", F2903=""), "", F2903 * VLOOKUP(D2903, Products!A:E, 5, FALSE) * (1 - G2903))</f>
        <v>368.84699999999998</v>
      </c>
      <c r="J2903" s="10"/>
    </row>
    <row r="2904" spans="1:10" ht="15.75" customHeight="1" x14ac:dyDescent="0.3">
      <c r="A2904" s="5" t="s">
        <v>3771</v>
      </c>
      <c r="B2904" s="11">
        <v>45718</v>
      </c>
      <c r="C2904" s="5" t="s">
        <v>850</v>
      </c>
      <c r="D2904" s="5" t="s">
        <v>237</v>
      </c>
      <c r="E2904" s="5" t="s">
        <v>21</v>
      </c>
      <c r="F2904" s="5">
        <v>2</v>
      </c>
      <c r="G2904" s="19">
        <v>0</v>
      </c>
      <c r="H2904" s="5" t="s">
        <v>776</v>
      </c>
      <c r="I2904" s="10">
        <f>IF(OR(D2904="", F2904=""), "", F2904 * VLOOKUP(D2904, Products!A:E, 5, FALSE) * (1 - G2904))</f>
        <v>733.86</v>
      </c>
      <c r="J2904" s="10"/>
    </row>
    <row r="2905" spans="1:10" ht="15.75" customHeight="1" x14ac:dyDescent="0.3">
      <c r="A2905" s="5" t="s">
        <v>3772</v>
      </c>
      <c r="B2905" s="11">
        <v>45383</v>
      </c>
      <c r="C2905" s="5" t="s">
        <v>16</v>
      </c>
      <c r="D2905" s="5" t="s">
        <v>162</v>
      </c>
      <c r="E2905" s="5" t="s">
        <v>33</v>
      </c>
      <c r="F2905" s="5">
        <v>2</v>
      </c>
      <c r="G2905" s="19">
        <v>0.05</v>
      </c>
      <c r="H2905" s="5" t="s">
        <v>776</v>
      </c>
      <c r="I2905" s="10">
        <f>IF(OR(D2905="", F2905=""), "", F2905 * VLOOKUP(D2905, Products!A:E, 5, FALSE) * (1 - G2905))</f>
        <v>815.38499999999988</v>
      </c>
      <c r="J2905" s="10"/>
    </row>
    <row r="2906" spans="1:10" ht="15.75" customHeight="1" x14ac:dyDescent="0.3">
      <c r="A2906" s="5" t="s">
        <v>3773</v>
      </c>
      <c r="B2906" s="11">
        <v>45613</v>
      </c>
      <c r="C2906" s="5" t="s">
        <v>826</v>
      </c>
      <c r="D2906" s="5" t="s">
        <v>221</v>
      </c>
      <c r="E2906" s="5" t="s">
        <v>21</v>
      </c>
      <c r="F2906" s="5">
        <v>4</v>
      </c>
      <c r="G2906" s="19">
        <v>0.1</v>
      </c>
      <c r="H2906" s="5" t="s">
        <v>697</v>
      </c>
      <c r="I2906" s="10">
        <f>IF(OR(D2906="", F2906=""), "", F2906 * VLOOKUP(D2906, Products!A:E, 5, FALSE) * (1 - G2906))</f>
        <v>5624.7480000000005</v>
      </c>
      <c r="J2906" s="10"/>
    </row>
    <row r="2907" spans="1:10" ht="15.75" customHeight="1" x14ac:dyDescent="0.3">
      <c r="A2907" s="5" t="s">
        <v>3774</v>
      </c>
      <c r="B2907" s="11">
        <v>45697</v>
      </c>
      <c r="C2907" s="5" t="s">
        <v>618</v>
      </c>
      <c r="D2907" s="5" t="s">
        <v>140</v>
      </c>
      <c r="E2907" s="5" t="s">
        <v>25</v>
      </c>
      <c r="F2907" s="5">
        <v>4</v>
      </c>
      <c r="G2907" s="19">
        <v>0.05</v>
      </c>
      <c r="H2907" s="5" t="s">
        <v>637</v>
      </c>
      <c r="I2907" s="10">
        <f>IF(OR(D2907="", F2907=""), "", F2907 * VLOOKUP(D2907, Products!A:E, 5, FALSE) * (1 - G2907))</f>
        <v>97.165999999999997</v>
      </c>
      <c r="J2907" s="10"/>
    </row>
    <row r="2908" spans="1:10" ht="15.75" customHeight="1" x14ac:dyDescent="0.3">
      <c r="A2908" s="5" t="s">
        <v>3775</v>
      </c>
      <c r="B2908" s="11">
        <v>45555</v>
      </c>
      <c r="C2908" s="5" t="s">
        <v>443</v>
      </c>
      <c r="D2908" s="5" t="s">
        <v>67</v>
      </c>
      <c r="E2908" s="5" t="s">
        <v>37</v>
      </c>
      <c r="F2908" s="5">
        <v>1</v>
      </c>
      <c r="G2908" s="19">
        <v>0.15</v>
      </c>
      <c r="H2908" s="5" t="s">
        <v>697</v>
      </c>
      <c r="I2908" s="10">
        <f>IF(OR(D2908="", F2908=""), "", F2908 * VLOOKUP(D2908, Products!A:E, 5, FALSE) * (1 - G2908))</f>
        <v>93.313000000000002</v>
      </c>
      <c r="J2908" s="10"/>
    </row>
    <row r="2909" spans="1:10" ht="15.75" customHeight="1" x14ac:dyDescent="0.3">
      <c r="A2909" s="5" t="s">
        <v>3776</v>
      </c>
      <c r="B2909" s="11">
        <v>45392</v>
      </c>
      <c r="C2909" s="5" t="s">
        <v>645</v>
      </c>
      <c r="D2909" s="5" t="s">
        <v>232</v>
      </c>
      <c r="E2909" s="5" t="s">
        <v>21</v>
      </c>
      <c r="F2909" s="5">
        <v>1</v>
      </c>
      <c r="G2909" s="19">
        <v>0.05</v>
      </c>
      <c r="H2909" s="5" t="s">
        <v>697</v>
      </c>
      <c r="I2909" s="10">
        <f>IF(OR(D2909="", F2909=""), "", F2909 * VLOOKUP(D2909, Products!A:E, 5, FALSE) * (1 - G2909))</f>
        <v>1855.0174999999999</v>
      </c>
      <c r="J2909" s="10"/>
    </row>
    <row r="2910" spans="1:10" ht="15.75" customHeight="1" x14ac:dyDescent="0.3">
      <c r="A2910" s="5" t="s">
        <v>3777</v>
      </c>
      <c r="B2910" s="11">
        <v>45730</v>
      </c>
      <c r="C2910" s="5" t="s">
        <v>420</v>
      </c>
      <c r="D2910" s="5" t="s">
        <v>70</v>
      </c>
      <c r="E2910" s="5" t="s">
        <v>25</v>
      </c>
      <c r="F2910" s="5">
        <v>5</v>
      </c>
      <c r="G2910" s="19">
        <v>0.05</v>
      </c>
      <c r="H2910" s="5" t="s">
        <v>776</v>
      </c>
      <c r="I2910" s="10">
        <f>IF(OR(D2910="", F2910=""), "", F2910 * VLOOKUP(D2910, Products!A:E, 5, FALSE) * (1 - G2910))</f>
        <v>585.15250000000003</v>
      </c>
      <c r="J2910" s="10"/>
    </row>
    <row r="2911" spans="1:10" ht="15.75" customHeight="1" x14ac:dyDescent="0.3">
      <c r="A2911" s="5" t="s">
        <v>3778</v>
      </c>
      <c r="B2911" s="11">
        <v>45876</v>
      </c>
      <c r="C2911" s="5" t="s">
        <v>811</v>
      </c>
      <c r="D2911" s="5" t="s">
        <v>67</v>
      </c>
      <c r="E2911" s="5" t="s">
        <v>21</v>
      </c>
      <c r="F2911" s="5">
        <v>2</v>
      </c>
      <c r="G2911" s="19">
        <v>0.05</v>
      </c>
      <c r="H2911" s="5" t="s">
        <v>454</v>
      </c>
      <c r="I2911" s="10">
        <f>IF(OR(D2911="", F2911=""), "", F2911 * VLOOKUP(D2911, Products!A:E, 5, FALSE) * (1 - G2911))</f>
        <v>208.58199999999999</v>
      </c>
      <c r="J2911" s="10"/>
    </row>
    <row r="2912" spans="1:10" ht="15.75" customHeight="1" x14ac:dyDescent="0.3">
      <c r="A2912" s="5" t="s">
        <v>3779</v>
      </c>
      <c r="B2912" s="11">
        <v>45466</v>
      </c>
      <c r="C2912" s="5" t="s">
        <v>859</v>
      </c>
      <c r="D2912" s="5" t="s">
        <v>180</v>
      </c>
      <c r="E2912" s="5" t="s">
        <v>25</v>
      </c>
      <c r="F2912" s="5">
        <v>2</v>
      </c>
      <c r="G2912" s="19">
        <v>0.15</v>
      </c>
      <c r="H2912" s="5" t="s">
        <v>454</v>
      </c>
      <c r="I2912" s="10">
        <f>IF(OR(D2912="", F2912=""), "", F2912 * VLOOKUP(D2912, Products!A:E, 5, FALSE) * (1 - G2912))</f>
        <v>1145.4259999999999</v>
      </c>
      <c r="J2912" s="10"/>
    </row>
    <row r="2913" spans="1:10" ht="15.75" customHeight="1" x14ac:dyDescent="0.3">
      <c r="A2913" s="5" t="s">
        <v>3780</v>
      </c>
      <c r="B2913" s="11">
        <v>45478</v>
      </c>
      <c r="C2913" s="5" t="s">
        <v>727</v>
      </c>
      <c r="D2913" s="5" t="s">
        <v>180</v>
      </c>
      <c r="E2913" s="5" t="s">
        <v>33</v>
      </c>
      <c r="F2913" s="5">
        <v>5</v>
      </c>
      <c r="G2913" s="19">
        <v>0.1</v>
      </c>
      <c r="H2913" s="5" t="s">
        <v>697</v>
      </c>
      <c r="I2913" s="10">
        <f>IF(OR(D2913="", F2913=""), "", F2913 * VLOOKUP(D2913, Products!A:E, 5, FALSE) * (1 - G2913))</f>
        <v>3032.0099999999998</v>
      </c>
      <c r="J2913" s="10"/>
    </row>
    <row r="2914" spans="1:10" ht="15.75" customHeight="1" x14ac:dyDescent="0.3">
      <c r="A2914" s="5" t="s">
        <v>3781</v>
      </c>
      <c r="B2914" s="11">
        <v>45909</v>
      </c>
      <c r="C2914" s="5" t="s">
        <v>575</v>
      </c>
      <c r="D2914" s="5" t="s">
        <v>285</v>
      </c>
      <c r="E2914" s="5" t="s">
        <v>29</v>
      </c>
      <c r="F2914" s="5">
        <v>3</v>
      </c>
      <c r="G2914" s="19">
        <v>0.05</v>
      </c>
      <c r="H2914" s="5" t="s">
        <v>776</v>
      </c>
      <c r="I2914" s="10">
        <f>IF(OR(D2914="", F2914=""), "", F2914 * VLOOKUP(D2914, Products!A:E, 5, FALSE) * (1 - G2914))</f>
        <v>1106.5409999999999</v>
      </c>
      <c r="J2914" s="10"/>
    </row>
    <row r="2915" spans="1:10" ht="15.75" customHeight="1" x14ac:dyDescent="0.3">
      <c r="A2915" s="5" t="s">
        <v>3782</v>
      </c>
      <c r="B2915" s="11">
        <v>45372</v>
      </c>
      <c r="C2915" s="5" t="s">
        <v>774</v>
      </c>
      <c r="D2915" s="5" t="s">
        <v>54</v>
      </c>
      <c r="E2915" s="5" t="s">
        <v>29</v>
      </c>
      <c r="F2915" s="5">
        <v>3</v>
      </c>
      <c r="G2915" s="19">
        <v>0.05</v>
      </c>
      <c r="H2915" s="5" t="s">
        <v>776</v>
      </c>
      <c r="I2915" s="10">
        <f>IF(OR(D2915="", F2915=""), "", F2915 * VLOOKUP(D2915, Products!A:E, 5, FALSE) * (1 - G2915))</f>
        <v>5283.2444999999989</v>
      </c>
      <c r="J2915" s="10"/>
    </row>
    <row r="2916" spans="1:10" ht="15.75" customHeight="1" x14ac:dyDescent="0.3">
      <c r="A2916" s="5" t="s">
        <v>3783</v>
      </c>
      <c r="B2916" s="11">
        <v>45470</v>
      </c>
      <c r="C2916" s="5" t="s">
        <v>171</v>
      </c>
      <c r="D2916" s="5" t="s">
        <v>47</v>
      </c>
      <c r="E2916" s="5" t="s">
        <v>21</v>
      </c>
      <c r="F2916" s="5">
        <v>4</v>
      </c>
      <c r="G2916" s="19">
        <v>0.1</v>
      </c>
      <c r="H2916" s="5" t="s">
        <v>776</v>
      </c>
      <c r="I2916" s="10">
        <f>IF(OR(D2916="", F2916=""), "", F2916 * VLOOKUP(D2916, Products!A:E, 5, FALSE) * (1 - G2916))</f>
        <v>2947.5360000000001</v>
      </c>
      <c r="J2916" s="10"/>
    </row>
    <row r="2917" spans="1:10" ht="15.75" customHeight="1" x14ac:dyDescent="0.3">
      <c r="A2917" s="5" t="s">
        <v>3784</v>
      </c>
      <c r="B2917" s="11">
        <v>45267</v>
      </c>
      <c r="C2917" s="5" t="s">
        <v>744</v>
      </c>
      <c r="D2917" s="5" t="s">
        <v>47</v>
      </c>
      <c r="E2917" s="5" t="s">
        <v>33</v>
      </c>
      <c r="F2917" s="5">
        <v>1</v>
      </c>
      <c r="G2917" s="19">
        <v>0.15</v>
      </c>
      <c r="H2917" s="5" t="s">
        <v>776</v>
      </c>
      <c r="I2917" s="10">
        <f>IF(OR(D2917="", F2917=""), "", F2917 * VLOOKUP(D2917, Products!A:E, 5, FALSE) * (1 - G2917))</f>
        <v>695.94600000000003</v>
      </c>
      <c r="J2917" s="10"/>
    </row>
    <row r="2918" spans="1:10" ht="15.75" customHeight="1" x14ac:dyDescent="0.3">
      <c r="A2918" s="5" t="s">
        <v>3785</v>
      </c>
      <c r="B2918" s="11">
        <v>45572</v>
      </c>
      <c r="C2918" s="5" t="s">
        <v>850</v>
      </c>
      <c r="D2918" s="5" t="s">
        <v>221</v>
      </c>
      <c r="E2918" s="5" t="s">
        <v>21</v>
      </c>
      <c r="F2918" s="5">
        <v>3</v>
      </c>
      <c r="G2918" s="19">
        <v>0.1</v>
      </c>
      <c r="H2918" s="5" t="s">
        <v>776</v>
      </c>
      <c r="I2918" s="10">
        <f>IF(OR(D2918="", F2918=""), "", F2918 * VLOOKUP(D2918, Products!A:E, 5, FALSE) * (1 - G2918))</f>
        <v>4218.5609999999997</v>
      </c>
      <c r="J2918" s="10"/>
    </row>
    <row r="2919" spans="1:10" ht="15.75" customHeight="1" x14ac:dyDescent="0.3">
      <c r="A2919" s="5" t="s">
        <v>3786</v>
      </c>
      <c r="B2919" s="11">
        <v>45826</v>
      </c>
      <c r="C2919" s="5" t="s">
        <v>703</v>
      </c>
      <c r="D2919" s="5" t="s">
        <v>147</v>
      </c>
      <c r="E2919" s="5" t="s">
        <v>29</v>
      </c>
      <c r="F2919" s="5">
        <v>3</v>
      </c>
      <c r="G2919" s="19">
        <v>0.15</v>
      </c>
      <c r="H2919" s="5" t="s">
        <v>454</v>
      </c>
      <c r="I2919" s="10">
        <f>IF(OR(D2919="", F2919=""), "", F2919 * VLOOKUP(D2919, Products!A:E, 5, FALSE) * (1 - G2919))</f>
        <v>4790.0985000000001</v>
      </c>
      <c r="J2919" s="10"/>
    </row>
    <row r="2920" spans="1:10" ht="15.75" customHeight="1" x14ac:dyDescent="0.3">
      <c r="A2920" s="5" t="s">
        <v>3787</v>
      </c>
      <c r="B2920" s="11">
        <v>45311</v>
      </c>
      <c r="C2920" s="5" t="s">
        <v>850</v>
      </c>
      <c r="D2920" s="5" t="s">
        <v>232</v>
      </c>
      <c r="E2920" s="5" t="s">
        <v>33</v>
      </c>
      <c r="F2920" s="5">
        <v>3</v>
      </c>
      <c r="G2920" s="19">
        <v>0.15</v>
      </c>
      <c r="H2920" s="5" t="s">
        <v>454</v>
      </c>
      <c r="I2920" s="10">
        <f>IF(OR(D2920="", F2920=""), "", F2920 * VLOOKUP(D2920, Products!A:E, 5, FALSE) * (1 - G2920))</f>
        <v>4979.2575000000006</v>
      </c>
      <c r="J2920" s="10"/>
    </row>
    <row r="2921" spans="1:10" ht="15.75" customHeight="1" x14ac:dyDescent="0.3">
      <c r="A2921" s="5" t="s">
        <v>3788</v>
      </c>
      <c r="B2921" s="11">
        <v>45708</v>
      </c>
      <c r="C2921" s="5" t="s">
        <v>865</v>
      </c>
      <c r="D2921" s="5" t="s">
        <v>262</v>
      </c>
      <c r="E2921" s="5" t="s">
        <v>33</v>
      </c>
      <c r="F2921" s="5">
        <v>3</v>
      </c>
      <c r="G2921" s="19">
        <v>0.05</v>
      </c>
      <c r="H2921" s="5" t="s">
        <v>697</v>
      </c>
      <c r="I2921" s="10">
        <f>IF(OR(D2921="", F2921=""), "", F2921 * VLOOKUP(D2921, Products!A:E, 5, FALSE) * (1 - G2921))</f>
        <v>1292.817</v>
      </c>
      <c r="J2921" s="10"/>
    </row>
    <row r="2922" spans="1:10" ht="15.75" customHeight="1" x14ac:dyDescent="0.3">
      <c r="A2922" s="5" t="s">
        <v>3789</v>
      </c>
      <c r="B2922" s="11">
        <v>45830</v>
      </c>
      <c r="C2922" s="5" t="s">
        <v>718</v>
      </c>
      <c r="D2922" s="5" t="s">
        <v>119</v>
      </c>
      <c r="E2922" s="5" t="s">
        <v>25</v>
      </c>
      <c r="F2922" s="5">
        <v>1</v>
      </c>
      <c r="G2922" s="19">
        <v>0.1</v>
      </c>
      <c r="H2922" s="5" t="s">
        <v>637</v>
      </c>
      <c r="I2922" s="10">
        <f>IF(OR(D2922="", F2922=""), "", F2922 * VLOOKUP(D2922, Products!A:E, 5, FALSE) * (1 - G2922))</f>
        <v>971.90100000000007</v>
      </c>
      <c r="J2922" s="10"/>
    </row>
    <row r="2923" spans="1:10" ht="15.75" customHeight="1" x14ac:dyDescent="0.3">
      <c r="A2923" s="5" t="s">
        <v>3790</v>
      </c>
      <c r="B2923" s="11">
        <v>45541</v>
      </c>
      <c r="C2923" s="5" t="s">
        <v>611</v>
      </c>
      <c r="D2923" s="5" t="s">
        <v>280</v>
      </c>
      <c r="E2923" s="5" t="s">
        <v>33</v>
      </c>
      <c r="F2923" s="5">
        <v>3</v>
      </c>
      <c r="G2923" s="19">
        <v>0.15</v>
      </c>
      <c r="H2923" s="5" t="s">
        <v>637</v>
      </c>
      <c r="I2923" s="10">
        <f>IF(OR(D2923="", F2923=""), "", F2923 * VLOOKUP(D2923, Products!A:E, 5, FALSE) * (1 - G2923))</f>
        <v>3101.7179999999998</v>
      </c>
      <c r="J2923" s="10"/>
    </row>
    <row r="2924" spans="1:10" ht="15.75" customHeight="1" x14ac:dyDescent="0.3">
      <c r="A2924" s="5" t="s">
        <v>3791</v>
      </c>
      <c r="B2924" s="11">
        <v>45666</v>
      </c>
      <c r="C2924" s="5" t="s">
        <v>608</v>
      </c>
      <c r="D2924" s="5" t="s">
        <v>147</v>
      </c>
      <c r="E2924" s="5" t="s">
        <v>33</v>
      </c>
      <c r="F2924" s="5">
        <v>2</v>
      </c>
      <c r="G2924" s="19">
        <v>0.05</v>
      </c>
      <c r="H2924" s="5" t="s">
        <v>637</v>
      </c>
      <c r="I2924" s="10">
        <f>IF(OR(D2924="", F2924=""), "", F2924 * VLOOKUP(D2924, Products!A:E, 5, FALSE) * (1 - G2924))</f>
        <v>3569.0929999999998</v>
      </c>
      <c r="J2924" s="10"/>
    </row>
    <row r="2925" spans="1:10" ht="15.75" customHeight="1" x14ac:dyDescent="0.3">
      <c r="A2925" s="5" t="s">
        <v>3792</v>
      </c>
      <c r="B2925" s="11">
        <v>45671</v>
      </c>
      <c r="C2925" s="5" t="s">
        <v>567</v>
      </c>
      <c r="D2925" s="5" t="s">
        <v>217</v>
      </c>
      <c r="E2925" s="5" t="s">
        <v>21</v>
      </c>
      <c r="F2925" s="5">
        <v>2</v>
      </c>
      <c r="G2925" s="19">
        <v>0.1</v>
      </c>
      <c r="H2925" s="5" t="s">
        <v>637</v>
      </c>
      <c r="I2925" s="10">
        <f>IF(OR(D2925="", F2925=""), "", F2925 * VLOOKUP(D2925, Products!A:E, 5, FALSE) * (1 - G2925))</f>
        <v>770.49</v>
      </c>
      <c r="J2925" s="10"/>
    </row>
    <row r="2926" spans="1:10" ht="15.75" customHeight="1" x14ac:dyDescent="0.3">
      <c r="A2926" s="5" t="s">
        <v>3793</v>
      </c>
      <c r="B2926" s="11">
        <v>45721</v>
      </c>
      <c r="C2926" s="5" t="s">
        <v>752</v>
      </c>
      <c r="D2926" s="5" t="s">
        <v>256</v>
      </c>
      <c r="E2926" s="5" t="s">
        <v>25</v>
      </c>
      <c r="F2926" s="5">
        <v>4</v>
      </c>
      <c r="G2926" s="19">
        <v>0.1</v>
      </c>
      <c r="H2926" s="5" t="s">
        <v>776</v>
      </c>
      <c r="I2926" s="10">
        <f>IF(OR(D2926="", F2926=""), "", F2926 * VLOOKUP(D2926, Products!A:E, 5, FALSE) * (1 - G2926))</f>
        <v>5886.0360000000001</v>
      </c>
      <c r="J2926" s="10"/>
    </row>
    <row r="2927" spans="1:10" ht="15.75" customHeight="1" x14ac:dyDescent="0.3">
      <c r="A2927" s="5" t="s">
        <v>3794</v>
      </c>
      <c r="B2927" s="11">
        <v>45520</v>
      </c>
      <c r="C2927" s="5" t="s">
        <v>583</v>
      </c>
      <c r="D2927" s="5" t="s">
        <v>95</v>
      </c>
      <c r="E2927" s="5" t="s">
        <v>25</v>
      </c>
      <c r="F2927" s="5">
        <v>2</v>
      </c>
      <c r="G2927" s="19">
        <v>0.05</v>
      </c>
      <c r="H2927" s="5" t="s">
        <v>697</v>
      </c>
      <c r="I2927" s="10">
        <f>IF(OR(D2927="", F2927=""), "", F2927 * VLOOKUP(D2927, Products!A:E, 5, FALSE) * (1 - G2927))</f>
        <v>2551.2249999999999</v>
      </c>
      <c r="J2927" s="10"/>
    </row>
    <row r="2928" spans="1:10" ht="15.75" customHeight="1" x14ac:dyDescent="0.3">
      <c r="A2928" s="5" t="s">
        <v>3795</v>
      </c>
      <c r="B2928" s="11">
        <v>45369</v>
      </c>
      <c r="C2928" s="5" t="s">
        <v>223</v>
      </c>
      <c r="D2928" s="5" t="s">
        <v>95</v>
      </c>
      <c r="E2928" s="5" t="s">
        <v>21</v>
      </c>
      <c r="F2928" s="5">
        <v>4</v>
      </c>
      <c r="G2928" s="19">
        <v>0.15</v>
      </c>
      <c r="H2928" s="5" t="s">
        <v>697</v>
      </c>
      <c r="I2928" s="10">
        <f>IF(OR(D2928="", F2928=""), "", F2928 * VLOOKUP(D2928, Products!A:E, 5, FALSE) * (1 - G2928))</f>
        <v>4565.3499999999995</v>
      </c>
      <c r="J2928" s="10"/>
    </row>
    <row r="2929" spans="1:10" ht="15.75" customHeight="1" x14ac:dyDescent="0.3">
      <c r="A2929" s="5" t="s">
        <v>3796</v>
      </c>
      <c r="B2929" s="11">
        <v>45438</v>
      </c>
      <c r="C2929" s="5" t="s">
        <v>429</v>
      </c>
      <c r="D2929" s="5" t="s">
        <v>128</v>
      </c>
      <c r="E2929" s="5" t="s">
        <v>29</v>
      </c>
      <c r="F2929" s="5">
        <v>2</v>
      </c>
      <c r="G2929" s="19">
        <v>0</v>
      </c>
      <c r="H2929" s="5" t="s">
        <v>637</v>
      </c>
      <c r="I2929" s="10">
        <f>IF(OR(D2929="", F2929=""), "", F2929 * VLOOKUP(D2929, Products!A:E, 5, FALSE) * (1 - G2929))</f>
        <v>647.84</v>
      </c>
      <c r="J2929" s="10"/>
    </row>
    <row r="2930" spans="1:10" ht="15.75" customHeight="1" x14ac:dyDescent="0.3">
      <c r="A2930" s="5" t="s">
        <v>3797</v>
      </c>
      <c r="B2930" s="11">
        <v>45273</v>
      </c>
      <c r="C2930" s="5" t="s">
        <v>543</v>
      </c>
      <c r="D2930" s="5" t="s">
        <v>67</v>
      </c>
      <c r="E2930" s="5" t="s">
        <v>25</v>
      </c>
      <c r="F2930" s="5">
        <v>3</v>
      </c>
      <c r="G2930" s="19">
        <v>0.1</v>
      </c>
      <c r="H2930" s="5" t="s">
        <v>697</v>
      </c>
      <c r="I2930" s="10">
        <f>IF(OR(D2930="", F2930=""), "", F2930 * VLOOKUP(D2930, Products!A:E, 5, FALSE) * (1 - G2930))</f>
        <v>296.40600000000006</v>
      </c>
      <c r="J2930" s="10"/>
    </row>
    <row r="2931" spans="1:10" ht="15.75" customHeight="1" x14ac:dyDescent="0.3">
      <c r="A2931" s="5" t="s">
        <v>3798</v>
      </c>
      <c r="B2931" s="11">
        <v>45279</v>
      </c>
      <c r="C2931" s="5" t="s">
        <v>346</v>
      </c>
      <c r="D2931" s="5" t="s">
        <v>43</v>
      </c>
      <c r="E2931" s="5" t="s">
        <v>33</v>
      </c>
      <c r="F2931" s="5">
        <v>5</v>
      </c>
      <c r="G2931" s="19">
        <v>0.15</v>
      </c>
      <c r="H2931" s="5" t="s">
        <v>637</v>
      </c>
      <c r="I2931" s="10">
        <f>IF(OR(D2931="", F2931=""), "", F2931 * VLOOKUP(D2931, Products!A:E, 5, FALSE) * (1 - G2931))</f>
        <v>7113.1825000000008</v>
      </c>
      <c r="J2931" s="10"/>
    </row>
    <row r="2932" spans="1:10" ht="15.75" customHeight="1" x14ac:dyDescent="0.3">
      <c r="A2932" s="5" t="s">
        <v>3799</v>
      </c>
      <c r="B2932" s="11">
        <v>45208</v>
      </c>
      <c r="C2932" s="5" t="s">
        <v>583</v>
      </c>
      <c r="D2932" s="5" t="s">
        <v>65</v>
      </c>
      <c r="E2932" s="5" t="s">
        <v>25</v>
      </c>
      <c r="F2932" s="5">
        <v>4</v>
      </c>
      <c r="G2932" s="19">
        <v>0</v>
      </c>
      <c r="H2932" s="5" t="s">
        <v>454</v>
      </c>
      <c r="I2932" s="10">
        <f>IF(OR(D2932="", F2932=""), "", F2932 * VLOOKUP(D2932, Products!A:E, 5, FALSE) * (1 - G2932))</f>
        <v>5896.48</v>
      </c>
      <c r="J2932" s="10"/>
    </row>
    <row r="2933" spans="1:10" ht="15.75" customHeight="1" x14ac:dyDescent="0.3">
      <c r="A2933" s="5" t="s">
        <v>3800</v>
      </c>
      <c r="B2933" s="11">
        <v>45417</v>
      </c>
      <c r="C2933" s="5" t="s">
        <v>240</v>
      </c>
      <c r="D2933" s="5" t="s">
        <v>67</v>
      </c>
      <c r="E2933" s="5" t="s">
        <v>21</v>
      </c>
      <c r="F2933" s="5">
        <v>3</v>
      </c>
      <c r="G2933" s="19">
        <v>0.15</v>
      </c>
      <c r="H2933" s="5" t="s">
        <v>454</v>
      </c>
      <c r="I2933" s="10">
        <f>IF(OR(D2933="", F2933=""), "", F2933 * VLOOKUP(D2933, Products!A:E, 5, FALSE) * (1 - G2933))</f>
        <v>279.93900000000002</v>
      </c>
      <c r="J2933" s="10"/>
    </row>
    <row r="2934" spans="1:10" ht="15.75" customHeight="1" x14ac:dyDescent="0.3">
      <c r="A2934" s="5" t="s">
        <v>3801</v>
      </c>
      <c r="B2934" s="11">
        <v>45418</v>
      </c>
      <c r="C2934" s="5" t="s">
        <v>296</v>
      </c>
      <c r="D2934" s="5" t="s">
        <v>193</v>
      </c>
      <c r="E2934" s="5" t="s">
        <v>25</v>
      </c>
      <c r="F2934" s="5">
        <v>5</v>
      </c>
      <c r="G2934" s="19">
        <v>0.15</v>
      </c>
      <c r="H2934" s="5" t="s">
        <v>697</v>
      </c>
      <c r="I2934" s="10">
        <f>IF(OR(D2934="", F2934=""), "", F2934 * VLOOKUP(D2934, Products!A:E, 5, FALSE) * (1 - G2934))</f>
        <v>124.26999999999998</v>
      </c>
      <c r="J2934" s="10"/>
    </row>
    <row r="2935" spans="1:10" ht="15.75" customHeight="1" x14ac:dyDescent="0.3">
      <c r="A2935" s="5" t="s">
        <v>3802</v>
      </c>
      <c r="B2935" s="11">
        <v>45488</v>
      </c>
      <c r="C2935" s="5" t="s">
        <v>563</v>
      </c>
      <c r="D2935" s="5" t="s">
        <v>89</v>
      </c>
      <c r="E2935" s="5" t="s">
        <v>33</v>
      </c>
      <c r="F2935" s="5">
        <v>1</v>
      </c>
      <c r="G2935" s="19">
        <v>0.1</v>
      </c>
      <c r="H2935" s="5" t="s">
        <v>697</v>
      </c>
      <c r="I2935" s="10">
        <f>IF(OR(D2935="", F2935=""), "", F2935 * VLOOKUP(D2935, Products!A:E, 5, FALSE) * (1 - G2935))</f>
        <v>1021.3199999999999</v>
      </c>
      <c r="J2935" s="10"/>
    </row>
    <row r="2936" spans="1:10" ht="15.75" customHeight="1" x14ac:dyDescent="0.3">
      <c r="A2936" s="5" t="s">
        <v>3803</v>
      </c>
      <c r="B2936" s="11">
        <v>45579</v>
      </c>
      <c r="C2936" s="5" t="s">
        <v>491</v>
      </c>
      <c r="D2936" s="5" t="s">
        <v>200</v>
      </c>
      <c r="E2936" s="5" t="s">
        <v>29</v>
      </c>
      <c r="F2936" s="5">
        <v>5</v>
      </c>
      <c r="G2936" s="19">
        <v>0.15</v>
      </c>
      <c r="H2936" s="5" t="s">
        <v>776</v>
      </c>
      <c r="I2936" s="10">
        <f>IF(OR(D2936="", F2936=""), "", F2936 * VLOOKUP(D2936, Products!A:E, 5, FALSE) * (1 - G2936))</f>
        <v>4656.8100000000004</v>
      </c>
      <c r="J2936" s="10"/>
    </row>
    <row r="2937" spans="1:10" ht="15.75" customHeight="1" x14ac:dyDescent="0.3">
      <c r="A2937" s="5" t="s">
        <v>3804</v>
      </c>
      <c r="B2937" s="11">
        <v>45406</v>
      </c>
      <c r="C2937" s="5" t="s">
        <v>727</v>
      </c>
      <c r="D2937" s="5" t="s">
        <v>147</v>
      </c>
      <c r="E2937" s="5" t="s">
        <v>25</v>
      </c>
      <c r="F2937" s="5">
        <v>5</v>
      </c>
      <c r="G2937" s="19">
        <v>0.1</v>
      </c>
      <c r="H2937" s="5" t="s">
        <v>454</v>
      </c>
      <c r="I2937" s="10">
        <f>IF(OR(D2937="", F2937=""), "", F2937 * VLOOKUP(D2937, Products!A:E, 5, FALSE) * (1 - G2937))</f>
        <v>8453.1149999999998</v>
      </c>
      <c r="J2937" s="10"/>
    </row>
    <row r="2938" spans="1:10" ht="15.75" customHeight="1" x14ac:dyDescent="0.3">
      <c r="A2938" s="5" t="s">
        <v>3805</v>
      </c>
      <c r="B2938" s="11">
        <v>45401</v>
      </c>
      <c r="C2938" s="5" t="s">
        <v>833</v>
      </c>
      <c r="D2938" s="5" t="s">
        <v>168</v>
      </c>
      <c r="E2938" s="5" t="s">
        <v>29</v>
      </c>
      <c r="F2938" s="5">
        <v>2</v>
      </c>
      <c r="G2938" s="19">
        <v>0.1</v>
      </c>
      <c r="H2938" s="5" t="s">
        <v>637</v>
      </c>
      <c r="I2938" s="10">
        <f>IF(OR(D2938="", F2938=""), "", F2938 * VLOOKUP(D2938, Products!A:E, 5, FALSE) * (1 - G2938))</f>
        <v>1828.3679999999999</v>
      </c>
      <c r="J2938" s="10"/>
    </row>
    <row r="2939" spans="1:10" ht="15.75" customHeight="1" x14ac:dyDescent="0.3">
      <c r="A2939" s="5" t="s">
        <v>3806</v>
      </c>
      <c r="B2939" s="11">
        <v>45463</v>
      </c>
      <c r="C2939" s="5" t="s">
        <v>177</v>
      </c>
      <c r="D2939" s="5" t="s">
        <v>180</v>
      </c>
      <c r="E2939" s="5" t="s">
        <v>21</v>
      </c>
      <c r="F2939" s="5">
        <v>4</v>
      </c>
      <c r="G2939" s="19">
        <v>0.1</v>
      </c>
      <c r="H2939" s="5" t="s">
        <v>637</v>
      </c>
      <c r="I2939" s="10">
        <f>IF(OR(D2939="", F2939=""), "", F2939 * VLOOKUP(D2939, Products!A:E, 5, FALSE) * (1 - G2939))</f>
        <v>2425.6080000000002</v>
      </c>
      <c r="J2939" s="10"/>
    </row>
    <row r="2940" spans="1:10" ht="15.75" customHeight="1" x14ac:dyDescent="0.3">
      <c r="A2940" s="5" t="s">
        <v>3807</v>
      </c>
      <c r="B2940" s="11">
        <v>45282</v>
      </c>
      <c r="C2940" s="5" t="s">
        <v>405</v>
      </c>
      <c r="D2940" s="5" t="s">
        <v>237</v>
      </c>
      <c r="E2940" s="5" t="s">
        <v>25</v>
      </c>
      <c r="F2940" s="5">
        <v>3</v>
      </c>
      <c r="G2940" s="19">
        <v>0.05</v>
      </c>
      <c r="H2940" s="5" t="s">
        <v>454</v>
      </c>
      <c r="I2940" s="10">
        <f>IF(OR(D2940="", F2940=""), "", F2940 * VLOOKUP(D2940, Products!A:E, 5, FALSE) * (1 - G2940))</f>
        <v>1045.7504999999999</v>
      </c>
      <c r="J2940" s="10"/>
    </row>
    <row r="2941" spans="1:10" ht="15.75" customHeight="1" x14ac:dyDescent="0.3">
      <c r="A2941" s="5" t="s">
        <v>3808</v>
      </c>
      <c r="B2941" s="11">
        <v>45343</v>
      </c>
      <c r="C2941" s="5" t="s">
        <v>755</v>
      </c>
      <c r="D2941" s="5" t="s">
        <v>267</v>
      </c>
      <c r="E2941" s="5" t="s">
        <v>33</v>
      </c>
      <c r="F2941" s="5">
        <v>3</v>
      </c>
      <c r="G2941" s="19">
        <v>0.1</v>
      </c>
      <c r="H2941" s="5" t="s">
        <v>454</v>
      </c>
      <c r="I2941" s="10">
        <f>IF(OR(D2941="", F2941=""), "", F2941 * VLOOKUP(D2941, Products!A:E, 5, FALSE) * (1 - G2941))</f>
        <v>3473.6849999999999</v>
      </c>
      <c r="J2941" s="10"/>
    </row>
    <row r="2942" spans="1:10" ht="15.75" customHeight="1" x14ac:dyDescent="0.3">
      <c r="A2942" s="5" t="s">
        <v>3809</v>
      </c>
      <c r="B2942" s="11">
        <v>45870</v>
      </c>
      <c r="C2942" s="5" t="s">
        <v>808</v>
      </c>
      <c r="D2942" s="5" t="s">
        <v>70</v>
      </c>
      <c r="E2942" s="5" t="s">
        <v>25</v>
      </c>
      <c r="F2942" s="5">
        <v>2</v>
      </c>
      <c r="G2942" s="19">
        <v>0.1</v>
      </c>
      <c r="H2942" s="5" t="s">
        <v>697</v>
      </c>
      <c r="I2942" s="10">
        <f>IF(OR(D2942="", F2942=""), "", F2942 * VLOOKUP(D2942, Products!A:E, 5, FALSE) * (1 - G2942))</f>
        <v>221.74199999999999</v>
      </c>
      <c r="J2942" s="10"/>
    </row>
    <row r="2943" spans="1:10" ht="15.75" customHeight="1" x14ac:dyDescent="0.3">
      <c r="A2943" s="5" t="s">
        <v>3810</v>
      </c>
      <c r="B2943" s="11">
        <v>45223</v>
      </c>
      <c r="C2943" s="5" t="s">
        <v>819</v>
      </c>
      <c r="D2943" s="5" t="s">
        <v>168</v>
      </c>
      <c r="E2943" s="5" t="s">
        <v>37</v>
      </c>
      <c r="F2943" s="5">
        <v>5</v>
      </c>
      <c r="G2943" s="19">
        <v>0.05</v>
      </c>
      <c r="H2943" s="5" t="s">
        <v>697</v>
      </c>
      <c r="I2943" s="10">
        <f>IF(OR(D2943="", F2943=""), "", F2943 * VLOOKUP(D2943, Products!A:E, 5, FALSE) * (1 - G2943))</f>
        <v>4824.8599999999997</v>
      </c>
      <c r="J2943" s="10"/>
    </row>
    <row r="2944" spans="1:10" ht="15.75" customHeight="1" x14ac:dyDescent="0.3">
      <c r="A2944" s="5" t="s">
        <v>3811</v>
      </c>
      <c r="B2944" s="11">
        <v>45301</v>
      </c>
      <c r="C2944" s="5" t="s">
        <v>631</v>
      </c>
      <c r="D2944" s="5" t="s">
        <v>109</v>
      </c>
      <c r="E2944" s="5" t="s">
        <v>37</v>
      </c>
      <c r="F2944" s="5">
        <v>4</v>
      </c>
      <c r="G2944" s="19">
        <v>0</v>
      </c>
      <c r="H2944" s="5" t="s">
        <v>454</v>
      </c>
      <c r="I2944" s="10">
        <f>IF(OR(D2944="", F2944=""), "", F2944 * VLOOKUP(D2944, Products!A:E, 5, FALSE) * (1 - G2944))</f>
        <v>7435</v>
      </c>
      <c r="J2944" s="10"/>
    </row>
    <row r="2945" spans="1:10" ht="15.75" customHeight="1" x14ac:dyDescent="0.3">
      <c r="A2945" s="5" t="s">
        <v>3812</v>
      </c>
      <c r="B2945" s="11">
        <v>45468</v>
      </c>
      <c r="C2945" s="5" t="s">
        <v>649</v>
      </c>
      <c r="D2945" s="5" t="s">
        <v>188</v>
      </c>
      <c r="E2945" s="5" t="s">
        <v>21</v>
      </c>
      <c r="F2945" s="5">
        <v>4</v>
      </c>
      <c r="G2945" s="19">
        <v>0.05</v>
      </c>
      <c r="H2945" s="5" t="s">
        <v>454</v>
      </c>
      <c r="I2945" s="10">
        <f>IF(OR(D2945="", F2945=""), "", F2945 * VLOOKUP(D2945, Products!A:E, 5, FALSE) * (1 - G2945))</f>
        <v>5643.19</v>
      </c>
      <c r="J2945" s="10"/>
    </row>
    <row r="2946" spans="1:10" ht="15.75" customHeight="1" x14ac:dyDescent="0.3">
      <c r="A2946" s="5" t="s">
        <v>3813</v>
      </c>
      <c r="B2946" s="11">
        <v>45680</v>
      </c>
      <c r="C2946" s="5" t="s">
        <v>197</v>
      </c>
      <c r="D2946" s="5" t="s">
        <v>200</v>
      </c>
      <c r="E2946" s="5" t="s">
        <v>37</v>
      </c>
      <c r="F2946" s="5">
        <v>4</v>
      </c>
      <c r="G2946" s="19">
        <v>0.15</v>
      </c>
      <c r="H2946" s="5" t="s">
        <v>454</v>
      </c>
      <c r="I2946" s="10">
        <f>IF(OR(D2946="", F2946=""), "", F2946 * VLOOKUP(D2946, Products!A:E, 5, FALSE) * (1 - G2946))</f>
        <v>3725.4479999999999</v>
      </c>
      <c r="J2946" s="10"/>
    </row>
    <row r="2947" spans="1:10" ht="15.75" customHeight="1" x14ac:dyDescent="0.3">
      <c r="A2947" s="5" t="s">
        <v>3814</v>
      </c>
      <c r="B2947" s="11">
        <v>45283</v>
      </c>
      <c r="C2947" s="5" t="s">
        <v>181</v>
      </c>
      <c r="D2947" s="5" t="s">
        <v>265</v>
      </c>
      <c r="E2947" s="5" t="s">
        <v>33</v>
      </c>
      <c r="F2947" s="5">
        <v>4</v>
      </c>
      <c r="G2947" s="19">
        <v>0.05</v>
      </c>
      <c r="H2947" s="5" t="s">
        <v>454</v>
      </c>
      <c r="I2947" s="10">
        <f>IF(OR(D2947="", F2947=""), "", F2947 * VLOOKUP(D2947, Products!A:E, 5, FALSE) * (1 - G2947))</f>
        <v>2144.7959999999998</v>
      </c>
      <c r="J2947" s="10"/>
    </row>
    <row r="2948" spans="1:10" ht="15.75" customHeight="1" x14ac:dyDescent="0.3">
      <c r="A2948" s="5" t="s">
        <v>3815</v>
      </c>
      <c r="B2948" s="11">
        <v>45211</v>
      </c>
      <c r="C2948" s="5" t="s">
        <v>823</v>
      </c>
      <c r="D2948" s="5" t="s">
        <v>122</v>
      </c>
      <c r="E2948" s="5" t="s">
        <v>25</v>
      </c>
      <c r="F2948" s="5">
        <v>3</v>
      </c>
      <c r="G2948" s="19">
        <v>0</v>
      </c>
      <c r="H2948" s="5" t="s">
        <v>637</v>
      </c>
      <c r="I2948" s="10">
        <f>IF(OR(D2948="", F2948=""), "", F2948 * VLOOKUP(D2948, Products!A:E, 5, FALSE) * (1 - G2948))</f>
        <v>5288.76</v>
      </c>
      <c r="J2948" s="10"/>
    </row>
    <row r="2949" spans="1:10" ht="15.75" customHeight="1" x14ac:dyDescent="0.3">
      <c r="A2949" s="5" t="s">
        <v>3816</v>
      </c>
      <c r="B2949" s="11">
        <v>45374</v>
      </c>
      <c r="C2949" s="5" t="s">
        <v>405</v>
      </c>
      <c r="D2949" s="5" t="s">
        <v>43</v>
      </c>
      <c r="E2949" s="5" t="s">
        <v>25</v>
      </c>
      <c r="F2949" s="5">
        <v>1</v>
      </c>
      <c r="G2949" s="19">
        <v>0.1</v>
      </c>
      <c r="H2949" s="5" t="s">
        <v>454</v>
      </c>
      <c r="I2949" s="10">
        <f>IF(OR(D2949="", F2949=""), "", F2949 * VLOOKUP(D2949, Products!A:E, 5, FALSE) * (1 - G2949))</f>
        <v>1506.3210000000001</v>
      </c>
      <c r="J2949" s="10"/>
    </row>
    <row r="2950" spans="1:10" ht="15.75" customHeight="1" x14ac:dyDescent="0.3">
      <c r="A2950" s="5" t="s">
        <v>3817</v>
      </c>
      <c r="B2950" s="11">
        <v>45288</v>
      </c>
      <c r="C2950" s="5" t="s">
        <v>744</v>
      </c>
      <c r="D2950" s="5" t="s">
        <v>109</v>
      </c>
      <c r="E2950" s="5" t="s">
        <v>33</v>
      </c>
      <c r="F2950" s="5">
        <v>5</v>
      </c>
      <c r="G2950" s="19">
        <v>0.05</v>
      </c>
      <c r="H2950" s="5" t="s">
        <v>454</v>
      </c>
      <c r="I2950" s="10">
        <f>IF(OR(D2950="", F2950=""), "", F2950 * VLOOKUP(D2950, Products!A:E, 5, FALSE) * (1 - G2950))</f>
        <v>8829.0625</v>
      </c>
      <c r="J2950" s="10"/>
    </row>
    <row r="2951" spans="1:10" ht="15.75" customHeight="1" x14ac:dyDescent="0.3">
      <c r="A2951" s="5" t="s">
        <v>3818</v>
      </c>
      <c r="B2951" s="11">
        <v>45508</v>
      </c>
      <c r="C2951" s="5" t="s">
        <v>474</v>
      </c>
      <c r="D2951" s="5" t="s">
        <v>269</v>
      </c>
      <c r="E2951" s="5" t="s">
        <v>33</v>
      </c>
      <c r="F2951" s="5">
        <v>3</v>
      </c>
      <c r="G2951" s="19">
        <v>0.05</v>
      </c>
      <c r="H2951" s="5" t="s">
        <v>697</v>
      </c>
      <c r="I2951" s="10">
        <f>IF(OR(D2951="", F2951=""), "", F2951 * VLOOKUP(D2951, Products!A:E, 5, FALSE) * (1 - G2951))</f>
        <v>5355.3779999999997</v>
      </c>
      <c r="J2951" s="10"/>
    </row>
    <row r="2952" spans="1:10" ht="15.75" customHeight="1" x14ac:dyDescent="0.3">
      <c r="A2952" s="5" t="s">
        <v>3819</v>
      </c>
      <c r="B2952" s="11">
        <v>45311</v>
      </c>
      <c r="C2952" s="5" t="s">
        <v>724</v>
      </c>
      <c r="D2952" s="5" t="s">
        <v>237</v>
      </c>
      <c r="E2952" s="5" t="s">
        <v>37</v>
      </c>
      <c r="F2952" s="5">
        <v>1</v>
      </c>
      <c r="G2952" s="19">
        <v>0.1</v>
      </c>
      <c r="H2952" s="5" t="s">
        <v>776</v>
      </c>
      <c r="I2952" s="10">
        <f>IF(OR(D2952="", F2952=""), "", F2952 * VLOOKUP(D2952, Products!A:E, 5, FALSE) * (1 - G2952))</f>
        <v>330.23700000000002</v>
      </c>
      <c r="J2952" s="10"/>
    </row>
    <row r="2953" spans="1:10" ht="15.75" customHeight="1" x14ac:dyDescent="0.3">
      <c r="A2953" s="5" t="s">
        <v>3820</v>
      </c>
      <c r="B2953" s="11">
        <v>45768</v>
      </c>
      <c r="C2953" s="5" t="s">
        <v>842</v>
      </c>
      <c r="D2953" s="5" t="s">
        <v>212</v>
      </c>
      <c r="E2953" s="5" t="s">
        <v>25</v>
      </c>
      <c r="F2953" s="5">
        <v>5</v>
      </c>
      <c r="G2953" s="19">
        <v>0.1</v>
      </c>
      <c r="H2953" s="5" t="s">
        <v>697</v>
      </c>
      <c r="I2953" s="10">
        <f>IF(OR(D2953="", F2953=""), "", F2953 * VLOOKUP(D2953, Products!A:E, 5, FALSE) * (1 - G2953))</f>
        <v>8095.3650000000007</v>
      </c>
      <c r="J2953" s="10"/>
    </row>
    <row r="2954" spans="1:10" ht="15.75" customHeight="1" x14ac:dyDescent="0.3">
      <c r="A2954" s="5" t="s">
        <v>3821</v>
      </c>
      <c r="B2954" s="11">
        <v>45734</v>
      </c>
      <c r="C2954" s="5" t="s">
        <v>528</v>
      </c>
      <c r="D2954" s="5" t="s">
        <v>115</v>
      </c>
      <c r="E2954" s="5" t="s">
        <v>33</v>
      </c>
      <c r="F2954" s="5">
        <v>1</v>
      </c>
      <c r="G2954" s="19">
        <v>0.1</v>
      </c>
      <c r="H2954" s="5" t="s">
        <v>454</v>
      </c>
      <c r="I2954" s="10">
        <f>IF(OR(D2954="", F2954=""), "", F2954 * VLOOKUP(D2954, Products!A:E, 5, FALSE) * (1 - G2954))</f>
        <v>1121.499</v>
      </c>
      <c r="J2954" s="10"/>
    </row>
    <row r="2955" spans="1:10" ht="15.75" customHeight="1" x14ac:dyDescent="0.3">
      <c r="A2955" s="5" t="s">
        <v>3822</v>
      </c>
      <c r="B2955" s="11">
        <v>45384</v>
      </c>
      <c r="C2955" s="5" t="s">
        <v>361</v>
      </c>
      <c r="D2955" s="5" t="s">
        <v>134</v>
      </c>
      <c r="E2955" s="5" t="s">
        <v>25</v>
      </c>
      <c r="F2955" s="5">
        <v>3</v>
      </c>
      <c r="G2955" s="19">
        <v>0</v>
      </c>
      <c r="H2955" s="5" t="s">
        <v>776</v>
      </c>
      <c r="I2955" s="10">
        <f>IF(OR(D2955="", F2955=""), "", F2955 * VLOOKUP(D2955, Products!A:E, 5, FALSE) * (1 - G2955))</f>
        <v>3681.7200000000003</v>
      </c>
      <c r="J2955" s="10"/>
    </row>
    <row r="2956" spans="1:10" ht="15.75" customHeight="1" x14ac:dyDescent="0.3">
      <c r="A2956" s="5" t="s">
        <v>3823</v>
      </c>
      <c r="B2956" s="11">
        <v>45301</v>
      </c>
      <c r="C2956" s="5" t="s">
        <v>770</v>
      </c>
      <c r="D2956" s="5" t="s">
        <v>89</v>
      </c>
      <c r="E2956" s="5" t="s">
        <v>33</v>
      </c>
      <c r="F2956" s="5">
        <v>1</v>
      </c>
      <c r="G2956" s="19">
        <v>0.1</v>
      </c>
      <c r="H2956" s="5" t="s">
        <v>637</v>
      </c>
      <c r="I2956" s="10">
        <f>IF(OR(D2956="", F2956=""), "", F2956 * VLOOKUP(D2956, Products!A:E, 5, FALSE) * (1 - G2956))</f>
        <v>1021.3199999999999</v>
      </c>
      <c r="J2956" s="10"/>
    </row>
    <row r="2957" spans="1:10" ht="15.75" customHeight="1" x14ac:dyDescent="0.3">
      <c r="A2957" s="5" t="s">
        <v>3824</v>
      </c>
      <c r="B2957" s="11">
        <v>45647</v>
      </c>
      <c r="C2957" s="5" t="s">
        <v>876</v>
      </c>
      <c r="D2957" s="5" t="s">
        <v>221</v>
      </c>
      <c r="E2957" s="5" t="s">
        <v>25</v>
      </c>
      <c r="F2957" s="5">
        <v>4</v>
      </c>
      <c r="G2957" s="19">
        <v>0.15</v>
      </c>
      <c r="H2957" s="5" t="s">
        <v>697</v>
      </c>
      <c r="I2957" s="10">
        <f>IF(OR(D2957="", F2957=""), "", F2957 * VLOOKUP(D2957, Products!A:E, 5, FALSE) * (1 - G2957))</f>
        <v>5312.2619999999997</v>
      </c>
      <c r="J2957" s="10"/>
    </row>
    <row r="2958" spans="1:10" ht="15.75" customHeight="1" x14ac:dyDescent="0.3">
      <c r="A2958" s="5" t="s">
        <v>3825</v>
      </c>
      <c r="B2958" s="11">
        <v>45501</v>
      </c>
      <c r="C2958" s="5" t="s">
        <v>724</v>
      </c>
      <c r="D2958" s="5" t="s">
        <v>122</v>
      </c>
      <c r="E2958" s="5" t="s">
        <v>33</v>
      </c>
      <c r="F2958" s="5">
        <v>3</v>
      </c>
      <c r="G2958" s="19">
        <v>0</v>
      </c>
      <c r="H2958" s="5" t="s">
        <v>454</v>
      </c>
      <c r="I2958" s="10">
        <f>IF(OR(D2958="", F2958=""), "", F2958 * VLOOKUP(D2958, Products!A:E, 5, FALSE) * (1 - G2958))</f>
        <v>5288.76</v>
      </c>
      <c r="J2958" s="10"/>
    </row>
    <row r="2959" spans="1:10" ht="15.75" customHeight="1" x14ac:dyDescent="0.3">
      <c r="A2959" s="5" t="s">
        <v>3826</v>
      </c>
      <c r="B2959" s="11">
        <v>45631</v>
      </c>
      <c r="C2959" s="5" t="s">
        <v>600</v>
      </c>
      <c r="D2959" s="5" t="s">
        <v>175</v>
      </c>
      <c r="E2959" s="5" t="s">
        <v>29</v>
      </c>
      <c r="F2959" s="5">
        <v>2</v>
      </c>
      <c r="G2959" s="19">
        <v>0.15</v>
      </c>
      <c r="H2959" s="5" t="s">
        <v>454</v>
      </c>
      <c r="I2959" s="10">
        <f>IF(OR(D2959="", F2959=""), "", F2959 * VLOOKUP(D2959, Products!A:E, 5, FALSE) * (1 - G2959))</f>
        <v>2162.7910000000002</v>
      </c>
      <c r="J2959" s="10"/>
    </row>
    <row r="2960" spans="1:10" ht="15.75" customHeight="1" x14ac:dyDescent="0.3">
      <c r="A2960" s="5" t="s">
        <v>3827</v>
      </c>
      <c r="B2960" s="11">
        <v>45861</v>
      </c>
      <c r="C2960" s="5" t="s">
        <v>317</v>
      </c>
      <c r="D2960" s="5" t="s">
        <v>217</v>
      </c>
      <c r="E2960" s="5" t="s">
        <v>37</v>
      </c>
      <c r="F2960" s="5">
        <v>2</v>
      </c>
      <c r="G2960" s="19">
        <v>0.1</v>
      </c>
      <c r="H2960" s="5" t="s">
        <v>776</v>
      </c>
      <c r="I2960" s="10">
        <f>IF(OR(D2960="", F2960=""), "", F2960 * VLOOKUP(D2960, Products!A:E, 5, FALSE) * (1 - G2960))</f>
        <v>770.49</v>
      </c>
      <c r="J2960" s="10"/>
    </row>
    <row r="2961" spans="1:10" ht="15.75" customHeight="1" x14ac:dyDescent="0.3">
      <c r="A2961" s="5" t="s">
        <v>3828</v>
      </c>
      <c r="B2961" s="11">
        <v>45557</v>
      </c>
      <c r="C2961" s="5" t="s">
        <v>261</v>
      </c>
      <c r="D2961" s="5" t="s">
        <v>232</v>
      </c>
      <c r="E2961" s="5" t="s">
        <v>21</v>
      </c>
      <c r="F2961" s="5">
        <v>3</v>
      </c>
      <c r="G2961" s="19">
        <v>0.15</v>
      </c>
      <c r="H2961" s="5" t="s">
        <v>454</v>
      </c>
      <c r="I2961" s="10">
        <f>IF(OR(D2961="", F2961=""), "", F2961 * VLOOKUP(D2961, Products!A:E, 5, FALSE) * (1 - G2961))</f>
        <v>4979.2575000000006</v>
      </c>
      <c r="J2961" s="10"/>
    </row>
    <row r="2962" spans="1:10" ht="15.75" customHeight="1" x14ac:dyDescent="0.3">
      <c r="A2962" s="5" t="s">
        <v>3829</v>
      </c>
      <c r="B2962" s="11">
        <v>45629</v>
      </c>
      <c r="C2962" s="5" t="s">
        <v>296</v>
      </c>
      <c r="D2962" s="5" t="s">
        <v>226</v>
      </c>
      <c r="E2962" s="5" t="s">
        <v>29</v>
      </c>
      <c r="F2962" s="5">
        <v>4</v>
      </c>
      <c r="G2962" s="19">
        <v>0</v>
      </c>
      <c r="H2962" s="5" t="s">
        <v>637</v>
      </c>
      <c r="I2962" s="10">
        <f>IF(OR(D2962="", F2962=""), "", F2962 * VLOOKUP(D2962, Products!A:E, 5, FALSE) * (1 - G2962))</f>
        <v>6005.84</v>
      </c>
      <c r="J2962" s="10"/>
    </row>
    <row r="2963" spans="1:10" ht="15.75" customHeight="1" x14ac:dyDescent="0.3">
      <c r="A2963" s="5" t="s">
        <v>3830</v>
      </c>
      <c r="B2963" s="11">
        <v>45545</v>
      </c>
      <c r="C2963" s="5" t="s">
        <v>766</v>
      </c>
      <c r="D2963" s="5" t="s">
        <v>237</v>
      </c>
      <c r="E2963" s="5" t="s">
        <v>29</v>
      </c>
      <c r="F2963" s="5">
        <v>4</v>
      </c>
      <c r="G2963" s="19">
        <v>0.05</v>
      </c>
      <c r="H2963" s="5" t="s">
        <v>454</v>
      </c>
      <c r="I2963" s="10">
        <f>IF(OR(D2963="", F2963=""), "", F2963 * VLOOKUP(D2963, Products!A:E, 5, FALSE) * (1 - G2963))</f>
        <v>1394.3340000000001</v>
      </c>
      <c r="J2963" s="10"/>
    </row>
    <row r="2964" spans="1:10" ht="15.75" customHeight="1" x14ac:dyDescent="0.3">
      <c r="A2964" s="5" t="s">
        <v>3831</v>
      </c>
      <c r="B2964" s="11">
        <v>45796</v>
      </c>
      <c r="C2964" s="5" t="s">
        <v>736</v>
      </c>
      <c r="D2964" s="5" t="s">
        <v>175</v>
      </c>
      <c r="E2964" s="5" t="s">
        <v>21</v>
      </c>
      <c r="F2964" s="5">
        <v>3</v>
      </c>
      <c r="G2964" s="19">
        <v>0.1</v>
      </c>
      <c r="H2964" s="5" t="s">
        <v>776</v>
      </c>
      <c r="I2964" s="10">
        <f>IF(OR(D2964="", F2964=""), "", F2964 * VLOOKUP(D2964, Products!A:E, 5, FALSE) * (1 - G2964))</f>
        <v>3435.0210000000002</v>
      </c>
      <c r="J2964" s="10"/>
    </row>
    <row r="2965" spans="1:10" ht="15.75" customHeight="1" x14ac:dyDescent="0.3">
      <c r="A2965" s="5" t="s">
        <v>3832</v>
      </c>
      <c r="B2965" s="11">
        <v>45397</v>
      </c>
      <c r="C2965" s="5" t="s">
        <v>649</v>
      </c>
      <c r="D2965" s="5" t="s">
        <v>119</v>
      </c>
      <c r="E2965" s="5" t="s">
        <v>21</v>
      </c>
      <c r="F2965" s="5">
        <v>2</v>
      </c>
      <c r="G2965" s="19">
        <v>0.15</v>
      </c>
      <c r="H2965" s="5" t="s">
        <v>776</v>
      </c>
      <c r="I2965" s="10">
        <f>IF(OR(D2965="", F2965=""), "", F2965 * VLOOKUP(D2965, Products!A:E, 5, FALSE) * (1 - G2965))</f>
        <v>1835.8130000000001</v>
      </c>
      <c r="J2965" s="10"/>
    </row>
    <row r="2966" spans="1:10" ht="15.75" customHeight="1" x14ac:dyDescent="0.3">
      <c r="A2966" s="5" t="s">
        <v>3833</v>
      </c>
      <c r="B2966" s="11">
        <v>45636</v>
      </c>
      <c r="C2966" s="5" t="s">
        <v>181</v>
      </c>
      <c r="D2966" s="5" t="s">
        <v>269</v>
      </c>
      <c r="E2966" s="5" t="s">
        <v>25</v>
      </c>
      <c r="F2966" s="5">
        <v>2</v>
      </c>
      <c r="G2966" s="19">
        <v>0</v>
      </c>
      <c r="H2966" s="5" t="s">
        <v>697</v>
      </c>
      <c r="I2966" s="10">
        <f>IF(OR(D2966="", F2966=""), "", F2966 * VLOOKUP(D2966, Products!A:E, 5, FALSE) * (1 - G2966))</f>
        <v>3758.16</v>
      </c>
      <c r="J2966" s="10"/>
    </row>
    <row r="2967" spans="1:10" ht="15.75" customHeight="1" x14ac:dyDescent="0.3">
      <c r="A2967" s="5" t="s">
        <v>3834</v>
      </c>
      <c r="B2967" s="11">
        <v>45876</v>
      </c>
      <c r="C2967" s="5" t="s">
        <v>823</v>
      </c>
      <c r="D2967" s="5" t="s">
        <v>89</v>
      </c>
      <c r="E2967" s="5" t="s">
        <v>25</v>
      </c>
      <c r="F2967" s="5">
        <v>1</v>
      </c>
      <c r="G2967" s="19">
        <v>0.1</v>
      </c>
      <c r="H2967" s="5" t="s">
        <v>454</v>
      </c>
      <c r="I2967" s="10">
        <f>IF(OR(D2967="", F2967=""), "", F2967 * VLOOKUP(D2967, Products!A:E, 5, FALSE) * (1 - G2967))</f>
        <v>1021.3199999999999</v>
      </c>
      <c r="J2967" s="10"/>
    </row>
    <row r="2968" spans="1:10" ht="15.75" customHeight="1" x14ac:dyDescent="0.3">
      <c r="A2968" s="5" t="s">
        <v>3835</v>
      </c>
      <c r="B2968" s="11">
        <v>45559</v>
      </c>
      <c r="C2968" s="5" t="s">
        <v>491</v>
      </c>
      <c r="D2968" s="5" t="s">
        <v>221</v>
      </c>
      <c r="E2968" s="5" t="s">
        <v>21</v>
      </c>
      <c r="F2968" s="5">
        <v>4</v>
      </c>
      <c r="G2968" s="19">
        <v>0.1</v>
      </c>
      <c r="H2968" s="5" t="s">
        <v>776</v>
      </c>
      <c r="I2968" s="10">
        <f>IF(OR(D2968="", F2968=""), "", F2968 * VLOOKUP(D2968, Products!A:E, 5, FALSE) * (1 - G2968))</f>
        <v>5624.7480000000005</v>
      </c>
      <c r="J2968" s="10"/>
    </row>
    <row r="2969" spans="1:10" ht="15.75" customHeight="1" x14ac:dyDescent="0.3">
      <c r="A2969" s="5" t="s">
        <v>3836</v>
      </c>
      <c r="B2969" s="11">
        <v>45264</v>
      </c>
      <c r="C2969" s="5" t="s">
        <v>634</v>
      </c>
      <c r="D2969" s="5" t="s">
        <v>188</v>
      </c>
      <c r="E2969" s="5" t="s">
        <v>33</v>
      </c>
      <c r="F2969" s="5">
        <v>5</v>
      </c>
      <c r="G2969" s="19">
        <v>0</v>
      </c>
      <c r="H2969" s="5" t="s">
        <v>637</v>
      </c>
      <c r="I2969" s="10">
        <f>IF(OR(D2969="", F2969=""), "", F2969 * VLOOKUP(D2969, Products!A:E, 5, FALSE) * (1 - G2969))</f>
        <v>7425.25</v>
      </c>
      <c r="J2969" s="10"/>
    </row>
    <row r="2970" spans="1:10" ht="15.75" customHeight="1" x14ac:dyDescent="0.3">
      <c r="A2970" s="5" t="s">
        <v>3837</v>
      </c>
      <c r="B2970" s="11">
        <v>45543</v>
      </c>
      <c r="C2970" s="5" t="s">
        <v>762</v>
      </c>
      <c r="D2970" s="5" t="s">
        <v>217</v>
      </c>
      <c r="E2970" s="5" t="s">
        <v>33</v>
      </c>
      <c r="F2970" s="5">
        <v>2</v>
      </c>
      <c r="G2970" s="19">
        <v>0</v>
      </c>
      <c r="H2970" s="5" t="s">
        <v>697</v>
      </c>
      <c r="I2970" s="10">
        <f>IF(OR(D2970="", F2970=""), "", F2970 * VLOOKUP(D2970, Products!A:E, 5, FALSE) * (1 - G2970))</f>
        <v>856.1</v>
      </c>
      <c r="J2970" s="10"/>
    </row>
    <row r="2971" spans="1:10" ht="15.75" customHeight="1" x14ac:dyDescent="0.3">
      <c r="A2971" s="5" t="s">
        <v>3838</v>
      </c>
      <c r="B2971" s="11">
        <v>45206</v>
      </c>
      <c r="C2971" s="5" t="s">
        <v>593</v>
      </c>
      <c r="D2971" s="5" t="s">
        <v>200</v>
      </c>
      <c r="E2971" s="5" t="s">
        <v>25</v>
      </c>
      <c r="F2971" s="5">
        <v>1</v>
      </c>
      <c r="G2971" s="19">
        <v>0.1</v>
      </c>
      <c r="H2971" s="5" t="s">
        <v>697</v>
      </c>
      <c r="I2971" s="10">
        <f>IF(OR(D2971="", F2971=""), "", F2971 * VLOOKUP(D2971, Products!A:E, 5, FALSE) * (1 - G2971))</f>
        <v>986.14800000000002</v>
      </c>
      <c r="J2971" s="10"/>
    </row>
    <row r="2972" spans="1:10" ht="15.75" customHeight="1" x14ac:dyDescent="0.3">
      <c r="A2972" s="5" t="s">
        <v>3839</v>
      </c>
      <c r="B2972" s="11">
        <v>45750</v>
      </c>
      <c r="C2972" s="5" t="s">
        <v>397</v>
      </c>
      <c r="D2972" s="5" t="s">
        <v>276</v>
      </c>
      <c r="E2972" s="5" t="s">
        <v>21</v>
      </c>
      <c r="F2972" s="5">
        <v>5</v>
      </c>
      <c r="G2972" s="19">
        <v>0</v>
      </c>
      <c r="H2972" s="5" t="s">
        <v>776</v>
      </c>
      <c r="I2972" s="10">
        <f>IF(OR(D2972="", F2972=""), "", F2972 * VLOOKUP(D2972, Products!A:E, 5, FALSE) * (1 - G2972))</f>
        <v>5985.9000000000005</v>
      </c>
      <c r="J2972" s="10"/>
    </row>
    <row r="2973" spans="1:10" ht="15.75" customHeight="1" x14ac:dyDescent="0.3">
      <c r="A2973" s="5" t="s">
        <v>3840</v>
      </c>
      <c r="B2973" s="11">
        <v>45621</v>
      </c>
      <c r="C2973" s="5" t="s">
        <v>762</v>
      </c>
      <c r="D2973" s="5" t="s">
        <v>70</v>
      </c>
      <c r="E2973" s="5" t="s">
        <v>25</v>
      </c>
      <c r="F2973" s="5">
        <v>4</v>
      </c>
      <c r="G2973" s="19">
        <v>0</v>
      </c>
      <c r="H2973" s="5" t="s">
        <v>776</v>
      </c>
      <c r="I2973" s="10">
        <f>IF(OR(D2973="", F2973=""), "", F2973 * VLOOKUP(D2973, Products!A:E, 5, FALSE) * (1 - G2973))</f>
        <v>492.76</v>
      </c>
      <c r="J2973" s="10"/>
    </row>
    <row r="2974" spans="1:10" ht="15.75" customHeight="1" x14ac:dyDescent="0.3">
      <c r="A2974" s="5" t="s">
        <v>3841</v>
      </c>
      <c r="B2974" s="11">
        <v>45345</v>
      </c>
      <c r="C2974" s="5" t="s">
        <v>376</v>
      </c>
      <c r="D2974" s="5" t="s">
        <v>115</v>
      </c>
      <c r="E2974" s="5" t="s">
        <v>25</v>
      </c>
      <c r="F2974" s="5">
        <v>2</v>
      </c>
      <c r="G2974" s="19">
        <v>0.05</v>
      </c>
      <c r="H2974" s="5" t="s">
        <v>454</v>
      </c>
      <c r="I2974" s="10">
        <f>IF(OR(D2974="", F2974=""), "", F2974 * VLOOKUP(D2974, Products!A:E, 5, FALSE) * (1 - G2974))</f>
        <v>2367.6089999999999</v>
      </c>
      <c r="J2974" s="10"/>
    </row>
    <row r="2975" spans="1:10" ht="15.75" customHeight="1" x14ac:dyDescent="0.3">
      <c r="A2975" s="5" t="s">
        <v>3842</v>
      </c>
      <c r="B2975" s="11">
        <v>45214</v>
      </c>
      <c r="C2975" s="5" t="s">
        <v>477</v>
      </c>
      <c r="D2975" s="5" t="s">
        <v>43</v>
      </c>
      <c r="E2975" s="5" t="s">
        <v>33</v>
      </c>
      <c r="F2975" s="5">
        <v>4</v>
      </c>
      <c r="G2975" s="19">
        <v>0</v>
      </c>
      <c r="H2975" s="5" t="s">
        <v>454</v>
      </c>
      <c r="I2975" s="10">
        <f>IF(OR(D2975="", F2975=""), "", F2975 * VLOOKUP(D2975, Products!A:E, 5, FALSE) * (1 - G2975))</f>
        <v>6694.76</v>
      </c>
      <c r="J2975" s="10"/>
    </row>
    <row r="2976" spans="1:10" ht="15.75" customHeight="1" x14ac:dyDescent="0.3">
      <c r="A2976" s="5" t="s">
        <v>3843</v>
      </c>
      <c r="B2976" s="11">
        <v>45525</v>
      </c>
      <c r="C2976" s="5" t="s">
        <v>634</v>
      </c>
      <c r="D2976" s="5" t="s">
        <v>77</v>
      </c>
      <c r="E2976" s="5" t="s">
        <v>21</v>
      </c>
      <c r="F2976" s="5">
        <v>4</v>
      </c>
      <c r="G2976" s="19">
        <v>0</v>
      </c>
      <c r="H2976" s="5" t="s">
        <v>776</v>
      </c>
      <c r="I2976" s="10">
        <f>IF(OR(D2976="", F2976=""), "", F2976 * VLOOKUP(D2976, Products!A:E, 5, FALSE) * (1 - G2976))</f>
        <v>994.28</v>
      </c>
      <c r="J2976" s="10"/>
    </row>
    <row r="2977" spans="1:10" ht="15.75" customHeight="1" x14ac:dyDescent="0.3">
      <c r="A2977" s="5" t="s">
        <v>3844</v>
      </c>
      <c r="B2977" s="11">
        <v>45758</v>
      </c>
      <c r="C2977" s="5" t="s">
        <v>357</v>
      </c>
      <c r="D2977" s="5" t="s">
        <v>47</v>
      </c>
      <c r="E2977" s="5" t="s">
        <v>37</v>
      </c>
      <c r="F2977" s="5">
        <v>1</v>
      </c>
      <c r="G2977" s="19">
        <v>0.05</v>
      </c>
      <c r="H2977" s="5" t="s">
        <v>697</v>
      </c>
      <c r="I2977" s="10">
        <f>IF(OR(D2977="", F2977=""), "", F2977 * VLOOKUP(D2977, Products!A:E, 5, FALSE) * (1 - G2977))</f>
        <v>777.822</v>
      </c>
      <c r="J2977" s="10"/>
    </row>
    <row r="2978" spans="1:10" ht="15.75" customHeight="1" x14ac:dyDescent="0.3">
      <c r="A2978" s="5" t="s">
        <v>3845</v>
      </c>
      <c r="B2978" s="11">
        <v>45505</v>
      </c>
      <c r="C2978" s="5" t="s">
        <v>715</v>
      </c>
      <c r="D2978" s="5" t="s">
        <v>82</v>
      </c>
      <c r="E2978" s="5" t="s">
        <v>33</v>
      </c>
      <c r="F2978" s="5">
        <v>1</v>
      </c>
      <c r="G2978" s="19">
        <v>0.1</v>
      </c>
      <c r="H2978" s="5" t="s">
        <v>776</v>
      </c>
      <c r="I2978" s="10">
        <f>IF(OR(D2978="", F2978=""), "", F2978 * VLOOKUP(D2978, Products!A:E, 5, FALSE) * (1 - G2978))</f>
        <v>1073.7809999999999</v>
      </c>
      <c r="J2978" s="10"/>
    </row>
    <row r="2979" spans="1:10" ht="15.75" customHeight="1" x14ac:dyDescent="0.3">
      <c r="A2979" s="5" t="s">
        <v>3846</v>
      </c>
      <c r="B2979" s="11">
        <v>45782</v>
      </c>
      <c r="C2979" s="5" t="s">
        <v>711</v>
      </c>
      <c r="D2979" s="5" t="s">
        <v>153</v>
      </c>
      <c r="E2979" s="5" t="s">
        <v>29</v>
      </c>
      <c r="F2979" s="5">
        <v>5</v>
      </c>
      <c r="G2979" s="19">
        <v>0.05</v>
      </c>
      <c r="H2979" s="5" t="s">
        <v>637</v>
      </c>
      <c r="I2979" s="10">
        <f>IF(OR(D2979="", F2979=""), "", F2979 * VLOOKUP(D2979, Products!A:E, 5, FALSE) * (1 - G2979))</f>
        <v>7065.1975000000002</v>
      </c>
      <c r="J2979" s="10"/>
    </row>
    <row r="2980" spans="1:10" ht="15.75" customHeight="1" x14ac:dyDescent="0.3">
      <c r="A2980" s="5" t="s">
        <v>3847</v>
      </c>
      <c r="B2980" s="11">
        <v>45454</v>
      </c>
      <c r="C2980" s="5" t="s">
        <v>368</v>
      </c>
      <c r="D2980" s="5" t="s">
        <v>65</v>
      </c>
      <c r="E2980" s="5" t="s">
        <v>25</v>
      </c>
      <c r="F2980" s="5">
        <v>5</v>
      </c>
      <c r="G2980" s="19">
        <v>0</v>
      </c>
      <c r="H2980" s="5" t="s">
        <v>454</v>
      </c>
      <c r="I2980" s="10">
        <f>IF(OR(D2980="", F2980=""), "", F2980 * VLOOKUP(D2980, Products!A:E, 5, FALSE) * (1 - G2980))</f>
        <v>7370.5999999999995</v>
      </c>
      <c r="J2980" s="10"/>
    </row>
    <row r="2981" spans="1:10" ht="15.75" customHeight="1" x14ac:dyDescent="0.3">
      <c r="A2981" s="5" t="s">
        <v>3848</v>
      </c>
      <c r="B2981" s="11">
        <v>45212</v>
      </c>
      <c r="C2981" s="5" t="s">
        <v>425</v>
      </c>
      <c r="D2981" s="5" t="s">
        <v>212</v>
      </c>
      <c r="E2981" s="5" t="s">
        <v>37</v>
      </c>
      <c r="F2981" s="5">
        <v>3</v>
      </c>
      <c r="G2981" s="19">
        <v>0.15</v>
      </c>
      <c r="H2981" s="5" t="s">
        <v>697</v>
      </c>
      <c r="I2981" s="10">
        <f>IF(OR(D2981="", F2981=""), "", F2981 * VLOOKUP(D2981, Products!A:E, 5, FALSE) * (1 - G2981))</f>
        <v>4587.3734999999997</v>
      </c>
      <c r="J2981" s="10"/>
    </row>
    <row r="2982" spans="1:10" ht="15.75" customHeight="1" x14ac:dyDescent="0.3">
      <c r="A2982" s="5" t="s">
        <v>3849</v>
      </c>
      <c r="B2982" s="11">
        <v>45515</v>
      </c>
      <c r="C2982" s="5" t="s">
        <v>357</v>
      </c>
      <c r="D2982" s="5" t="s">
        <v>256</v>
      </c>
      <c r="E2982" s="5" t="s">
        <v>37</v>
      </c>
      <c r="F2982" s="5">
        <v>3</v>
      </c>
      <c r="G2982" s="19">
        <v>0.1</v>
      </c>
      <c r="H2982" s="5" t="s">
        <v>697</v>
      </c>
      <c r="I2982" s="10">
        <f>IF(OR(D2982="", F2982=""), "", F2982 * VLOOKUP(D2982, Products!A:E, 5, FALSE) * (1 - G2982))</f>
        <v>4414.527</v>
      </c>
      <c r="J2982" s="10"/>
    </row>
    <row r="2983" spans="1:10" ht="15.75" customHeight="1" x14ac:dyDescent="0.3">
      <c r="A2983" s="5" t="s">
        <v>3850</v>
      </c>
      <c r="B2983" s="11">
        <v>45323</v>
      </c>
      <c r="C2983" s="5" t="s">
        <v>481</v>
      </c>
      <c r="D2983" s="5" t="s">
        <v>291</v>
      </c>
      <c r="E2983" s="5" t="s">
        <v>29</v>
      </c>
      <c r="F2983" s="5">
        <v>4</v>
      </c>
      <c r="G2983" s="19">
        <v>0</v>
      </c>
      <c r="H2983" s="5" t="s">
        <v>454</v>
      </c>
      <c r="I2983" s="10">
        <f>IF(OR(D2983="", F2983=""), "", F2983 * VLOOKUP(D2983, Products!A:E, 5, FALSE) * (1 - G2983))</f>
        <v>4178.5600000000004</v>
      </c>
      <c r="J2983" s="10"/>
    </row>
    <row r="2984" spans="1:10" ht="15.75" customHeight="1" x14ac:dyDescent="0.3">
      <c r="A2984" s="5" t="s">
        <v>3851</v>
      </c>
      <c r="B2984" s="11">
        <v>45839</v>
      </c>
      <c r="C2984" s="5" t="s">
        <v>597</v>
      </c>
      <c r="D2984" s="5" t="s">
        <v>206</v>
      </c>
      <c r="E2984" s="5" t="s">
        <v>21</v>
      </c>
      <c r="F2984" s="5">
        <v>4</v>
      </c>
      <c r="G2984" s="19">
        <v>0.15</v>
      </c>
      <c r="H2984" s="5" t="s">
        <v>697</v>
      </c>
      <c r="I2984" s="10">
        <f>IF(OR(D2984="", F2984=""), "", F2984 * VLOOKUP(D2984, Products!A:E, 5, FALSE) * (1 - G2984))</f>
        <v>1036.0139999999999</v>
      </c>
      <c r="J2984" s="10"/>
    </row>
    <row r="2985" spans="1:10" ht="15.75" customHeight="1" x14ac:dyDescent="0.3">
      <c r="A2985" s="5" t="s">
        <v>3852</v>
      </c>
      <c r="B2985" s="11">
        <v>45446</v>
      </c>
      <c r="C2985" s="5" t="s">
        <v>342</v>
      </c>
      <c r="D2985" s="5" t="s">
        <v>95</v>
      </c>
      <c r="E2985" s="5" t="s">
        <v>21</v>
      </c>
      <c r="F2985" s="5">
        <v>1</v>
      </c>
      <c r="G2985" s="19">
        <v>0.15</v>
      </c>
      <c r="H2985" s="5" t="s">
        <v>776</v>
      </c>
      <c r="I2985" s="10">
        <f>IF(OR(D2985="", F2985=""), "", F2985 * VLOOKUP(D2985, Products!A:E, 5, FALSE) * (1 - G2985))</f>
        <v>1141.3374999999999</v>
      </c>
      <c r="J2985" s="10"/>
    </row>
    <row r="2986" spans="1:10" ht="15.75" customHeight="1" x14ac:dyDescent="0.3">
      <c r="A2986" s="5" t="s">
        <v>3853</v>
      </c>
      <c r="B2986" s="11">
        <v>45903</v>
      </c>
      <c r="C2986" s="5" t="s">
        <v>850</v>
      </c>
      <c r="D2986" s="5" t="s">
        <v>147</v>
      </c>
      <c r="E2986" s="5" t="s">
        <v>25</v>
      </c>
      <c r="F2986" s="5">
        <v>2</v>
      </c>
      <c r="G2986" s="19">
        <v>0.1</v>
      </c>
      <c r="H2986" s="5" t="s">
        <v>697</v>
      </c>
      <c r="I2986" s="10">
        <f>IF(OR(D2986="", F2986=""), "", F2986 * VLOOKUP(D2986, Products!A:E, 5, FALSE) * (1 - G2986))</f>
        <v>3381.2460000000001</v>
      </c>
      <c r="J2986" s="10"/>
    </row>
    <row r="2987" spans="1:10" ht="15.75" customHeight="1" x14ac:dyDescent="0.3">
      <c r="A2987" s="5" t="s">
        <v>3854</v>
      </c>
      <c r="B2987" s="11">
        <v>45797</v>
      </c>
      <c r="C2987" s="5" t="s">
        <v>722</v>
      </c>
      <c r="D2987" s="5" t="s">
        <v>265</v>
      </c>
      <c r="E2987" s="5" t="s">
        <v>29</v>
      </c>
      <c r="F2987" s="5">
        <v>3</v>
      </c>
      <c r="G2987" s="19">
        <v>0.15</v>
      </c>
      <c r="H2987" s="5" t="s">
        <v>776</v>
      </c>
      <c r="I2987" s="10">
        <f>IF(OR(D2987="", F2987=""), "", F2987 * VLOOKUP(D2987, Products!A:E, 5, FALSE) * (1 - G2987))</f>
        <v>1439.2709999999997</v>
      </c>
      <c r="J2987" s="10"/>
    </row>
    <row r="2988" spans="1:10" ht="15.75" customHeight="1" x14ac:dyDescent="0.3">
      <c r="A2988" s="5" t="s">
        <v>3855</v>
      </c>
      <c r="B2988" s="11">
        <v>45612</v>
      </c>
      <c r="C2988" s="5" t="s">
        <v>766</v>
      </c>
      <c r="D2988" s="5" t="s">
        <v>221</v>
      </c>
      <c r="E2988" s="5" t="s">
        <v>25</v>
      </c>
      <c r="F2988" s="5">
        <v>5</v>
      </c>
      <c r="G2988" s="19">
        <v>0.1</v>
      </c>
      <c r="H2988" s="5" t="s">
        <v>697</v>
      </c>
      <c r="I2988" s="10">
        <f>IF(OR(D2988="", F2988=""), "", F2988 * VLOOKUP(D2988, Products!A:E, 5, FALSE) * (1 - G2988))</f>
        <v>7030.9350000000004</v>
      </c>
      <c r="J2988" s="10"/>
    </row>
    <row r="2989" spans="1:10" ht="15.75" customHeight="1" x14ac:dyDescent="0.3">
      <c r="A2989" s="5" t="s">
        <v>3856</v>
      </c>
      <c r="B2989" s="11">
        <v>45781</v>
      </c>
      <c r="C2989" s="5" t="s">
        <v>649</v>
      </c>
      <c r="D2989" s="5" t="s">
        <v>243</v>
      </c>
      <c r="E2989" s="5" t="s">
        <v>21</v>
      </c>
      <c r="F2989" s="5">
        <v>3</v>
      </c>
      <c r="G2989" s="19">
        <v>0</v>
      </c>
      <c r="H2989" s="5" t="s">
        <v>697</v>
      </c>
      <c r="I2989" s="10">
        <f>IF(OR(D2989="", F2989=""), "", F2989 * VLOOKUP(D2989, Products!A:E, 5, FALSE) * (1 - G2989))</f>
        <v>1622.8200000000002</v>
      </c>
      <c r="J2989" s="10"/>
    </row>
    <row r="2990" spans="1:10" ht="15.75" customHeight="1" x14ac:dyDescent="0.3">
      <c r="A2990" s="5" t="s">
        <v>3857</v>
      </c>
      <c r="B2990" s="11">
        <v>45907</v>
      </c>
      <c r="C2990" s="5" t="s">
        <v>338</v>
      </c>
      <c r="D2990" s="5" t="s">
        <v>140</v>
      </c>
      <c r="E2990" s="5" t="s">
        <v>29</v>
      </c>
      <c r="F2990" s="5">
        <v>2</v>
      </c>
      <c r="G2990" s="19">
        <v>0.15</v>
      </c>
      <c r="H2990" s="5" t="s">
        <v>637</v>
      </c>
      <c r="I2990" s="10">
        <f>IF(OR(D2990="", F2990=""), "", F2990 * VLOOKUP(D2990, Products!A:E, 5, FALSE) * (1 - G2990))</f>
        <v>43.469000000000001</v>
      </c>
      <c r="J2990" s="10"/>
    </row>
    <row r="2991" spans="1:10" ht="15.75" customHeight="1" x14ac:dyDescent="0.3">
      <c r="A2991" s="5" t="s">
        <v>3858</v>
      </c>
      <c r="B2991" s="11">
        <v>45808</v>
      </c>
      <c r="C2991" s="5" t="s">
        <v>829</v>
      </c>
      <c r="D2991" s="5" t="s">
        <v>232</v>
      </c>
      <c r="E2991" s="5" t="s">
        <v>29</v>
      </c>
      <c r="F2991" s="5">
        <v>4</v>
      </c>
      <c r="G2991" s="19">
        <v>0.15</v>
      </c>
      <c r="H2991" s="5" t="s">
        <v>697</v>
      </c>
      <c r="I2991" s="10">
        <f>IF(OR(D2991="", F2991=""), "", F2991 * VLOOKUP(D2991, Products!A:E, 5, FALSE) * (1 - G2991))</f>
        <v>6639.01</v>
      </c>
      <c r="J2991" s="10"/>
    </row>
    <row r="2992" spans="1:10" ht="15.75" customHeight="1" x14ac:dyDescent="0.3">
      <c r="A2992" s="5" t="s">
        <v>3859</v>
      </c>
      <c r="B2992" s="11">
        <v>45769</v>
      </c>
      <c r="C2992" s="5" t="s">
        <v>631</v>
      </c>
      <c r="D2992" s="5" t="s">
        <v>249</v>
      </c>
      <c r="E2992" s="5" t="s">
        <v>33</v>
      </c>
      <c r="F2992" s="5">
        <v>5</v>
      </c>
      <c r="G2992" s="19">
        <v>0.1</v>
      </c>
      <c r="H2992" s="5" t="s">
        <v>697</v>
      </c>
      <c r="I2992" s="10">
        <f>IF(OR(D2992="", F2992=""), "", F2992 * VLOOKUP(D2992, Products!A:E, 5, FALSE) * (1 - G2992))</f>
        <v>7855.2449999999999</v>
      </c>
      <c r="J2992" s="10"/>
    </row>
    <row r="2993" spans="1:10" ht="15.75" customHeight="1" x14ac:dyDescent="0.3">
      <c r="A2993" s="5" t="s">
        <v>3860</v>
      </c>
      <c r="B2993" s="11">
        <v>45706</v>
      </c>
      <c r="C2993" s="5" t="s">
        <v>191</v>
      </c>
      <c r="D2993" s="5" t="s">
        <v>109</v>
      </c>
      <c r="E2993" s="5" t="s">
        <v>37</v>
      </c>
      <c r="F2993" s="5">
        <v>1</v>
      </c>
      <c r="G2993" s="19">
        <v>0</v>
      </c>
      <c r="H2993" s="5" t="s">
        <v>776</v>
      </c>
      <c r="I2993" s="10">
        <f>IF(OR(D2993="", F2993=""), "", F2993 * VLOOKUP(D2993, Products!A:E, 5, FALSE) * (1 - G2993))</f>
        <v>1858.75</v>
      </c>
      <c r="J2993" s="10"/>
    </row>
    <row r="2994" spans="1:10" ht="15.75" customHeight="1" x14ac:dyDescent="0.3">
      <c r="A2994" s="5" t="s">
        <v>3861</v>
      </c>
      <c r="B2994" s="11">
        <v>45569</v>
      </c>
      <c r="C2994" s="5" t="s">
        <v>744</v>
      </c>
      <c r="D2994" s="5" t="s">
        <v>276</v>
      </c>
      <c r="E2994" s="5" t="s">
        <v>21</v>
      </c>
      <c r="F2994" s="5">
        <v>1</v>
      </c>
      <c r="G2994" s="19">
        <v>0.1</v>
      </c>
      <c r="H2994" s="5" t="s">
        <v>776</v>
      </c>
      <c r="I2994" s="10">
        <f>IF(OR(D2994="", F2994=""), "", F2994 * VLOOKUP(D2994, Products!A:E, 5, FALSE) * (1 - G2994))</f>
        <v>1077.462</v>
      </c>
      <c r="J2994" s="10"/>
    </row>
    <row r="2995" spans="1:10" ht="15.75" customHeight="1" x14ac:dyDescent="0.3">
      <c r="A2995" s="5" t="s">
        <v>3862</v>
      </c>
      <c r="B2995" s="11">
        <v>45643</v>
      </c>
      <c r="C2995" s="5" t="s">
        <v>458</v>
      </c>
      <c r="D2995" s="5" t="s">
        <v>193</v>
      </c>
      <c r="E2995" s="5" t="s">
        <v>33</v>
      </c>
      <c r="F2995" s="5">
        <v>4</v>
      </c>
      <c r="G2995" s="19">
        <v>0.05</v>
      </c>
      <c r="H2995" s="5" t="s">
        <v>776</v>
      </c>
      <c r="I2995" s="10">
        <f>IF(OR(D2995="", F2995=""), "", F2995 * VLOOKUP(D2995, Products!A:E, 5, FALSE) * (1 - G2995))</f>
        <v>111.11199999999999</v>
      </c>
      <c r="J2995" s="10"/>
    </row>
    <row r="2996" spans="1:10" ht="15.75" customHeight="1" x14ac:dyDescent="0.3">
      <c r="A2996" s="5" t="s">
        <v>3863</v>
      </c>
      <c r="B2996" s="11">
        <v>45713</v>
      </c>
      <c r="C2996" s="5" t="s">
        <v>159</v>
      </c>
      <c r="D2996" s="5" t="s">
        <v>221</v>
      </c>
      <c r="E2996" s="5" t="s">
        <v>29</v>
      </c>
      <c r="F2996" s="5">
        <v>2</v>
      </c>
      <c r="G2996" s="19">
        <v>0.05</v>
      </c>
      <c r="H2996" s="5" t="s">
        <v>637</v>
      </c>
      <c r="I2996" s="10">
        <f>IF(OR(D2996="", F2996=""), "", F2996 * VLOOKUP(D2996, Products!A:E, 5, FALSE) * (1 - G2996))</f>
        <v>2968.6170000000002</v>
      </c>
      <c r="J2996" s="10"/>
    </row>
    <row r="2997" spans="1:10" ht="15.75" customHeight="1" x14ac:dyDescent="0.3">
      <c r="A2997" s="5" t="s">
        <v>3864</v>
      </c>
      <c r="B2997" s="11">
        <v>45805</v>
      </c>
      <c r="C2997" s="5" t="s">
        <v>847</v>
      </c>
      <c r="D2997" s="5" t="s">
        <v>109</v>
      </c>
      <c r="E2997" s="5" t="s">
        <v>29</v>
      </c>
      <c r="F2997" s="5">
        <v>1</v>
      </c>
      <c r="G2997" s="19">
        <v>0.1</v>
      </c>
      <c r="H2997" s="5" t="s">
        <v>637</v>
      </c>
      <c r="I2997" s="10">
        <f>IF(OR(D2997="", F2997=""), "", F2997 * VLOOKUP(D2997, Products!A:E, 5, FALSE) * (1 - G2997))</f>
        <v>1672.875</v>
      </c>
      <c r="J2997" s="10"/>
    </row>
    <row r="2998" spans="1:10" ht="15.75" customHeight="1" x14ac:dyDescent="0.3">
      <c r="A2998" s="5" t="s">
        <v>3865</v>
      </c>
      <c r="B2998" s="11">
        <v>45456</v>
      </c>
      <c r="C2998" s="5" t="s">
        <v>774</v>
      </c>
      <c r="D2998" s="5" t="s">
        <v>212</v>
      </c>
      <c r="E2998" s="5" t="s">
        <v>21</v>
      </c>
      <c r="F2998" s="5">
        <v>3</v>
      </c>
      <c r="G2998" s="19">
        <v>0</v>
      </c>
      <c r="H2998" s="5" t="s">
        <v>776</v>
      </c>
      <c r="I2998" s="10">
        <f>IF(OR(D2998="", F2998=""), "", F2998 * VLOOKUP(D2998, Products!A:E, 5, FALSE) * (1 - G2998))</f>
        <v>5396.91</v>
      </c>
      <c r="J2998" s="10"/>
    </row>
    <row r="2999" spans="1:10" ht="15.75" customHeight="1" x14ac:dyDescent="0.3">
      <c r="A2999" s="5" t="s">
        <v>3866</v>
      </c>
      <c r="B2999" s="11">
        <v>45824</v>
      </c>
      <c r="C2999" s="5" t="s">
        <v>458</v>
      </c>
      <c r="D2999" s="5" t="s">
        <v>57</v>
      </c>
      <c r="E2999" s="5" t="s">
        <v>25</v>
      </c>
      <c r="F2999" s="5">
        <v>3</v>
      </c>
      <c r="G2999" s="19">
        <v>0.15</v>
      </c>
      <c r="H2999" s="5" t="s">
        <v>697</v>
      </c>
      <c r="I2999" s="10">
        <f>IF(OR(D2999="", F2999=""), "", F2999 * VLOOKUP(D2999, Products!A:E, 5, FALSE) * (1 - G2999))</f>
        <v>3560.3609999999999</v>
      </c>
      <c r="J2999" s="10"/>
    </row>
    <row r="3000" spans="1:10" ht="15.75" customHeight="1" x14ac:dyDescent="0.3">
      <c r="A3000" s="5" t="s">
        <v>3867</v>
      </c>
      <c r="B3000" s="11">
        <v>45528</v>
      </c>
      <c r="C3000" s="5" t="s">
        <v>255</v>
      </c>
      <c r="D3000" s="5" t="s">
        <v>193</v>
      </c>
      <c r="E3000" s="5" t="s">
        <v>21</v>
      </c>
      <c r="F3000" s="5">
        <v>4</v>
      </c>
      <c r="G3000" s="19">
        <v>0.05</v>
      </c>
      <c r="H3000" s="5" t="s">
        <v>776</v>
      </c>
      <c r="I3000" s="10">
        <f>IF(OR(D3000="", F3000=""), "", F3000 * VLOOKUP(D3000, Products!A:E, 5, FALSE) * (1 - G3000))</f>
        <v>111.11199999999999</v>
      </c>
      <c r="J3000" s="10"/>
    </row>
    <row r="3001" spans="1:10" ht="15.75" customHeight="1" x14ac:dyDescent="0.3">
      <c r="A3001" s="5" t="s">
        <v>3868</v>
      </c>
      <c r="B3001" s="11">
        <v>45679</v>
      </c>
      <c r="C3001" s="5" t="s">
        <v>245</v>
      </c>
      <c r="D3001" s="5" t="s">
        <v>140</v>
      </c>
      <c r="E3001" s="5" t="s">
        <v>21</v>
      </c>
      <c r="F3001" s="5">
        <v>2</v>
      </c>
      <c r="G3001" s="19">
        <v>0.15</v>
      </c>
      <c r="H3001" s="5" t="s">
        <v>454</v>
      </c>
      <c r="I3001" s="10">
        <f>IF(OR(D3001="", F3001=""), "", F3001 * VLOOKUP(D3001, Products!A:E, 5, FALSE) * (1 - G3001))</f>
        <v>43.469000000000001</v>
      </c>
      <c r="J3001" s="10"/>
    </row>
    <row r="3002" spans="1:10" ht="15.75" customHeight="1" x14ac:dyDescent="0.3">
      <c r="A3002" s="5" t="s">
        <v>3869</v>
      </c>
      <c r="B3002" s="11">
        <v>45455</v>
      </c>
      <c r="C3002" s="5" t="s">
        <v>429</v>
      </c>
      <c r="D3002" s="5" t="s">
        <v>175</v>
      </c>
      <c r="E3002" s="5" t="s">
        <v>21</v>
      </c>
      <c r="F3002" s="5">
        <v>5</v>
      </c>
      <c r="G3002" s="19">
        <v>0.15</v>
      </c>
      <c r="H3002" s="5" t="s">
        <v>776</v>
      </c>
      <c r="I3002" s="10">
        <f>IF(OR(D3002="", F3002=""), "", F3002 * VLOOKUP(D3002, Products!A:E, 5, FALSE) * (1 - G3002))</f>
        <v>5406.9775</v>
      </c>
      <c r="J3002" s="10"/>
    </row>
    <row r="3003" spans="1:10" ht="15.75" customHeight="1" x14ac:dyDescent="0.3">
      <c r="A3003" s="5" t="s">
        <v>3870</v>
      </c>
      <c r="B3003" s="11">
        <v>45671</v>
      </c>
      <c r="C3003" s="5" t="s">
        <v>840</v>
      </c>
      <c r="D3003" s="5" t="s">
        <v>162</v>
      </c>
      <c r="E3003" s="5" t="s">
        <v>25</v>
      </c>
      <c r="F3003" s="5">
        <v>2</v>
      </c>
      <c r="G3003" s="19">
        <v>0</v>
      </c>
      <c r="H3003" s="5" t="s">
        <v>637</v>
      </c>
      <c r="I3003" s="10">
        <f>IF(OR(D3003="", F3003=""), "", F3003 * VLOOKUP(D3003, Products!A:E, 5, FALSE) * (1 - G3003))</f>
        <v>858.3</v>
      </c>
      <c r="J3003" s="10"/>
    </row>
    <row r="3004" spans="1:10" ht="15.75" customHeight="1" x14ac:dyDescent="0.3">
      <c r="A3004" s="5" t="s">
        <v>3871</v>
      </c>
      <c r="B3004" s="11">
        <v>45291</v>
      </c>
      <c r="C3004" s="5" t="s">
        <v>662</v>
      </c>
      <c r="D3004" s="5" t="s">
        <v>70</v>
      </c>
      <c r="E3004" s="5" t="s">
        <v>33</v>
      </c>
      <c r="F3004" s="5">
        <v>1</v>
      </c>
      <c r="G3004" s="19">
        <v>0</v>
      </c>
      <c r="H3004" s="5" t="s">
        <v>637</v>
      </c>
      <c r="I3004" s="10">
        <f>IF(OR(D3004="", F3004=""), "", F3004 * VLOOKUP(D3004, Products!A:E, 5, FALSE) * (1 - G3004))</f>
        <v>123.19</v>
      </c>
      <c r="J3004" s="10"/>
    </row>
    <row r="3005" spans="1:10" ht="15.75" customHeight="1" x14ac:dyDescent="0.3">
      <c r="A3005" s="5" t="s">
        <v>3872</v>
      </c>
      <c r="B3005" s="11">
        <v>45306</v>
      </c>
      <c r="C3005" s="5" t="s">
        <v>579</v>
      </c>
      <c r="D3005" s="5" t="s">
        <v>147</v>
      </c>
      <c r="E3005" s="5" t="s">
        <v>33</v>
      </c>
      <c r="F3005" s="5">
        <v>4</v>
      </c>
      <c r="G3005" s="19">
        <v>0.05</v>
      </c>
      <c r="H3005" s="5" t="s">
        <v>776</v>
      </c>
      <c r="I3005" s="10">
        <f>IF(OR(D3005="", F3005=""), "", F3005 * VLOOKUP(D3005, Products!A:E, 5, FALSE) * (1 - G3005))</f>
        <v>7138.1859999999997</v>
      </c>
      <c r="J3005" s="10"/>
    </row>
    <row r="3006" spans="1:10" ht="15.75" customHeight="1" x14ac:dyDescent="0.3">
      <c r="A3006" s="5" t="s">
        <v>3873</v>
      </c>
      <c r="B3006" s="11">
        <v>45318</v>
      </c>
      <c r="C3006" s="5" t="s">
        <v>708</v>
      </c>
      <c r="D3006" s="5" t="s">
        <v>95</v>
      </c>
      <c r="E3006" s="5" t="s">
        <v>21</v>
      </c>
      <c r="F3006" s="5">
        <v>1</v>
      </c>
      <c r="G3006" s="19">
        <v>0.1</v>
      </c>
      <c r="H3006" s="5" t="s">
        <v>454</v>
      </c>
      <c r="I3006" s="10">
        <f>IF(OR(D3006="", F3006=""), "", F3006 * VLOOKUP(D3006, Products!A:E, 5, FALSE) * (1 - G3006))</f>
        <v>1208.4750000000001</v>
      </c>
      <c r="J3006" s="10"/>
    </row>
    <row r="3007" spans="1:10" ht="15.75" customHeight="1" x14ac:dyDescent="0.3">
      <c r="A3007" s="5" t="s">
        <v>3874</v>
      </c>
      <c r="B3007" s="11">
        <v>45273</v>
      </c>
      <c r="C3007" s="5" t="s">
        <v>829</v>
      </c>
      <c r="D3007" s="5" t="s">
        <v>285</v>
      </c>
      <c r="E3007" s="5" t="s">
        <v>33</v>
      </c>
      <c r="F3007" s="5">
        <v>2</v>
      </c>
      <c r="G3007" s="19">
        <v>0.1</v>
      </c>
      <c r="H3007" s="5" t="s">
        <v>776</v>
      </c>
      <c r="I3007" s="10">
        <f>IF(OR(D3007="", F3007=""), "", F3007 * VLOOKUP(D3007, Products!A:E, 5, FALSE) * (1 - G3007))</f>
        <v>698.86800000000005</v>
      </c>
      <c r="J3007" s="10"/>
    </row>
    <row r="3008" spans="1:10" ht="15.75" customHeight="1" x14ac:dyDescent="0.3">
      <c r="A3008" s="5" t="s">
        <v>3875</v>
      </c>
      <c r="B3008" s="11">
        <v>45837</v>
      </c>
      <c r="C3008" s="5" t="s">
        <v>786</v>
      </c>
      <c r="D3008" s="5" t="s">
        <v>109</v>
      </c>
      <c r="E3008" s="5" t="s">
        <v>29</v>
      </c>
      <c r="F3008" s="5">
        <v>2</v>
      </c>
      <c r="G3008" s="19">
        <v>0.05</v>
      </c>
      <c r="H3008" s="5" t="s">
        <v>637</v>
      </c>
      <c r="I3008" s="10">
        <f>IF(OR(D3008="", F3008=""), "", F3008 * VLOOKUP(D3008, Products!A:E, 5, FALSE) * (1 - G3008))</f>
        <v>3531.625</v>
      </c>
      <c r="J3008" s="10"/>
    </row>
    <row r="3009" spans="1:10" ht="15.75" customHeight="1" x14ac:dyDescent="0.3">
      <c r="A3009" s="5" t="s">
        <v>3876</v>
      </c>
      <c r="B3009" s="11">
        <v>45657</v>
      </c>
      <c r="C3009" s="5" t="s">
        <v>16</v>
      </c>
      <c r="D3009" s="5" t="s">
        <v>193</v>
      </c>
      <c r="E3009" s="5" t="s">
        <v>21</v>
      </c>
      <c r="F3009" s="5">
        <v>5</v>
      </c>
      <c r="G3009" s="19">
        <v>0.15</v>
      </c>
      <c r="H3009" s="5" t="s">
        <v>637</v>
      </c>
      <c r="I3009" s="10">
        <f>IF(OR(D3009="", F3009=""), "", F3009 * VLOOKUP(D3009, Products!A:E, 5, FALSE) * (1 - G3009))</f>
        <v>124.26999999999998</v>
      </c>
      <c r="J3009" s="10"/>
    </row>
    <row r="3010" spans="1:10" ht="15.75" customHeight="1" x14ac:dyDescent="0.3">
      <c r="A3010" s="5" t="s">
        <v>3877</v>
      </c>
      <c r="B3010" s="11">
        <v>45796</v>
      </c>
      <c r="C3010" s="5" t="s">
        <v>389</v>
      </c>
      <c r="D3010" s="5" t="s">
        <v>175</v>
      </c>
      <c r="E3010" s="5" t="s">
        <v>21</v>
      </c>
      <c r="F3010" s="5">
        <v>3</v>
      </c>
      <c r="G3010" s="19">
        <v>0.1</v>
      </c>
      <c r="H3010" s="5" t="s">
        <v>776</v>
      </c>
      <c r="I3010" s="10">
        <f>IF(OR(D3010="", F3010=""), "", F3010 * VLOOKUP(D3010, Products!A:E, 5, FALSE) * (1 - G3010))</f>
        <v>3435.0210000000002</v>
      </c>
      <c r="J3010" s="10"/>
    </row>
    <row r="3011" spans="1:10" ht="15.75" customHeight="1" x14ac:dyDescent="0.3">
      <c r="A3011" s="5" t="s">
        <v>3878</v>
      </c>
      <c r="B3011" s="11">
        <v>45247</v>
      </c>
      <c r="C3011" s="5" t="s">
        <v>727</v>
      </c>
      <c r="D3011" s="5" t="s">
        <v>65</v>
      </c>
      <c r="E3011" s="5" t="s">
        <v>29</v>
      </c>
      <c r="F3011" s="5">
        <v>4</v>
      </c>
      <c r="G3011" s="19">
        <v>0.15</v>
      </c>
      <c r="H3011" s="5" t="s">
        <v>697</v>
      </c>
      <c r="I3011" s="10">
        <f>IF(OR(D3011="", F3011=""), "", F3011 * VLOOKUP(D3011, Products!A:E, 5, FALSE) * (1 - G3011))</f>
        <v>5012.0079999999998</v>
      </c>
      <c r="J3011" s="10"/>
    </row>
    <row r="3012" spans="1:10" ht="15.75" customHeight="1" x14ac:dyDescent="0.3">
      <c r="A3012" s="5" t="s">
        <v>3879</v>
      </c>
      <c r="B3012" s="11">
        <v>45351</v>
      </c>
      <c r="C3012" s="5" t="s">
        <v>526</v>
      </c>
      <c r="D3012" s="5" t="s">
        <v>95</v>
      </c>
      <c r="E3012" s="5" t="s">
        <v>29</v>
      </c>
      <c r="F3012" s="5">
        <v>5</v>
      </c>
      <c r="G3012" s="19">
        <v>0.05</v>
      </c>
      <c r="H3012" s="5" t="s">
        <v>454</v>
      </c>
      <c r="I3012" s="10">
        <f>IF(OR(D3012="", F3012=""), "", F3012 * VLOOKUP(D3012, Products!A:E, 5, FALSE) * (1 - G3012))</f>
        <v>6378.0625</v>
      </c>
      <c r="J3012" s="10"/>
    </row>
    <row r="3013" spans="1:10" ht="15.75" customHeight="1" x14ac:dyDescent="0.3">
      <c r="A3013" s="5" t="s">
        <v>3880</v>
      </c>
      <c r="B3013" s="11">
        <v>45834</v>
      </c>
      <c r="C3013" s="5" t="s">
        <v>842</v>
      </c>
      <c r="D3013" s="5" t="s">
        <v>147</v>
      </c>
      <c r="E3013" s="5" t="s">
        <v>29</v>
      </c>
      <c r="F3013" s="5">
        <v>4</v>
      </c>
      <c r="G3013" s="19">
        <v>0.05</v>
      </c>
      <c r="H3013" s="5" t="s">
        <v>637</v>
      </c>
      <c r="I3013" s="10">
        <f>IF(OR(D3013="", F3013=""), "", F3013 * VLOOKUP(D3013, Products!A:E, 5, FALSE) * (1 - G3013))</f>
        <v>7138.1859999999997</v>
      </c>
      <c r="J3013" s="10"/>
    </row>
    <row r="3014" spans="1:10" ht="15.75" customHeight="1" x14ac:dyDescent="0.3">
      <c r="A3014" s="5" t="s">
        <v>3881</v>
      </c>
      <c r="B3014" s="11">
        <v>45202</v>
      </c>
      <c r="C3014" s="5" t="s">
        <v>526</v>
      </c>
      <c r="D3014" s="5" t="s">
        <v>188</v>
      </c>
      <c r="E3014" s="5" t="s">
        <v>33</v>
      </c>
      <c r="F3014" s="5">
        <v>3</v>
      </c>
      <c r="G3014" s="19">
        <v>0.1</v>
      </c>
      <c r="H3014" s="5" t="s">
        <v>697</v>
      </c>
      <c r="I3014" s="10">
        <f>IF(OR(D3014="", F3014=""), "", F3014 * VLOOKUP(D3014, Products!A:E, 5, FALSE) * (1 - G3014))</f>
        <v>4009.6349999999998</v>
      </c>
      <c r="J3014" s="10"/>
    </row>
    <row r="3015" spans="1:10" ht="15.75" customHeight="1" x14ac:dyDescent="0.3">
      <c r="A3015" s="5" t="s">
        <v>3882</v>
      </c>
      <c r="B3015" s="11">
        <v>45358</v>
      </c>
      <c r="C3015" s="5" t="s">
        <v>789</v>
      </c>
      <c r="D3015" s="5" t="s">
        <v>82</v>
      </c>
      <c r="E3015" s="5" t="s">
        <v>33</v>
      </c>
      <c r="F3015" s="5">
        <v>5</v>
      </c>
      <c r="G3015" s="19">
        <v>0.15</v>
      </c>
      <c r="H3015" s="5" t="s">
        <v>454</v>
      </c>
      <c r="I3015" s="10">
        <f>IF(OR(D3015="", F3015=""), "", F3015 * VLOOKUP(D3015, Products!A:E, 5, FALSE) * (1 - G3015))</f>
        <v>5070.6324999999997</v>
      </c>
      <c r="J3015" s="10"/>
    </row>
    <row r="3016" spans="1:10" ht="15.75" customHeight="1" x14ac:dyDescent="0.3">
      <c r="A3016" s="5" t="s">
        <v>3883</v>
      </c>
      <c r="B3016" s="11">
        <v>45248</v>
      </c>
      <c r="C3016" s="5" t="s">
        <v>579</v>
      </c>
      <c r="D3016" s="5" t="s">
        <v>200</v>
      </c>
      <c r="E3016" s="5" t="s">
        <v>21</v>
      </c>
      <c r="F3016" s="5">
        <v>5</v>
      </c>
      <c r="G3016" s="19">
        <v>0.1</v>
      </c>
      <c r="H3016" s="5" t="s">
        <v>697</v>
      </c>
      <c r="I3016" s="10">
        <f>IF(OR(D3016="", F3016=""), "", F3016 * VLOOKUP(D3016, Products!A:E, 5, FALSE) * (1 - G3016))</f>
        <v>4930.7400000000007</v>
      </c>
      <c r="J3016" s="10"/>
    </row>
    <row r="3017" spans="1:10" ht="15.75" customHeight="1" x14ac:dyDescent="0.3">
      <c r="A3017" s="5" t="s">
        <v>3884</v>
      </c>
      <c r="B3017" s="11">
        <v>45299</v>
      </c>
      <c r="C3017" s="5" t="s">
        <v>488</v>
      </c>
      <c r="D3017" s="5" t="s">
        <v>115</v>
      </c>
      <c r="E3017" s="5" t="s">
        <v>29</v>
      </c>
      <c r="F3017" s="5">
        <v>4</v>
      </c>
      <c r="G3017" s="19">
        <v>0.15</v>
      </c>
      <c r="H3017" s="5" t="s">
        <v>697</v>
      </c>
      <c r="I3017" s="10">
        <f>IF(OR(D3017="", F3017=""), "", F3017 * VLOOKUP(D3017, Products!A:E, 5, FALSE) * (1 - G3017))</f>
        <v>4236.7739999999994</v>
      </c>
      <c r="J3017" s="10"/>
    </row>
    <row r="3018" spans="1:10" ht="15.75" customHeight="1" x14ac:dyDescent="0.3">
      <c r="A3018" s="5" t="s">
        <v>3885</v>
      </c>
      <c r="B3018" s="11">
        <v>45466</v>
      </c>
      <c r="C3018" s="5" t="s">
        <v>144</v>
      </c>
      <c r="D3018" s="5" t="s">
        <v>70</v>
      </c>
      <c r="E3018" s="5" t="s">
        <v>29</v>
      </c>
      <c r="F3018" s="5">
        <v>5</v>
      </c>
      <c r="G3018" s="19">
        <v>0.05</v>
      </c>
      <c r="H3018" s="5" t="s">
        <v>454</v>
      </c>
      <c r="I3018" s="10">
        <f>IF(OR(D3018="", F3018=""), "", F3018 * VLOOKUP(D3018, Products!A:E, 5, FALSE) * (1 - G3018))</f>
        <v>585.15250000000003</v>
      </c>
      <c r="J3018" s="10"/>
    </row>
    <row r="3019" spans="1:10" ht="15.75" customHeight="1" x14ac:dyDescent="0.3">
      <c r="A3019" s="5" t="s">
        <v>3886</v>
      </c>
      <c r="B3019" s="11">
        <v>45374</v>
      </c>
      <c r="C3019" s="5" t="s">
        <v>676</v>
      </c>
      <c r="D3019" s="5" t="s">
        <v>188</v>
      </c>
      <c r="E3019" s="5" t="s">
        <v>25</v>
      </c>
      <c r="F3019" s="5">
        <v>5</v>
      </c>
      <c r="G3019" s="19">
        <v>0.05</v>
      </c>
      <c r="H3019" s="5" t="s">
        <v>697</v>
      </c>
      <c r="I3019" s="10">
        <f>IF(OR(D3019="", F3019=""), "", F3019 * VLOOKUP(D3019, Products!A:E, 5, FALSE) * (1 - G3019))</f>
        <v>7053.9874999999993</v>
      </c>
      <c r="J3019" s="10"/>
    </row>
    <row r="3020" spans="1:10" ht="15.75" customHeight="1" x14ac:dyDescent="0.3">
      <c r="A3020" s="5" t="s">
        <v>3887</v>
      </c>
      <c r="B3020" s="11">
        <v>45234</v>
      </c>
      <c r="C3020" s="5" t="s">
        <v>805</v>
      </c>
      <c r="D3020" s="5" t="s">
        <v>291</v>
      </c>
      <c r="E3020" s="5" t="s">
        <v>33</v>
      </c>
      <c r="F3020" s="5">
        <v>1</v>
      </c>
      <c r="G3020" s="19">
        <v>0.15</v>
      </c>
      <c r="H3020" s="5" t="s">
        <v>776</v>
      </c>
      <c r="I3020" s="10">
        <f>IF(OR(D3020="", F3020=""), "", F3020 * VLOOKUP(D3020, Products!A:E, 5, FALSE) * (1 - G3020))</f>
        <v>887.94400000000007</v>
      </c>
      <c r="J3020" s="10"/>
    </row>
    <row r="3021" spans="1:10" ht="15.75" customHeight="1" x14ac:dyDescent="0.3">
      <c r="A3021" s="5" t="s">
        <v>3888</v>
      </c>
      <c r="B3021" s="11">
        <v>45574</v>
      </c>
      <c r="C3021" s="5" t="s">
        <v>641</v>
      </c>
      <c r="D3021" s="5" t="s">
        <v>128</v>
      </c>
      <c r="E3021" s="5" t="s">
        <v>37</v>
      </c>
      <c r="F3021" s="5">
        <v>1</v>
      </c>
      <c r="G3021" s="19">
        <v>0</v>
      </c>
      <c r="H3021" s="5" t="s">
        <v>776</v>
      </c>
      <c r="I3021" s="10">
        <f>IF(OR(D3021="", F3021=""), "", F3021 * VLOOKUP(D3021, Products!A:E, 5, FALSE) * (1 - G3021))</f>
        <v>323.92</v>
      </c>
      <c r="J3021" s="10"/>
    </row>
    <row r="3022" spans="1:10" ht="15.75" customHeight="1" x14ac:dyDescent="0.3">
      <c r="A3022" s="5" t="s">
        <v>3889</v>
      </c>
      <c r="B3022" s="11">
        <v>45338</v>
      </c>
      <c r="C3022" s="5" t="s">
        <v>412</v>
      </c>
      <c r="D3022" s="5" t="s">
        <v>237</v>
      </c>
      <c r="E3022" s="5" t="s">
        <v>37</v>
      </c>
      <c r="F3022" s="5">
        <v>2</v>
      </c>
      <c r="G3022" s="19">
        <v>0.05</v>
      </c>
      <c r="H3022" s="5" t="s">
        <v>454</v>
      </c>
      <c r="I3022" s="10">
        <f>IF(OR(D3022="", F3022=""), "", F3022 * VLOOKUP(D3022, Products!A:E, 5, FALSE) * (1 - G3022))</f>
        <v>697.16700000000003</v>
      </c>
      <c r="J3022" s="10"/>
    </row>
    <row r="3023" spans="1:10" ht="15.75" customHeight="1" x14ac:dyDescent="0.3">
      <c r="A3023" s="5" t="s">
        <v>3890</v>
      </c>
      <c r="B3023" s="11">
        <v>45687</v>
      </c>
      <c r="C3023" s="5" t="s">
        <v>631</v>
      </c>
      <c r="D3023" s="5" t="s">
        <v>103</v>
      </c>
      <c r="E3023" s="5" t="s">
        <v>21</v>
      </c>
      <c r="F3023" s="5">
        <v>3</v>
      </c>
      <c r="G3023" s="19">
        <v>0.1</v>
      </c>
      <c r="H3023" s="5" t="s">
        <v>637</v>
      </c>
      <c r="I3023" s="10">
        <f>IF(OR(D3023="", F3023=""), "", F3023 * VLOOKUP(D3023, Products!A:E, 5, FALSE) * (1 - G3023))</f>
        <v>730.21499999999992</v>
      </c>
      <c r="J3023" s="10"/>
    </row>
    <row r="3024" spans="1:10" ht="15.75" customHeight="1" x14ac:dyDescent="0.3">
      <c r="A3024" s="5" t="s">
        <v>3891</v>
      </c>
      <c r="B3024" s="11">
        <v>45867</v>
      </c>
      <c r="C3024" s="5" t="s">
        <v>661</v>
      </c>
      <c r="D3024" s="5" t="s">
        <v>188</v>
      </c>
      <c r="E3024" s="5" t="s">
        <v>33</v>
      </c>
      <c r="F3024" s="5">
        <v>2</v>
      </c>
      <c r="G3024" s="19">
        <v>0.1</v>
      </c>
      <c r="H3024" s="5" t="s">
        <v>637</v>
      </c>
      <c r="I3024" s="10">
        <f>IF(OR(D3024="", F3024=""), "", F3024 * VLOOKUP(D3024, Products!A:E, 5, FALSE) * (1 - G3024))</f>
        <v>2673.09</v>
      </c>
      <c r="J3024" s="10"/>
    </row>
    <row r="3025" spans="1:10" ht="15.75" customHeight="1" x14ac:dyDescent="0.3">
      <c r="A3025" s="5" t="s">
        <v>3892</v>
      </c>
      <c r="B3025" s="11">
        <v>45484</v>
      </c>
      <c r="C3025" s="5" t="s">
        <v>802</v>
      </c>
      <c r="D3025" s="5" t="s">
        <v>232</v>
      </c>
      <c r="E3025" s="5" t="s">
        <v>21</v>
      </c>
      <c r="F3025" s="5">
        <v>2</v>
      </c>
      <c r="G3025" s="19">
        <v>0.15</v>
      </c>
      <c r="H3025" s="5" t="s">
        <v>697</v>
      </c>
      <c r="I3025" s="10">
        <f>IF(OR(D3025="", F3025=""), "", F3025 * VLOOKUP(D3025, Products!A:E, 5, FALSE) * (1 - G3025))</f>
        <v>3319.5050000000001</v>
      </c>
      <c r="J3025" s="10"/>
    </row>
    <row r="3026" spans="1:10" ht="15.75" customHeight="1" x14ac:dyDescent="0.3">
      <c r="A3026" s="5" t="s">
        <v>3893</v>
      </c>
      <c r="B3026" s="11">
        <v>45604</v>
      </c>
      <c r="C3026" s="5" t="s">
        <v>805</v>
      </c>
      <c r="D3026" s="5" t="s">
        <v>267</v>
      </c>
      <c r="E3026" s="5" t="s">
        <v>25</v>
      </c>
      <c r="F3026" s="5">
        <v>1</v>
      </c>
      <c r="G3026" s="19">
        <v>0</v>
      </c>
      <c r="H3026" s="5" t="s">
        <v>637</v>
      </c>
      <c r="I3026" s="10">
        <f>IF(OR(D3026="", F3026=""), "", F3026 * VLOOKUP(D3026, Products!A:E, 5, FALSE) * (1 - G3026))</f>
        <v>1286.55</v>
      </c>
      <c r="J3026" s="10"/>
    </row>
    <row r="3027" spans="1:10" ht="15.75" customHeight="1" x14ac:dyDescent="0.3">
      <c r="A3027" s="5" t="s">
        <v>3894</v>
      </c>
      <c r="B3027" s="11">
        <v>45580</v>
      </c>
      <c r="C3027" s="5" t="s">
        <v>296</v>
      </c>
      <c r="D3027" s="5" t="s">
        <v>128</v>
      </c>
      <c r="E3027" s="5" t="s">
        <v>21</v>
      </c>
      <c r="F3027" s="5">
        <v>3</v>
      </c>
      <c r="G3027" s="19">
        <v>0.05</v>
      </c>
      <c r="H3027" s="5" t="s">
        <v>637</v>
      </c>
      <c r="I3027" s="10">
        <f>IF(OR(D3027="", F3027=""), "", F3027 * VLOOKUP(D3027, Products!A:E, 5, FALSE) * (1 - G3027))</f>
        <v>923.17199999999991</v>
      </c>
      <c r="J3027" s="10"/>
    </row>
    <row r="3028" spans="1:10" ht="15.75" customHeight="1" x14ac:dyDescent="0.3">
      <c r="A3028" s="5" t="s">
        <v>3895</v>
      </c>
      <c r="B3028" s="11">
        <v>45468</v>
      </c>
      <c r="C3028" s="5" t="s">
        <v>458</v>
      </c>
      <c r="D3028" s="5" t="s">
        <v>162</v>
      </c>
      <c r="E3028" s="5" t="s">
        <v>25</v>
      </c>
      <c r="F3028" s="5">
        <v>5</v>
      </c>
      <c r="G3028" s="19">
        <v>0</v>
      </c>
      <c r="H3028" s="5" t="s">
        <v>697</v>
      </c>
      <c r="I3028" s="10">
        <f>IF(OR(D3028="", F3028=""), "", F3028 * VLOOKUP(D3028, Products!A:E, 5, FALSE) * (1 - G3028))</f>
        <v>2145.75</v>
      </c>
      <c r="J3028" s="10"/>
    </row>
    <row r="3029" spans="1:10" ht="15.75" customHeight="1" x14ac:dyDescent="0.3">
      <c r="A3029" s="5" t="s">
        <v>3896</v>
      </c>
      <c r="B3029" s="11">
        <v>45436</v>
      </c>
      <c r="C3029" s="5" t="s">
        <v>113</v>
      </c>
      <c r="D3029" s="5" t="s">
        <v>285</v>
      </c>
      <c r="E3029" s="5" t="s">
        <v>21</v>
      </c>
      <c r="F3029" s="5">
        <v>1</v>
      </c>
      <c r="G3029" s="19">
        <v>0.1</v>
      </c>
      <c r="H3029" s="5" t="s">
        <v>776</v>
      </c>
      <c r="I3029" s="10">
        <f>IF(OR(D3029="", F3029=""), "", F3029 * VLOOKUP(D3029, Products!A:E, 5, FALSE) * (1 - G3029))</f>
        <v>349.43400000000003</v>
      </c>
      <c r="J3029" s="10"/>
    </row>
    <row r="3030" spans="1:10" ht="15.75" customHeight="1" x14ac:dyDescent="0.3">
      <c r="A3030" s="5" t="s">
        <v>3897</v>
      </c>
      <c r="B3030" s="11">
        <v>45299</v>
      </c>
      <c r="C3030" s="5" t="s">
        <v>365</v>
      </c>
      <c r="D3030" s="5" t="s">
        <v>77</v>
      </c>
      <c r="E3030" s="5" t="s">
        <v>25</v>
      </c>
      <c r="F3030" s="5">
        <v>1</v>
      </c>
      <c r="G3030" s="19">
        <v>0</v>
      </c>
      <c r="H3030" s="5" t="s">
        <v>454</v>
      </c>
      <c r="I3030" s="10">
        <f>IF(OR(D3030="", F3030=""), "", F3030 * VLOOKUP(D3030, Products!A:E, 5, FALSE) * (1 - G3030))</f>
        <v>248.57</v>
      </c>
      <c r="J3030" s="10"/>
    </row>
    <row r="3031" spans="1:10" ht="15.75" customHeight="1" x14ac:dyDescent="0.3">
      <c r="A3031" s="5" t="s">
        <v>3898</v>
      </c>
      <c r="B3031" s="11">
        <v>45259</v>
      </c>
      <c r="C3031" s="5" t="s">
        <v>597</v>
      </c>
      <c r="D3031" s="5" t="s">
        <v>280</v>
      </c>
      <c r="E3031" s="5" t="s">
        <v>21</v>
      </c>
      <c r="F3031" s="5">
        <v>4</v>
      </c>
      <c r="G3031" s="19">
        <v>0.1</v>
      </c>
      <c r="H3031" s="5" t="s">
        <v>637</v>
      </c>
      <c r="I3031" s="10">
        <f>IF(OR(D3031="", F3031=""), "", F3031 * VLOOKUP(D3031, Products!A:E, 5, FALSE) * (1 - G3031))</f>
        <v>4378.8959999999997</v>
      </c>
      <c r="J3031" s="10"/>
    </row>
    <row r="3032" spans="1:10" ht="15.75" customHeight="1" x14ac:dyDescent="0.3">
      <c r="A3032" s="5" t="s">
        <v>3899</v>
      </c>
      <c r="B3032" s="11">
        <v>45384</v>
      </c>
      <c r="C3032" s="5" t="s">
        <v>81</v>
      </c>
      <c r="D3032" s="5" t="s">
        <v>153</v>
      </c>
      <c r="E3032" s="5" t="s">
        <v>37</v>
      </c>
      <c r="F3032" s="5">
        <v>3</v>
      </c>
      <c r="G3032" s="19">
        <v>0.1</v>
      </c>
      <c r="H3032" s="5" t="s">
        <v>637</v>
      </c>
      <c r="I3032" s="10">
        <f>IF(OR(D3032="", F3032=""), "", F3032 * VLOOKUP(D3032, Products!A:E, 5, FALSE) * (1 - G3032))</f>
        <v>4016.0070000000005</v>
      </c>
      <c r="J3032" s="10"/>
    </row>
    <row r="3033" spans="1:10" ht="15.75" customHeight="1" x14ac:dyDescent="0.3">
      <c r="A3033" s="5" t="s">
        <v>3900</v>
      </c>
      <c r="B3033" s="11">
        <v>45455</v>
      </c>
      <c r="C3033" s="5" t="s">
        <v>526</v>
      </c>
      <c r="D3033" s="5" t="s">
        <v>119</v>
      </c>
      <c r="E3033" s="5" t="s">
        <v>25</v>
      </c>
      <c r="F3033" s="5">
        <v>3</v>
      </c>
      <c r="G3033" s="19">
        <v>0.15</v>
      </c>
      <c r="H3033" s="5" t="s">
        <v>637</v>
      </c>
      <c r="I3033" s="10">
        <f>IF(OR(D3033="", F3033=""), "", F3033 * VLOOKUP(D3033, Products!A:E, 5, FALSE) * (1 - G3033))</f>
        <v>2753.7195000000002</v>
      </c>
      <c r="J3033" s="10"/>
    </row>
    <row r="3034" spans="1:10" ht="15.75" customHeight="1" x14ac:dyDescent="0.3">
      <c r="A3034" s="5" t="s">
        <v>3901</v>
      </c>
      <c r="B3034" s="11">
        <v>45841</v>
      </c>
      <c r="C3034" s="5" t="s">
        <v>755</v>
      </c>
      <c r="D3034" s="5" t="s">
        <v>249</v>
      </c>
      <c r="E3034" s="5" t="s">
        <v>37</v>
      </c>
      <c r="F3034" s="5">
        <v>5</v>
      </c>
      <c r="G3034" s="19">
        <v>0</v>
      </c>
      <c r="H3034" s="5" t="s">
        <v>637</v>
      </c>
      <c r="I3034" s="10">
        <f>IF(OR(D3034="", F3034=""), "", F3034 * VLOOKUP(D3034, Products!A:E, 5, FALSE) * (1 - G3034))</f>
        <v>8728.0499999999993</v>
      </c>
      <c r="J3034" s="10"/>
    </row>
    <row r="3035" spans="1:10" ht="15.75" customHeight="1" x14ac:dyDescent="0.3">
      <c r="A3035" s="5" t="s">
        <v>3902</v>
      </c>
      <c r="B3035" s="11">
        <v>45211</v>
      </c>
      <c r="C3035" s="5" t="s">
        <v>129</v>
      </c>
      <c r="D3035" s="5" t="s">
        <v>147</v>
      </c>
      <c r="E3035" s="5" t="s">
        <v>33</v>
      </c>
      <c r="F3035" s="5">
        <v>3</v>
      </c>
      <c r="G3035" s="19">
        <v>0.1</v>
      </c>
      <c r="H3035" s="5" t="s">
        <v>776</v>
      </c>
      <c r="I3035" s="10">
        <f>IF(OR(D3035="", F3035=""), "", F3035 * VLOOKUP(D3035, Products!A:E, 5, FALSE) * (1 - G3035))</f>
        <v>5071.8689999999997</v>
      </c>
      <c r="J3035" s="10"/>
    </row>
    <row r="3036" spans="1:10" ht="15.75" customHeight="1" x14ac:dyDescent="0.3">
      <c r="A3036" s="5" t="s">
        <v>3903</v>
      </c>
      <c r="B3036" s="11">
        <v>45672</v>
      </c>
      <c r="C3036" s="5" t="s">
        <v>412</v>
      </c>
      <c r="D3036" s="5" t="s">
        <v>188</v>
      </c>
      <c r="E3036" s="5" t="s">
        <v>33</v>
      </c>
      <c r="F3036" s="5">
        <v>4</v>
      </c>
      <c r="G3036" s="19">
        <v>0</v>
      </c>
      <c r="H3036" s="5" t="s">
        <v>637</v>
      </c>
      <c r="I3036" s="10">
        <f>IF(OR(D3036="", F3036=""), "", F3036 * VLOOKUP(D3036, Products!A:E, 5, FALSE) * (1 - G3036))</f>
        <v>5940.2</v>
      </c>
      <c r="J3036" s="10"/>
    </row>
    <row r="3037" spans="1:10" ht="15.75" customHeight="1" x14ac:dyDescent="0.3">
      <c r="A3037" s="5" t="s">
        <v>3904</v>
      </c>
      <c r="B3037" s="11">
        <v>45870</v>
      </c>
      <c r="C3037" s="5" t="s">
        <v>802</v>
      </c>
      <c r="D3037" s="5" t="s">
        <v>82</v>
      </c>
      <c r="E3037" s="5" t="s">
        <v>37</v>
      </c>
      <c r="F3037" s="5">
        <v>5</v>
      </c>
      <c r="G3037" s="19">
        <v>0.1</v>
      </c>
      <c r="H3037" s="5" t="s">
        <v>637</v>
      </c>
      <c r="I3037" s="10">
        <f>IF(OR(D3037="", F3037=""), "", F3037 * VLOOKUP(D3037, Products!A:E, 5, FALSE) * (1 - G3037))</f>
        <v>5368.9049999999997</v>
      </c>
      <c r="J3037" s="10"/>
    </row>
    <row r="3038" spans="1:10" ht="15.75" customHeight="1" x14ac:dyDescent="0.3">
      <c r="A3038" s="5" t="s">
        <v>3905</v>
      </c>
      <c r="B3038" s="11">
        <v>45245</v>
      </c>
      <c r="C3038" s="5" t="s">
        <v>113</v>
      </c>
      <c r="D3038" s="5" t="s">
        <v>269</v>
      </c>
      <c r="E3038" s="5" t="s">
        <v>33</v>
      </c>
      <c r="F3038" s="5">
        <v>1</v>
      </c>
      <c r="G3038" s="19">
        <v>0.15</v>
      </c>
      <c r="H3038" s="5" t="s">
        <v>776</v>
      </c>
      <c r="I3038" s="10">
        <f>IF(OR(D3038="", F3038=""), "", F3038 * VLOOKUP(D3038, Products!A:E, 5, FALSE) * (1 - G3038))</f>
        <v>1597.2179999999998</v>
      </c>
      <c r="J3038" s="10"/>
    </row>
    <row r="3039" spans="1:10" ht="15.75" customHeight="1" x14ac:dyDescent="0.3">
      <c r="A3039" s="5" t="s">
        <v>3906</v>
      </c>
      <c r="B3039" s="11">
        <v>45865</v>
      </c>
      <c r="C3039" s="5" t="s">
        <v>618</v>
      </c>
      <c r="D3039" s="5" t="s">
        <v>61</v>
      </c>
      <c r="E3039" s="5" t="s">
        <v>29</v>
      </c>
      <c r="F3039" s="5">
        <v>5</v>
      </c>
      <c r="G3039" s="19">
        <v>0</v>
      </c>
      <c r="H3039" s="5" t="s">
        <v>776</v>
      </c>
      <c r="I3039" s="10">
        <f>IF(OR(D3039="", F3039=""), "", F3039 * VLOOKUP(D3039, Products!A:E, 5, FALSE) * (1 - G3039))</f>
        <v>1590.25</v>
      </c>
      <c r="J3039" s="10"/>
    </row>
    <row r="3040" spans="1:10" ht="15.75" customHeight="1" x14ac:dyDescent="0.3">
      <c r="A3040" s="5" t="s">
        <v>3907</v>
      </c>
      <c r="B3040" s="11">
        <v>45554</v>
      </c>
      <c r="C3040" s="5" t="s">
        <v>401</v>
      </c>
      <c r="D3040" s="5" t="s">
        <v>65</v>
      </c>
      <c r="E3040" s="5" t="s">
        <v>21</v>
      </c>
      <c r="F3040" s="5">
        <v>4</v>
      </c>
      <c r="G3040" s="19">
        <v>0.15</v>
      </c>
      <c r="H3040" s="5" t="s">
        <v>454</v>
      </c>
      <c r="I3040" s="10">
        <f>IF(OR(D3040="", F3040=""), "", F3040 * VLOOKUP(D3040, Products!A:E, 5, FALSE) * (1 - G3040))</f>
        <v>5012.0079999999998</v>
      </c>
      <c r="J3040" s="10"/>
    </row>
    <row r="3041" spans="1:10" ht="15.75" customHeight="1" x14ac:dyDescent="0.3">
      <c r="A3041" s="5" t="s">
        <v>3908</v>
      </c>
      <c r="B3041" s="11">
        <v>45846</v>
      </c>
      <c r="C3041" s="5" t="s">
        <v>397</v>
      </c>
      <c r="D3041" s="5" t="s">
        <v>237</v>
      </c>
      <c r="E3041" s="5" t="s">
        <v>37</v>
      </c>
      <c r="F3041" s="5">
        <v>4</v>
      </c>
      <c r="G3041" s="19">
        <v>0</v>
      </c>
      <c r="H3041" s="5" t="s">
        <v>454</v>
      </c>
      <c r="I3041" s="10">
        <f>IF(OR(D3041="", F3041=""), "", F3041 * VLOOKUP(D3041, Products!A:E, 5, FALSE) * (1 - G3041))</f>
        <v>1467.72</v>
      </c>
      <c r="J3041" s="10"/>
    </row>
    <row r="3042" spans="1:10" ht="15.75" customHeight="1" x14ac:dyDescent="0.3">
      <c r="A3042" s="5" t="s">
        <v>3909</v>
      </c>
      <c r="B3042" s="11">
        <v>45595</v>
      </c>
      <c r="C3042" s="5" t="s">
        <v>466</v>
      </c>
      <c r="D3042" s="5" t="s">
        <v>103</v>
      </c>
      <c r="E3042" s="5" t="s">
        <v>37</v>
      </c>
      <c r="F3042" s="5">
        <v>4</v>
      </c>
      <c r="G3042" s="19">
        <v>0.05</v>
      </c>
      <c r="H3042" s="5" t="s">
        <v>637</v>
      </c>
      <c r="I3042" s="10">
        <f>IF(OR(D3042="", F3042=""), "", F3042 * VLOOKUP(D3042, Products!A:E, 5, FALSE) * (1 - G3042))</f>
        <v>1027.7099999999998</v>
      </c>
      <c r="J3042" s="10"/>
    </row>
    <row r="3043" spans="1:10" ht="15.75" customHeight="1" x14ac:dyDescent="0.3">
      <c r="A3043" s="5" t="s">
        <v>3910</v>
      </c>
      <c r="B3043" s="11">
        <v>45574</v>
      </c>
      <c r="C3043" s="5" t="s">
        <v>223</v>
      </c>
      <c r="D3043" s="5" t="s">
        <v>237</v>
      </c>
      <c r="E3043" s="5" t="s">
        <v>21</v>
      </c>
      <c r="F3043" s="5">
        <v>2</v>
      </c>
      <c r="G3043" s="19">
        <v>0</v>
      </c>
      <c r="H3043" s="5" t="s">
        <v>637</v>
      </c>
      <c r="I3043" s="10">
        <f>IF(OR(D3043="", F3043=""), "", F3043 * VLOOKUP(D3043, Products!A:E, 5, FALSE) * (1 - G3043))</f>
        <v>733.86</v>
      </c>
      <c r="J3043" s="10"/>
    </row>
    <row r="3044" spans="1:10" ht="15.75" customHeight="1" x14ac:dyDescent="0.3">
      <c r="A3044" s="5" t="s">
        <v>3911</v>
      </c>
      <c r="B3044" s="11">
        <v>45497</v>
      </c>
      <c r="C3044" s="5" t="s">
        <v>181</v>
      </c>
      <c r="D3044" s="5" t="s">
        <v>134</v>
      </c>
      <c r="E3044" s="5" t="s">
        <v>37</v>
      </c>
      <c r="F3044" s="5">
        <v>2</v>
      </c>
      <c r="G3044" s="19">
        <v>0.15</v>
      </c>
      <c r="H3044" s="5" t="s">
        <v>454</v>
      </c>
      <c r="I3044" s="10">
        <f>IF(OR(D3044="", F3044=""), "", F3044 * VLOOKUP(D3044, Products!A:E, 5, FALSE) * (1 - G3044))</f>
        <v>2086.308</v>
      </c>
      <c r="J3044" s="10"/>
    </row>
    <row r="3045" spans="1:10" ht="15.75" customHeight="1" x14ac:dyDescent="0.3">
      <c r="A3045" s="5" t="s">
        <v>3912</v>
      </c>
      <c r="B3045" s="11">
        <v>45436</v>
      </c>
      <c r="C3045" s="5" t="s">
        <v>808</v>
      </c>
      <c r="D3045" s="5" t="s">
        <v>50</v>
      </c>
      <c r="E3045" s="5" t="s">
        <v>37</v>
      </c>
      <c r="F3045" s="5">
        <v>4</v>
      </c>
      <c r="G3045" s="19">
        <v>0</v>
      </c>
      <c r="H3045" s="5" t="s">
        <v>454</v>
      </c>
      <c r="I3045" s="10">
        <f>IF(OR(D3045="", F3045=""), "", F3045 * VLOOKUP(D3045, Products!A:E, 5, FALSE) * (1 - G3045))</f>
        <v>1350.52</v>
      </c>
      <c r="J3045" s="10"/>
    </row>
    <row r="3046" spans="1:10" ht="15.75" customHeight="1" x14ac:dyDescent="0.3">
      <c r="A3046" s="5" t="s">
        <v>3913</v>
      </c>
      <c r="B3046" s="11">
        <v>45849</v>
      </c>
      <c r="C3046" s="5" t="s">
        <v>715</v>
      </c>
      <c r="D3046" s="5" t="s">
        <v>249</v>
      </c>
      <c r="E3046" s="5" t="s">
        <v>21</v>
      </c>
      <c r="F3046" s="5">
        <v>5</v>
      </c>
      <c r="G3046" s="19">
        <v>0.15</v>
      </c>
      <c r="H3046" s="5" t="s">
        <v>697</v>
      </c>
      <c r="I3046" s="10">
        <f>IF(OR(D3046="", F3046=""), "", F3046 * VLOOKUP(D3046, Products!A:E, 5, FALSE) * (1 - G3046))</f>
        <v>7418.8424999999988</v>
      </c>
      <c r="J3046" s="10"/>
    </row>
    <row r="3047" spans="1:10" ht="15.75" customHeight="1" x14ac:dyDescent="0.3">
      <c r="A3047" s="5" t="s">
        <v>3914</v>
      </c>
      <c r="B3047" s="11">
        <v>45551</v>
      </c>
      <c r="C3047" s="5" t="s">
        <v>597</v>
      </c>
      <c r="D3047" s="5" t="s">
        <v>272</v>
      </c>
      <c r="E3047" s="5" t="s">
        <v>29</v>
      </c>
      <c r="F3047" s="5">
        <v>2</v>
      </c>
      <c r="G3047" s="19">
        <v>0</v>
      </c>
      <c r="H3047" s="5" t="s">
        <v>454</v>
      </c>
      <c r="I3047" s="10">
        <f>IF(OR(D3047="", F3047=""), "", F3047 * VLOOKUP(D3047, Products!A:E, 5, FALSE) * (1 - G3047))</f>
        <v>2330.7399999999998</v>
      </c>
      <c r="J3047" s="10"/>
    </row>
    <row r="3048" spans="1:10" ht="15.75" customHeight="1" x14ac:dyDescent="0.3">
      <c r="A3048" s="5" t="s">
        <v>3915</v>
      </c>
      <c r="B3048" s="11">
        <v>45672</v>
      </c>
      <c r="C3048" s="5" t="s">
        <v>727</v>
      </c>
      <c r="D3048" s="5" t="s">
        <v>89</v>
      </c>
      <c r="E3048" s="5" t="s">
        <v>29</v>
      </c>
      <c r="F3048" s="5">
        <v>4</v>
      </c>
      <c r="G3048" s="19">
        <v>0</v>
      </c>
      <c r="H3048" s="5" t="s">
        <v>697</v>
      </c>
      <c r="I3048" s="10">
        <f>IF(OR(D3048="", F3048=""), "", F3048 * VLOOKUP(D3048, Products!A:E, 5, FALSE) * (1 - G3048))</f>
        <v>4539.2</v>
      </c>
      <c r="J3048" s="10"/>
    </row>
    <row r="3049" spans="1:10" ht="15.75" customHeight="1" x14ac:dyDescent="0.3">
      <c r="A3049" s="5" t="s">
        <v>3916</v>
      </c>
      <c r="B3049" s="11">
        <v>45216</v>
      </c>
      <c r="C3049" s="5" t="s">
        <v>191</v>
      </c>
      <c r="D3049" s="5" t="s">
        <v>47</v>
      </c>
      <c r="E3049" s="5" t="s">
        <v>25</v>
      </c>
      <c r="F3049" s="5">
        <v>4</v>
      </c>
      <c r="G3049" s="19">
        <v>0.15</v>
      </c>
      <c r="H3049" s="5" t="s">
        <v>697</v>
      </c>
      <c r="I3049" s="10">
        <f>IF(OR(D3049="", F3049=""), "", F3049 * VLOOKUP(D3049, Products!A:E, 5, FALSE) * (1 - G3049))</f>
        <v>2783.7840000000001</v>
      </c>
      <c r="J3049" s="10"/>
    </row>
    <row r="3050" spans="1:10" ht="15.75" customHeight="1" x14ac:dyDescent="0.3">
      <c r="A3050" s="5" t="s">
        <v>3917</v>
      </c>
      <c r="B3050" s="11">
        <v>45826</v>
      </c>
      <c r="C3050" s="5" t="s">
        <v>69</v>
      </c>
      <c r="D3050" s="5" t="s">
        <v>61</v>
      </c>
      <c r="E3050" s="5" t="s">
        <v>33</v>
      </c>
      <c r="F3050" s="5">
        <v>2</v>
      </c>
      <c r="G3050" s="19">
        <v>0.15</v>
      </c>
      <c r="H3050" s="5" t="s">
        <v>776</v>
      </c>
      <c r="I3050" s="10">
        <f>IF(OR(D3050="", F3050=""), "", F3050 * VLOOKUP(D3050, Products!A:E, 5, FALSE) * (1 - G3050))</f>
        <v>540.68500000000006</v>
      </c>
      <c r="J3050" s="10"/>
    </row>
    <row r="3051" spans="1:10" ht="15.75" customHeight="1" x14ac:dyDescent="0.3">
      <c r="A3051" s="5" t="s">
        <v>3918</v>
      </c>
      <c r="B3051" s="11">
        <v>45317</v>
      </c>
      <c r="C3051" s="5" t="s">
        <v>458</v>
      </c>
      <c r="D3051" s="5" t="s">
        <v>162</v>
      </c>
      <c r="E3051" s="5" t="s">
        <v>25</v>
      </c>
      <c r="F3051" s="5">
        <v>2</v>
      </c>
      <c r="G3051" s="19">
        <v>0.1</v>
      </c>
      <c r="H3051" s="5" t="s">
        <v>637</v>
      </c>
      <c r="I3051" s="10">
        <f>IF(OR(D3051="", F3051=""), "", F3051 * VLOOKUP(D3051, Products!A:E, 5, FALSE) * (1 - G3051))</f>
        <v>772.47</v>
      </c>
      <c r="J3051" s="10"/>
    </row>
    <row r="3052" spans="1:10" ht="15.75" customHeight="1" x14ac:dyDescent="0.3">
      <c r="A3052" s="5" t="s">
        <v>3919</v>
      </c>
      <c r="B3052" s="11">
        <v>45221</v>
      </c>
      <c r="C3052" s="5" t="s">
        <v>387</v>
      </c>
      <c r="D3052" s="5" t="s">
        <v>140</v>
      </c>
      <c r="E3052" s="5" t="s">
        <v>33</v>
      </c>
      <c r="F3052" s="5">
        <v>1</v>
      </c>
      <c r="G3052" s="19">
        <v>0</v>
      </c>
      <c r="H3052" s="5" t="s">
        <v>697</v>
      </c>
      <c r="I3052" s="10">
        <f>IF(OR(D3052="", F3052=""), "", F3052 * VLOOKUP(D3052, Products!A:E, 5, FALSE) * (1 - G3052))</f>
        <v>25.57</v>
      </c>
      <c r="J3052" s="10"/>
    </row>
    <row r="3053" spans="1:10" ht="15.75" customHeight="1" x14ac:dyDescent="0.3">
      <c r="A3053" s="5" t="s">
        <v>3920</v>
      </c>
      <c r="B3053" s="11">
        <v>45234</v>
      </c>
      <c r="C3053" s="5" t="s">
        <v>292</v>
      </c>
      <c r="D3053" s="5" t="s">
        <v>122</v>
      </c>
      <c r="E3053" s="5" t="s">
        <v>25</v>
      </c>
      <c r="F3053" s="5">
        <v>5</v>
      </c>
      <c r="G3053" s="19">
        <v>0</v>
      </c>
      <c r="H3053" s="5" t="s">
        <v>637</v>
      </c>
      <c r="I3053" s="10">
        <f>IF(OR(D3053="", F3053=""), "", F3053 * VLOOKUP(D3053, Products!A:E, 5, FALSE) * (1 - G3053))</f>
        <v>8814.6</v>
      </c>
      <c r="J3053" s="10"/>
    </row>
    <row r="3054" spans="1:10" ht="15.75" customHeight="1" x14ac:dyDescent="0.3">
      <c r="A3054" s="5" t="s">
        <v>3921</v>
      </c>
      <c r="B3054" s="11">
        <v>45502</v>
      </c>
      <c r="C3054" s="5" t="s">
        <v>638</v>
      </c>
      <c r="D3054" s="5" t="s">
        <v>128</v>
      </c>
      <c r="E3054" s="5" t="s">
        <v>29</v>
      </c>
      <c r="F3054" s="5">
        <v>4</v>
      </c>
      <c r="G3054" s="19">
        <v>0</v>
      </c>
      <c r="H3054" s="5" t="s">
        <v>454</v>
      </c>
      <c r="I3054" s="10">
        <f>IF(OR(D3054="", F3054=""), "", F3054 * VLOOKUP(D3054, Products!A:E, 5, FALSE) * (1 - G3054))</f>
        <v>1295.68</v>
      </c>
      <c r="J3054" s="10"/>
    </row>
    <row r="3055" spans="1:10" ht="15.75" customHeight="1" x14ac:dyDescent="0.3">
      <c r="A3055" s="5" t="s">
        <v>3922</v>
      </c>
      <c r="B3055" s="11">
        <v>45568</v>
      </c>
      <c r="C3055" s="5" t="s">
        <v>755</v>
      </c>
      <c r="D3055" s="5" t="s">
        <v>175</v>
      </c>
      <c r="E3055" s="5" t="s">
        <v>37</v>
      </c>
      <c r="F3055" s="5">
        <v>1</v>
      </c>
      <c r="G3055" s="19">
        <v>0.15</v>
      </c>
      <c r="H3055" s="5" t="s">
        <v>637</v>
      </c>
      <c r="I3055" s="10">
        <f>IF(OR(D3055="", F3055=""), "", F3055 * VLOOKUP(D3055, Products!A:E, 5, FALSE) * (1 - G3055))</f>
        <v>1081.3955000000001</v>
      </c>
      <c r="J3055" s="10"/>
    </row>
    <row r="3056" spans="1:10" ht="15.75" customHeight="1" x14ac:dyDescent="0.3">
      <c r="A3056" s="5" t="s">
        <v>3923</v>
      </c>
      <c r="B3056" s="11">
        <v>45772</v>
      </c>
      <c r="C3056" s="5" t="s">
        <v>129</v>
      </c>
      <c r="D3056" s="5" t="s">
        <v>232</v>
      </c>
      <c r="E3056" s="5" t="s">
        <v>29</v>
      </c>
      <c r="F3056" s="5">
        <v>4</v>
      </c>
      <c r="G3056" s="19">
        <v>0.15</v>
      </c>
      <c r="H3056" s="5" t="s">
        <v>776</v>
      </c>
      <c r="I3056" s="10">
        <f>IF(OR(D3056="", F3056=""), "", F3056 * VLOOKUP(D3056, Products!A:E, 5, FALSE) * (1 - G3056))</f>
        <v>6639.01</v>
      </c>
      <c r="J3056" s="10"/>
    </row>
    <row r="3057" spans="1:10" ht="15.75" customHeight="1" x14ac:dyDescent="0.3">
      <c r="A3057" s="5" t="s">
        <v>3924</v>
      </c>
      <c r="B3057" s="11">
        <v>45484</v>
      </c>
      <c r="C3057" s="5" t="s">
        <v>177</v>
      </c>
      <c r="D3057" s="5" t="s">
        <v>217</v>
      </c>
      <c r="E3057" s="5" t="s">
        <v>21</v>
      </c>
      <c r="F3057" s="5">
        <v>3</v>
      </c>
      <c r="G3057" s="19">
        <v>0.1</v>
      </c>
      <c r="H3057" s="5" t="s">
        <v>637</v>
      </c>
      <c r="I3057" s="10">
        <f>IF(OR(D3057="", F3057=""), "", F3057 * VLOOKUP(D3057, Products!A:E, 5, FALSE) * (1 - G3057))</f>
        <v>1155.7350000000001</v>
      </c>
      <c r="J3057" s="10"/>
    </row>
    <row r="3058" spans="1:10" ht="15.75" customHeight="1" x14ac:dyDescent="0.3">
      <c r="A3058" s="5" t="s">
        <v>3925</v>
      </c>
      <c r="B3058" s="11">
        <v>45188</v>
      </c>
      <c r="C3058" s="5" t="s">
        <v>550</v>
      </c>
      <c r="D3058" s="5" t="s">
        <v>134</v>
      </c>
      <c r="E3058" s="5" t="s">
        <v>37</v>
      </c>
      <c r="F3058" s="5">
        <v>2</v>
      </c>
      <c r="G3058" s="19">
        <v>0.05</v>
      </c>
      <c r="H3058" s="5" t="s">
        <v>776</v>
      </c>
      <c r="I3058" s="10">
        <f>IF(OR(D3058="", F3058=""), "", F3058 * VLOOKUP(D3058, Products!A:E, 5, FALSE) * (1 - G3058))</f>
        <v>2331.7559999999999</v>
      </c>
      <c r="J3058" s="10"/>
    </row>
    <row r="3059" spans="1:10" ht="15.75" customHeight="1" x14ac:dyDescent="0.3">
      <c r="A3059" s="5" t="s">
        <v>3926</v>
      </c>
      <c r="B3059" s="11">
        <v>45276</v>
      </c>
      <c r="C3059" s="5" t="s">
        <v>113</v>
      </c>
      <c r="D3059" s="5" t="s">
        <v>226</v>
      </c>
      <c r="E3059" s="5" t="s">
        <v>25</v>
      </c>
      <c r="F3059" s="5">
        <v>1</v>
      </c>
      <c r="G3059" s="19">
        <v>0.05</v>
      </c>
      <c r="H3059" s="5" t="s">
        <v>697</v>
      </c>
      <c r="I3059" s="10">
        <f>IF(OR(D3059="", F3059=""), "", F3059 * VLOOKUP(D3059, Products!A:E, 5, FALSE) * (1 - G3059))</f>
        <v>1426.3869999999999</v>
      </c>
      <c r="J3059" s="10"/>
    </row>
    <row r="3060" spans="1:10" ht="15.75" customHeight="1" x14ac:dyDescent="0.3">
      <c r="A3060" s="5" t="s">
        <v>3927</v>
      </c>
      <c r="B3060" s="11">
        <v>45372</v>
      </c>
      <c r="C3060" s="5" t="s">
        <v>593</v>
      </c>
      <c r="D3060" s="5" t="s">
        <v>122</v>
      </c>
      <c r="E3060" s="5" t="s">
        <v>37</v>
      </c>
      <c r="F3060" s="5">
        <v>3</v>
      </c>
      <c r="G3060" s="19">
        <v>0.1</v>
      </c>
      <c r="H3060" s="5" t="s">
        <v>637</v>
      </c>
      <c r="I3060" s="10">
        <f>IF(OR(D3060="", F3060=""), "", F3060 * VLOOKUP(D3060, Products!A:E, 5, FALSE) * (1 - G3060))</f>
        <v>4759.884</v>
      </c>
      <c r="J3060" s="10"/>
    </row>
    <row r="3061" spans="1:10" ht="15.75" customHeight="1" x14ac:dyDescent="0.3">
      <c r="A3061" s="5" t="s">
        <v>3928</v>
      </c>
      <c r="B3061" s="11">
        <v>45515</v>
      </c>
      <c r="C3061" s="5" t="s">
        <v>181</v>
      </c>
      <c r="D3061" s="5" t="s">
        <v>200</v>
      </c>
      <c r="E3061" s="5" t="s">
        <v>25</v>
      </c>
      <c r="F3061" s="5">
        <v>5</v>
      </c>
      <c r="G3061" s="19">
        <v>0.15</v>
      </c>
      <c r="H3061" s="5" t="s">
        <v>776</v>
      </c>
      <c r="I3061" s="10">
        <f>IF(OR(D3061="", F3061=""), "", F3061 * VLOOKUP(D3061, Products!A:E, 5, FALSE) * (1 - G3061))</f>
        <v>4656.8100000000004</v>
      </c>
      <c r="J3061" s="10"/>
    </row>
    <row r="3062" spans="1:10" ht="15.75" customHeight="1" x14ac:dyDescent="0.3">
      <c r="A3062" s="5" t="s">
        <v>3929</v>
      </c>
      <c r="B3062" s="11">
        <v>45292</v>
      </c>
      <c r="C3062" s="5" t="s">
        <v>695</v>
      </c>
      <c r="D3062" s="5" t="s">
        <v>237</v>
      </c>
      <c r="E3062" s="5" t="s">
        <v>21</v>
      </c>
      <c r="F3062" s="5">
        <v>2</v>
      </c>
      <c r="G3062" s="19">
        <v>0.05</v>
      </c>
      <c r="H3062" s="5" t="s">
        <v>697</v>
      </c>
      <c r="I3062" s="10">
        <f>IF(OR(D3062="", F3062=""), "", F3062 * VLOOKUP(D3062, Products!A:E, 5, FALSE) * (1 - G3062))</f>
        <v>697.16700000000003</v>
      </c>
      <c r="J3062" s="10"/>
    </row>
    <row r="3063" spans="1:10" ht="15.75" customHeight="1" x14ac:dyDescent="0.3">
      <c r="A3063" s="5" t="s">
        <v>3930</v>
      </c>
      <c r="B3063" s="11">
        <v>45857</v>
      </c>
      <c r="C3063" s="5" t="s">
        <v>455</v>
      </c>
      <c r="D3063" s="5" t="s">
        <v>285</v>
      </c>
      <c r="E3063" s="5" t="s">
        <v>25</v>
      </c>
      <c r="F3063" s="5">
        <v>4</v>
      </c>
      <c r="G3063" s="19">
        <v>0</v>
      </c>
      <c r="H3063" s="5" t="s">
        <v>454</v>
      </c>
      <c r="I3063" s="10">
        <f>IF(OR(D3063="", F3063=""), "", F3063 * VLOOKUP(D3063, Products!A:E, 5, FALSE) * (1 - G3063))</f>
        <v>1553.04</v>
      </c>
      <c r="J3063" s="10"/>
    </row>
    <row r="3064" spans="1:10" ht="15.75" customHeight="1" x14ac:dyDescent="0.3">
      <c r="A3064" s="5" t="s">
        <v>3931</v>
      </c>
      <c r="B3064" s="11">
        <v>45219</v>
      </c>
      <c r="C3064" s="5" t="s">
        <v>171</v>
      </c>
      <c r="D3064" s="5" t="s">
        <v>47</v>
      </c>
      <c r="E3064" s="5" t="s">
        <v>37</v>
      </c>
      <c r="F3064" s="5">
        <v>1</v>
      </c>
      <c r="G3064" s="19">
        <v>0</v>
      </c>
      <c r="H3064" s="5" t="s">
        <v>454</v>
      </c>
      <c r="I3064" s="10">
        <f>IF(OR(D3064="", F3064=""), "", F3064 * VLOOKUP(D3064, Products!A:E, 5, FALSE) * (1 - G3064))</f>
        <v>818.76</v>
      </c>
      <c r="J3064" s="10"/>
    </row>
    <row r="3065" spans="1:10" ht="15.75" customHeight="1" x14ac:dyDescent="0.3">
      <c r="A3065" s="5" t="s">
        <v>3932</v>
      </c>
      <c r="B3065" s="11">
        <v>45400</v>
      </c>
      <c r="C3065" s="5" t="s">
        <v>715</v>
      </c>
      <c r="D3065" s="5" t="s">
        <v>243</v>
      </c>
      <c r="E3065" s="5" t="s">
        <v>37</v>
      </c>
      <c r="F3065" s="5">
        <v>1</v>
      </c>
      <c r="G3065" s="19">
        <v>0.1</v>
      </c>
      <c r="H3065" s="5" t="s">
        <v>697</v>
      </c>
      <c r="I3065" s="10">
        <f>IF(OR(D3065="", F3065=""), "", F3065 * VLOOKUP(D3065, Products!A:E, 5, FALSE) * (1 - G3065))</f>
        <v>486.84600000000006</v>
      </c>
      <c r="J3065" s="10"/>
    </row>
    <row r="3066" spans="1:10" ht="15.75" customHeight="1" x14ac:dyDescent="0.3">
      <c r="A3066" s="5" t="s">
        <v>3933</v>
      </c>
      <c r="B3066" s="11">
        <v>45415</v>
      </c>
      <c r="C3066" s="5" t="s">
        <v>474</v>
      </c>
      <c r="D3066" s="5" t="s">
        <v>134</v>
      </c>
      <c r="E3066" s="5" t="s">
        <v>25</v>
      </c>
      <c r="F3066" s="5">
        <v>4</v>
      </c>
      <c r="G3066" s="19">
        <v>0.05</v>
      </c>
      <c r="H3066" s="5" t="s">
        <v>697</v>
      </c>
      <c r="I3066" s="10">
        <f>IF(OR(D3066="", F3066=""), "", F3066 * VLOOKUP(D3066, Products!A:E, 5, FALSE) * (1 - G3066))</f>
        <v>4663.5119999999997</v>
      </c>
      <c r="J3066" s="10"/>
    </row>
    <row r="3067" spans="1:10" ht="15.75" customHeight="1" x14ac:dyDescent="0.3">
      <c r="A3067" s="5" t="s">
        <v>3934</v>
      </c>
      <c r="B3067" s="11">
        <v>45634</v>
      </c>
      <c r="C3067" s="5" t="s">
        <v>779</v>
      </c>
      <c r="D3067" s="5" t="s">
        <v>134</v>
      </c>
      <c r="E3067" s="5" t="s">
        <v>33</v>
      </c>
      <c r="F3067" s="5">
        <v>4</v>
      </c>
      <c r="G3067" s="19">
        <v>0.15</v>
      </c>
      <c r="H3067" s="5" t="s">
        <v>697</v>
      </c>
      <c r="I3067" s="10">
        <f>IF(OR(D3067="", F3067=""), "", F3067 * VLOOKUP(D3067, Products!A:E, 5, FALSE) * (1 - G3067))</f>
        <v>4172.616</v>
      </c>
      <c r="J3067" s="10"/>
    </row>
    <row r="3068" spans="1:10" ht="15.75" customHeight="1" x14ac:dyDescent="0.3">
      <c r="A3068" s="5" t="s">
        <v>3935</v>
      </c>
      <c r="B3068" s="11">
        <v>45738</v>
      </c>
      <c r="C3068" s="5" t="s">
        <v>229</v>
      </c>
      <c r="D3068" s="5" t="s">
        <v>119</v>
      </c>
      <c r="E3068" s="5" t="s">
        <v>25</v>
      </c>
      <c r="F3068" s="5">
        <v>4</v>
      </c>
      <c r="G3068" s="19">
        <v>0</v>
      </c>
      <c r="H3068" s="5" t="s">
        <v>697</v>
      </c>
      <c r="I3068" s="10">
        <f>IF(OR(D3068="", F3068=""), "", F3068 * VLOOKUP(D3068, Products!A:E, 5, FALSE) * (1 - G3068))</f>
        <v>4319.5600000000004</v>
      </c>
      <c r="J3068" s="10"/>
    </row>
    <row r="3069" spans="1:10" ht="15.75" customHeight="1" x14ac:dyDescent="0.3">
      <c r="A3069" s="5" t="s">
        <v>3936</v>
      </c>
      <c r="B3069" s="11">
        <v>45775</v>
      </c>
      <c r="C3069" s="5" t="s">
        <v>602</v>
      </c>
      <c r="D3069" s="5" t="s">
        <v>47</v>
      </c>
      <c r="E3069" s="5" t="s">
        <v>25</v>
      </c>
      <c r="F3069" s="5">
        <v>5</v>
      </c>
      <c r="G3069" s="19">
        <v>0.05</v>
      </c>
      <c r="H3069" s="5" t="s">
        <v>776</v>
      </c>
      <c r="I3069" s="10">
        <f>IF(OR(D3069="", F3069=""), "", F3069 * VLOOKUP(D3069, Products!A:E, 5, FALSE) * (1 - G3069))</f>
        <v>3889.11</v>
      </c>
      <c r="J3069" s="10"/>
    </row>
    <row r="3070" spans="1:10" ht="15.75" customHeight="1" x14ac:dyDescent="0.3">
      <c r="A3070" s="5" t="s">
        <v>3937</v>
      </c>
      <c r="B3070" s="11">
        <v>45555</v>
      </c>
      <c r="C3070" s="5" t="s">
        <v>620</v>
      </c>
      <c r="D3070" s="5" t="s">
        <v>109</v>
      </c>
      <c r="E3070" s="5" t="s">
        <v>37</v>
      </c>
      <c r="F3070" s="5">
        <v>1</v>
      </c>
      <c r="G3070" s="19">
        <v>0.05</v>
      </c>
      <c r="H3070" s="5" t="s">
        <v>697</v>
      </c>
      <c r="I3070" s="10">
        <f>IF(OR(D3070="", F3070=""), "", F3070 * VLOOKUP(D3070, Products!A:E, 5, FALSE) * (1 - G3070))</f>
        <v>1765.8125</v>
      </c>
      <c r="J3070" s="10"/>
    </row>
    <row r="3071" spans="1:10" ht="15.75" customHeight="1" x14ac:dyDescent="0.3">
      <c r="A3071" s="5" t="s">
        <v>3938</v>
      </c>
      <c r="B3071" s="11">
        <v>45613</v>
      </c>
      <c r="C3071" s="5" t="s">
        <v>750</v>
      </c>
      <c r="D3071" s="5" t="s">
        <v>243</v>
      </c>
      <c r="E3071" s="5" t="s">
        <v>33</v>
      </c>
      <c r="F3071" s="5">
        <v>3</v>
      </c>
      <c r="G3071" s="19">
        <v>0.05</v>
      </c>
      <c r="H3071" s="5" t="s">
        <v>454</v>
      </c>
      <c r="I3071" s="10">
        <f>IF(OR(D3071="", F3071=""), "", F3071 * VLOOKUP(D3071, Products!A:E, 5, FALSE) * (1 - G3071))</f>
        <v>1541.6790000000001</v>
      </c>
      <c r="J3071" s="10"/>
    </row>
    <row r="3072" spans="1:10" ht="15.75" customHeight="1" x14ac:dyDescent="0.3">
      <c r="A3072" s="5" t="s">
        <v>3939</v>
      </c>
      <c r="B3072" s="11">
        <v>45183</v>
      </c>
      <c r="C3072" s="5" t="s">
        <v>557</v>
      </c>
      <c r="D3072" s="5" t="s">
        <v>89</v>
      </c>
      <c r="E3072" s="5" t="s">
        <v>21</v>
      </c>
      <c r="F3072" s="5">
        <v>4</v>
      </c>
      <c r="G3072" s="19">
        <v>0</v>
      </c>
      <c r="H3072" s="5" t="s">
        <v>454</v>
      </c>
      <c r="I3072" s="10">
        <f>IF(OR(D3072="", F3072=""), "", F3072 * VLOOKUP(D3072, Products!A:E, 5, FALSE) * (1 - G3072))</f>
        <v>4539.2</v>
      </c>
      <c r="J3072" s="10"/>
    </row>
    <row r="3073" spans="1:10" ht="15.75" customHeight="1" x14ac:dyDescent="0.3">
      <c r="A3073" s="5" t="s">
        <v>3940</v>
      </c>
      <c r="B3073" s="11">
        <v>45564</v>
      </c>
      <c r="C3073" s="5" t="s">
        <v>878</v>
      </c>
      <c r="D3073" s="5" t="s">
        <v>119</v>
      </c>
      <c r="E3073" s="5" t="s">
        <v>33</v>
      </c>
      <c r="F3073" s="5">
        <v>1</v>
      </c>
      <c r="G3073" s="19">
        <v>0.05</v>
      </c>
      <c r="H3073" s="5" t="s">
        <v>454</v>
      </c>
      <c r="I3073" s="10">
        <f>IF(OR(D3073="", F3073=""), "", F3073 * VLOOKUP(D3073, Products!A:E, 5, FALSE) * (1 - G3073))</f>
        <v>1025.8955000000001</v>
      </c>
      <c r="J3073" s="10"/>
    </row>
    <row r="3074" spans="1:10" ht="15.75" customHeight="1" x14ac:dyDescent="0.3">
      <c r="A3074" s="5" t="s">
        <v>3941</v>
      </c>
      <c r="B3074" s="11">
        <v>45702</v>
      </c>
      <c r="C3074" s="5" t="s">
        <v>543</v>
      </c>
      <c r="D3074" s="5" t="s">
        <v>291</v>
      </c>
      <c r="E3074" s="5" t="s">
        <v>33</v>
      </c>
      <c r="F3074" s="5">
        <v>5</v>
      </c>
      <c r="G3074" s="19">
        <v>0.05</v>
      </c>
      <c r="H3074" s="5" t="s">
        <v>697</v>
      </c>
      <c r="I3074" s="10">
        <f>IF(OR(D3074="", F3074=""), "", F3074 * VLOOKUP(D3074, Products!A:E, 5, FALSE) * (1 - G3074))</f>
        <v>4962.0400000000009</v>
      </c>
      <c r="J3074" s="10"/>
    </row>
    <row r="3075" spans="1:10" ht="15.75" customHeight="1" x14ac:dyDescent="0.3">
      <c r="A3075" s="5" t="s">
        <v>3942</v>
      </c>
      <c r="B3075" s="11">
        <v>45838</v>
      </c>
      <c r="C3075" s="5" t="s">
        <v>620</v>
      </c>
      <c r="D3075" s="5" t="s">
        <v>57</v>
      </c>
      <c r="E3075" s="5" t="s">
        <v>37</v>
      </c>
      <c r="F3075" s="5">
        <v>5</v>
      </c>
      <c r="G3075" s="19">
        <v>0.15</v>
      </c>
      <c r="H3075" s="5" t="s">
        <v>697</v>
      </c>
      <c r="I3075" s="10">
        <f>IF(OR(D3075="", F3075=""), "", F3075 * VLOOKUP(D3075, Products!A:E, 5, FALSE) * (1 - G3075))</f>
        <v>5933.9350000000004</v>
      </c>
      <c r="J3075" s="10"/>
    </row>
    <row r="3076" spans="1:10" ht="15.75" customHeight="1" x14ac:dyDescent="0.3">
      <c r="A3076" s="5" t="s">
        <v>3943</v>
      </c>
      <c r="B3076" s="11">
        <v>45291</v>
      </c>
      <c r="C3076" s="5" t="s">
        <v>397</v>
      </c>
      <c r="D3076" s="5" t="s">
        <v>249</v>
      </c>
      <c r="E3076" s="5" t="s">
        <v>37</v>
      </c>
      <c r="F3076" s="5">
        <v>5</v>
      </c>
      <c r="G3076" s="19">
        <v>0.1</v>
      </c>
      <c r="H3076" s="5" t="s">
        <v>637</v>
      </c>
      <c r="I3076" s="10">
        <f>IF(OR(D3076="", F3076=""), "", F3076 * VLOOKUP(D3076, Products!A:E, 5, FALSE) * (1 - G3076))</f>
        <v>7855.2449999999999</v>
      </c>
      <c r="J3076" s="10"/>
    </row>
    <row r="3077" spans="1:10" ht="15.75" customHeight="1" x14ac:dyDescent="0.3">
      <c r="A3077" s="5" t="s">
        <v>3944</v>
      </c>
      <c r="B3077" s="11">
        <v>45587</v>
      </c>
      <c r="C3077" s="5" t="s">
        <v>872</v>
      </c>
      <c r="D3077" s="5" t="s">
        <v>226</v>
      </c>
      <c r="E3077" s="5" t="s">
        <v>21</v>
      </c>
      <c r="F3077" s="5">
        <v>4</v>
      </c>
      <c r="G3077" s="19">
        <v>0</v>
      </c>
      <c r="H3077" s="5" t="s">
        <v>637</v>
      </c>
      <c r="I3077" s="10">
        <f>IF(OR(D3077="", F3077=""), "", F3077 * VLOOKUP(D3077, Products!A:E, 5, FALSE) * (1 - G3077))</f>
        <v>6005.84</v>
      </c>
      <c r="J3077" s="10"/>
    </row>
    <row r="3078" spans="1:10" ht="15.75" customHeight="1" x14ac:dyDescent="0.3">
      <c r="A3078" s="5" t="s">
        <v>3945</v>
      </c>
      <c r="B3078" s="11">
        <v>45582</v>
      </c>
      <c r="C3078" s="5" t="s">
        <v>177</v>
      </c>
      <c r="D3078" s="5" t="s">
        <v>115</v>
      </c>
      <c r="E3078" s="5" t="s">
        <v>37</v>
      </c>
      <c r="F3078" s="5">
        <v>1</v>
      </c>
      <c r="G3078" s="19">
        <v>0.05</v>
      </c>
      <c r="H3078" s="5" t="s">
        <v>776</v>
      </c>
      <c r="I3078" s="10">
        <f>IF(OR(D3078="", F3078=""), "", F3078 * VLOOKUP(D3078, Products!A:E, 5, FALSE) * (1 - G3078))</f>
        <v>1183.8045</v>
      </c>
      <c r="J3078" s="10"/>
    </row>
    <row r="3079" spans="1:10" ht="15.75" customHeight="1" x14ac:dyDescent="0.3">
      <c r="A3079" s="5" t="s">
        <v>3946</v>
      </c>
      <c r="B3079" s="11">
        <v>45350</v>
      </c>
      <c r="C3079" s="5" t="s">
        <v>522</v>
      </c>
      <c r="D3079" s="5" t="s">
        <v>188</v>
      </c>
      <c r="E3079" s="5" t="s">
        <v>29</v>
      </c>
      <c r="F3079" s="5">
        <v>4</v>
      </c>
      <c r="G3079" s="19">
        <v>0.1</v>
      </c>
      <c r="H3079" s="5" t="s">
        <v>637</v>
      </c>
      <c r="I3079" s="10">
        <f>IF(OR(D3079="", F3079=""), "", F3079 * VLOOKUP(D3079, Products!A:E, 5, FALSE) * (1 - G3079))</f>
        <v>5346.18</v>
      </c>
      <c r="J3079" s="10"/>
    </row>
    <row r="3080" spans="1:10" ht="15.75" customHeight="1" x14ac:dyDescent="0.3">
      <c r="A3080" s="5" t="s">
        <v>3947</v>
      </c>
      <c r="B3080" s="11">
        <v>45768</v>
      </c>
      <c r="C3080" s="5" t="s">
        <v>770</v>
      </c>
      <c r="D3080" s="5" t="s">
        <v>256</v>
      </c>
      <c r="E3080" s="5" t="s">
        <v>29</v>
      </c>
      <c r="F3080" s="5">
        <v>3</v>
      </c>
      <c r="G3080" s="19">
        <v>0.1</v>
      </c>
      <c r="H3080" s="5" t="s">
        <v>454</v>
      </c>
      <c r="I3080" s="10">
        <f>IF(OR(D3080="", F3080=""), "", F3080 * VLOOKUP(D3080, Products!A:E, 5, FALSE) * (1 - G3080))</f>
        <v>4414.527</v>
      </c>
      <c r="J3080" s="10"/>
    </row>
    <row r="3081" spans="1:10" ht="15.75" customHeight="1" x14ac:dyDescent="0.3">
      <c r="A3081" s="5" t="s">
        <v>3948</v>
      </c>
      <c r="B3081" s="11">
        <v>45763</v>
      </c>
      <c r="C3081" s="5" t="s">
        <v>615</v>
      </c>
      <c r="D3081" s="5" t="s">
        <v>221</v>
      </c>
      <c r="E3081" s="5" t="s">
        <v>37</v>
      </c>
      <c r="F3081" s="5">
        <v>4</v>
      </c>
      <c r="G3081" s="19">
        <v>0.15</v>
      </c>
      <c r="H3081" s="5" t="s">
        <v>697</v>
      </c>
      <c r="I3081" s="10">
        <f>IF(OR(D3081="", F3081=""), "", F3081 * VLOOKUP(D3081, Products!A:E, 5, FALSE) * (1 - G3081))</f>
        <v>5312.2619999999997</v>
      </c>
      <c r="J3081" s="10"/>
    </row>
    <row r="3082" spans="1:10" ht="15.75" customHeight="1" x14ac:dyDescent="0.3">
      <c r="A3082" s="5" t="s">
        <v>3949</v>
      </c>
      <c r="B3082" s="11">
        <v>45326</v>
      </c>
      <c r="C3082" s="5" t="s">
        <v>615</v>
      </c>
      <c r="D3082" s="5" t="s">
        <v>128</v>
      </c>
      <c r="E3082" s="5" t="s">
        <v>29</v>
      </c>
      <c r="F3082" s="5">
        <v>1</v>
      </c>
      <c r="G3082" s="19">
        <v>0.15</v>
      </c>
      <c r="H3082" s="5" t="s">
        <v>454</v>
      </c>
      <c r="I3082" s="10">
        <f>IF(OR(D3082="", F3082=""), "", F3082 * VLOOKUP(D3082, Products!A:E, 5, FALSE) * (1 - G3082))</f>
        <v>275.33199999999999</v>
      </c>
      <c r="J3082" s="10"/>
    </row>
    <row r="3083" spans="1:10" ht="15.75" customHeight="1" x14ac:dyDescent="0.3">
      <c r="A3083" s="5" t="s">
        <v>3950</v>
      </c>
      <c r="B3083" s="11">
        <v>45786</v>
      </c>
      <c r="C3083" s="5" t="s">
        <v>671</v>
      </c>
      <c r="D3083" s="5" t="s">
        <v>269</v>
      </c>
      <c r="E3083" s="5" t="s">
        <v>37</v>
      </c>
      <c r="F3083" s="5">
        <v>5</v>
      </c>
      <c r="G3083" s="19">
        <v>0</v>
      </c>
      <c r="H3083" s="5" t="s">
        <v>454</v>
      </c>
      <c r="I3083" s="10">
        <f>IF(OR(D3083="", F3083=""), "", F3083 * VLOOKUP(D3083, Products!A:E, 5, FALSE) * (1 - G3083))</f>
        <v>9395.4</v>
      </c>
      <c r="J3083" s="10"/>
    </row>
    <row r="3084" spans="1:10" ht="15.75" customHeight="1" x14ac:dyDescent="0.3">
      <c r="A3084" s="5" t="s">
        <v>3951</v>
      </c>
      <c r="B3084" s="11">
        <v>45338</v>
      </c>
      <c r="C3084" s="5" t="s">
        <v>752</v>
      </c>
      <c r="D3084" s="5" t="s">
        <v>262</v>
      </c>
      <c r="E3084" s="5" t="s">
        <v>29</v>
      </c>
      <c r="F3084" s="5">
        <v>3</v>
      </c>
      <c r="G3084" s="19">
        <v>0.1</v>
      </c>
      <c r="H3084" s="5" t="s">
        <v>697</v>
      </c>
      <c r="I3084" s="10">
        <f>IF(OR(D3084="", F3084=""), "", F3084 * VLOOKUP(D3084, Products!A:E, 5, FALSE) * (1 - G3084))</f>
        <v>1224.7740000000001</v>
      </c>
      <c r="J3084" s="10"/>
    </row>
    <row r="3085" spans="1:10" ht="15.75" customHeight="1" x14ac:dyDescent="0.3">
      <c r="A3085" s="5" t="s">
        <v>3952</v>
      </c>
      <c r="B3085" s="11">
        <v>45257</v>
      </c>
      <c r="C3085" s="5" t="s">
        <v>470</v>
      </c>
      <c r="D3085" s="5" t="s">
        <v>200</v>
      </c>
      <c r="E3085" s="5" t="s">
        <v>29</v>
      </c>
      <c r="F3085" s="5">
        <v>2</v>
      </c>
      <c r="G3085" s="19">
        <v>0.05</v>
      </c>
      <c r="H3085" s="5" t="s">
        <v>454</v>
      </c>
      <c r="I3085" s="10">
        <f>IF(OR(D3085="", F3085=""), "", F3085 * VLOOKUP(D3085, Products!A:E, 5, FALSE) * (1 - G3085))</f>
        <v>2081.8679999999999</v>
      </c>
      <c r="J3085" s="10"/>
    </row>
    <row r="3086" spans="1:10" ht="15.75" customHeight="1" x14ac:dyDescent="0.3">
      <c r="A3086" s="5" t="s">
        <v>3953</v>
      </c>
      <c r="B3086" s="11">
        <v>45235</v>
      </c>
      <c r="C3086" s="5" t="s">
        <v>462</v>
      </c>
      <c r="D3086" s="5" t="s">
        <v>232</v>
      </c>
      <c r="E3086" s="5" t="s">
        <v>25</v>
      </c>
      <c r="F3086" s="5">
        <v>3</v>
      </c>
      <c r="G3086" s="19">
        <v>0.15</v>
      </c>
      <c r="H3086" s="5" t="s">
        <v>454</v>
      </c>
      <c r="I3086" s="10">
        <f>IF(OR(D3086="", F3086=""), "", F3086 * VLOOKUP(D3086, Products!A:E, 5, FALSE) * (1 - G3086))</f>
        <v>4979.2575000000006</v>
      </c>
      <c r="J3086" s="10"/>
    </row>
    <row r="3087" spans="1:10" ht="15.75" customHeight="1" x14ac:dyDescent="0.3">
      <c r="A3087" s="5" t="s">
        <v>3954</v>
      </c>
      <c r="B3087" s="11">
        <v>45249</v>
      </c>
      <c r="C3087" s="5" t="s">
        <v>420</v>
      </c>
      <c r="D3087" s="5" t="s">
        <v>65</v>
      </c>
      <c r="E3087" s="5" t="s">
        <v>37</v>
      </c>
      <c r="F3087" s="5">
        <v>4</v>
      </c>
      <c r="G3087" s="19">
        <v>0.05</v>
      </c>
      <c r="H3087" s="5" t="s">
        <v>697</v>
      </c>
      <c r="I3087" s="10">
        <f>IF(OR(D3087="", F3087=""), "", F3087 * VLOOKUP(D3087, Products!A:E, 5, FALSE) * (1 - G3087))</f>
        <v>5601.655999999999</v>
      </c>
      <c r="J3087" s="10"/>
    </row>
    <row r="3088" spans="1:10" ht="15.75" customHeight="1" x14ac:dyDescent="0.3">
      <c r="A3088" s="5" t="s">
        <v>3955</v>
      </c>
      <c r="B3088" s="11">
        <v>45548</v>
      </c>
      <c r="C3088" s="5" t="s">
        <v>872</v>
      </c>
      <c r="D3088" s="5" t="s">
        <v>265</v>
      </c>
      <c r="E3088" s="5" t="s">
        <v>29</v>
      </c>
      <c r="F3088" s="5">
        <v>2</v>
      </c>
      <c r="G3088" s="19">
        <v>0.1</v>
      </c>
      <c r="H3088" s="5" t="s">
        <v>454</v>
      </c>
      <c r="I3088" s="10">
        <f>IF(OR(D3088="", F3088=""), "", F3088 * VLOOKUP(D3088, Products!A:E, 5, FALSE) * (1 - G3088))</f>
        <v>1015.9559999999999</v>
      </c>
      <c r="J3088" s="10"/>
    </row>
    <row r="3089" spans="1:10" ht="15.75" customHeight="1" x14ac:dyDescent="0.3">
      <c r="A3089" s="5" t="s">
        <v>3956</v>
      </c>
      <c r="B3089" s="11">
        <v>45618</v>
      </c>
      <c r="C3089" s="5" t="s">
        <v>361</v>
      </c>
      <c r="D3089" s="5" t="s">
        <v>243</v>
      </c>
      <c r="E3089" s="5" t="s">
        <v>33</v>
      </c>
      <c r="F3089" s="5">
        <v>5</v>
      </c>
      <c r="G3089" s="19">
        <v>0.05</v>
      </c>
      <c r="H3089" s="5" t="s">
        <v>776</v>
      </c>
      <c r="I3089" s="10">
        <f>IF(OR(D3089="", F3089=""), "", F3089 * VLOOKUP(D3089, Products!A:E, 5, FALSE) * (1 - G3089))</f>
        <v>2569.4650000000001</v>
      </c>
      <c r="J3089" s="10"/>
    </row>
    <row r="3090" spans="1:10" ht="15.75" customHeight="1" x14ac:dyDescent="0.3">
      <c r="A3090" s="5" t="s">
        <v>3957</v>
      </c>
      <c r="B3090" s="11">
        <v>45267</v>
      </c>
      <c r="C3090" s="5" t="s">
        <v>833</v>
      </c>
      <c r="D3090" s="5" t="s">
        <v>168</v>
      </c>
      <c r="E3090" s="5" t="s">
        <v>29</v>
      </c>
      <c r="F3090" s="5">
        <v>2</v>
      </c>
      <c r="G3090" s="19">
        <v>0.05</v>
      </c>
      <c r="H3090" s="5" t="s">
        <v>454</v>
      </c>
      <c r="I3090" s="10">
        <f>IF(OR(D3090="", F3090=""), "", F3090 * VLOOKUP(D3090, Products!A:E, 5, FALSE) * (1 - G3090))</f>
        <v>1929.944</v>
      </c>
      <c r="J3090" s="10"/>
    </row>
    <row r="3091" spans="1:10" ht="15.75" customHeight="1" x14ac:dyDescent="0.3">
      <c r="A3091" s="5" t="s">
        <v>3958</v>
      </c>
      <c r="B3091" s="11">
        <v>45466</v>
      </c>
      <c r="C3091" s="5" t="s">
        <v>338</v>
      </c>
      <c r="D3091" s="5" t="s">
        <v>119</v>
      </c>
      <c r="E3091" s="5" t="s">
        <v>33</v>
      </c>
      <c r="F3091" s="5">
        <v>3</v>
      </c>
      <c r="G3091" s="19">
        <v>0.05</v>
      </c>
      <c r="H3091" s="5" t="s">
        <v>637</v>
      </c>
      <c r="I3091" s="10">
        <f>IF(OR(D3091="", F3091=""), "", F3091 * VLOOKUP(D3091, Products!A:E, 5, FALSE) * (1 - G3091))</f>
        <v>3077.6864999999998</v>
      </c>
      <c r="J3091" s="10"/>
    </row>
    <row r="3092" spans="1:10" ht="15.75" customHeight="1" x14ac:dyDescent="0.3">
      <c r="A3092" s="5" t="s">
        <v>3959</v>
      </c>
      <c r="B3092" s="11">
        <v>45584</v>
      </c>
      <c r="C3092" s="5" t="s">
        <v>624</v>
      </c>
      <c r="D3092" s="5" t="s">
        <v>122</v>
      </c>
      <c r="E3092" s="5" t="s">
        <v>29</v>
      </c>
      <c r="F3092" s="5">
        <v>5</v>
      </c>
      <c r="G3092" s="19">
        <v>0.15</v>
      </c>
      <c r="H3092" s="5" t="s">
        <v>454</v>
      </c>
      <c r="I3092" s="10">
        <f>IF(OR(D3092="", F3092=""), "", F3092 * VLOOKUP(D3092, Products!A:E, 5, FALSE) * (1 - G3092))</f>
        <v>7492.41</v>
      </c>
      <c r="J3092" s="10"/>
    </row>
    <row r="3093" spans="1:10" ht="15.75" customHeight="1" x14ac:dyDescent="0.3">
      <c r="A3093" s="5" t="s">
        <v>3960</v>
      </c>
      <c r="B3093" s="11">
        <v>45440</v>
      </c>
      <c r="C3093" s="5" t="s">
        <v>300</v>
      </c>
      <c r="D3093" s="5" t="s">
        <v>280</v>
      </c>
      <c r="E3093" s="5" t="s">
        <v>29</v>
      </c>
      <c r="F3093" s="5">
        <v>5</v>
      </c>
      <c r="G3093" s="19">
        <v>0</v>
      </c>
      <c r="H3093" s="5" t="s">
        <v>454</v>
      </c>
      <c r="I3093" s="10">
        <f>IF(OR(D3093="", F3093=""), "", F3093 * VLOOKUP(D3093, Products!A:E, 5, FALSE) * (1 - G3093))</f>
        <v>6081.7999999999993</v>
      </c>
      <c r="J3093" s="10"/>
    </row>
    <row r="3094" spans="1:10" ht="15.75" customHeight="1" x14ac:dyDescent="0.3">
      <c r="A3094" s="5" t="s">
        <v>3961</v>
      </c>
      <c r="B3094" s="11">
        <v>45394</v>
      </c>
      <c r="C3094" s="5" t="s">
        <v>261</v>
      </c>
      <c r="D3094" s="5" t="s">
        <v>103</v>
      </c>
      <c r="E3094" s="5" t="s">
        <v>33</v>
      </c>
      <c r="F3094" s="5">
        <v>5</v>
      </c>
      <c r="G3094" s="19">
        <v>0.15</v>
      </c>
      <c r="H3094" s="5" t="s">
        <v>776</v>
      </c>
      <c r="I3094" s="10">
        <f>IF(OR(D3094="", F3094=""), "", F3094 * VLOOKUP(D3094, Products!A:E, 5, FALSE) * (1 - G3094))</f>
        <v>1149.4124999999999</v>
      </c>
      <c r="J3094" s="10"/>
    </row>
    <row r="3095" spans="1:10" ht="15.75" customHeight="1" x14ac:dyDescent="0.3">
      <c r="A3095" s="5" t="s">
        <v>3962</v>
      </c>
      <c r="B3095" s="11">
        <v>45237</v>
      </c>
      <c r="C3095" s="5" t="s">
        <v>181</v>
      </c>
      <c r="D3095" s="5" t="s">
        <v>70</v>
      </c>
      <c r="E3095" s="5" t="s">
        <v>25</v>
      </c>
      <c r="F3095" s="5">
        <v>3</v>
      </c>
      <c r="G3095" s="19">
        <v>0.15</v>
      </c>
      <c r="H3095" s="5" t="s">
        <v>637</v>
      </c>
      <c r="I3095" s="10">
        <f>IF(OR(D3095="", F3095=""), "", F3095 * VLOOKUP(D3095, Products!A:E, 5, FALSE) * (1 - G3095))</f>
        <v>314.1345</v>
      </c>
      <c r="J3095" s="10"/>
    </row>
    <row r="3096" spans="1:10" ht="15.75" customHeight="1" x14ac:dyDescent="0.3">
      <c r="A3096" s="5" t="s">
        <v>3963</v>
      </c>
      <c r="B3096" s="11">
        <v>45774</v>
      </c>
      <c r="C3096" s="5" t="s">
        <v>683</v>
      </c>
      <c r="D3096" s="5" t="s">
        <v>43</v>
      </c>
      <c r="E3096" s="5" t="s">
        <v>37</v>
      </c>
      <c r="F3096" s="5">
        <v>3</v>
      </c>
      <c r="G3096" s="19">
        <v>0.15</v>
      </c>
      <c r="H3096" s="5" t="s">
        <v>697</v>
      </c>
      <c r="I3096" s="10">
        <f>IF(OR(D3096="", F3096=""), "", F3096 * VLOOKUP(D3096, Products!A:E, 5, FALSE) * (1 - G3096))</f>
        <v>4267.9094999999998</v>
      </c>
      <c r="J3096" s="10"/>
    </row>
    <row r="3097" spans="1:10" ht="15.75" customHeight="1" x14ac:dyDescent="0.3">
      <c r="A3097" s="5" t="s">
        <v>3964</v>
      </c>
      <c r="B3097" s="11">
        <v>45813</v>
      </c>
      <c r="C3097" s="5" t="s">
        <v>425</v>
      </c>
      <c r="D3097" s="5" t="s">
        <v>147</v>
      </c>
      <c r="E3097" s="5" t="s">
        <v>21</v>
      </c>
      <c r="F3097" s="5">
        <v>4</v>
      </c>
      <c r="G3097" s="19">
        <v>0.15</v>
      </c>
      <c r="H3097" s="5" t="s">
        <v>776</v>
      </c>
      <c r="I3097" s="10">
        <f>IF(OR(D3097="", F3097=""), "", F3097 * VLOOKUP(D3097, Products!A:E, 5, FALSE) * (1 - G3097))</f>
        <v>6386.7979999999998</v>
      </c>
      <c r="J3097" s="10"/>
    </row>
    <row r="3098" spans="1:10" ht="15.75" customHeight="1" x14ac:dyDescent="0.3">
      <c r="A3098" s="5" t="s">
        <v>3965</v>
      </c>
      <c r="B3098" s="11">
        <v>45703</v>
      </c>
      <c r="C3098" s="5" t="s">
        <v>618</v>
      </c>
      <c r="D3098" s="5" t="s">
        <v>291</v>
      </c>
      <c r="E3098" s="5" t="s">
        <v>33</v>
      </c>
      <c r="F3098" s="5">
        <v>4</v>
      </c>
      <c r="G3098" s="19">
        <v>0.1</v>
      </c>
      <c r="H3098" s="5" t="s">
        <v>776</v>
      </c>
      <c r="I3098" s="10">
        <f>IF(OR(D3098="", F3098=""), "", F3098 * VLOOKUP(D3098, Products!A:E, 5, FALSE) * (1 - G3098))</f>
        <v>3760.7040000000006</v>
      </c>
      <c r="J3098" s="10"/>
    </row>
    <row r="3099" spans="1:10" ht="15.75" customHeight="1" x14ac:dyDescent="0.3">
      <c r="A3099" s="5" t="s">
        <v>3966</v>
      </c>
      <c r="B3099" s="11">
        <v>45908</v>
      </c>
      <c r="C3099" s="5" t="s">
        <v>292</v>
      </c>
      <c r="D3099" s="5" t="s">
        <v>249</v>
      </c>
      <c r="E3099" s="5" t="s">
        <v>25</v>
      </c>
      <c r="F3099" s="5">
        <v>1</v>
      </c>
      <c r="G3099" s="19">
        <v>0.1</v>
      </c>
      <c r="H3099" s="5" t="s">
        <v>776</v>
      </c>
      <c r="I3099" s="10">
        <f>IF(OR(D3099="", F3099=""), "", F3099 * VLOOKUP(D3099, Products!A:E, 5, FALSE) * (1 - G3099))</f>
        <v>1571.049</v>
      </c>
      <c r="J3099" s="10"/>
    </row>
    <row r="3100" spans="1:10" ht="15.75" customHeight="1" x14ac:dyDescent="0.3">
      <c r="A3100" s="5" t="s">
        <v>3967</v>
      </c>
      <c r="B3100" s="11">
        <v>45725</v>
      </c>
      <c r="C3100" s="5" t="s">
        <v>144</v>
      </c>
      <c r="D3100" s="5" t="s">
        <v>95</v>
      </c>
      <c r="E3100" s="5" t="s">
        <v>21</v>
      </c>
      <c r="F3100" s="5">
        <v>3</v>
      </c>
      <c r="G3100" s="19">
        <v>0</v>
      </c>
      <c r="H3100" s="5" t="s">
        <v>454</v>
      </c>
      <c r="I3100" s="10">
        <f>IF(OR(D3100="", F3100=""), "", F3100 * VLOOKUP(D3100, Products!A:E, 5, FALSE) * (1 - G3100))</f>
        <v>4028.25</v>
      </c>
      <c r="J3100" s="10"/>
    </row>
    <row r="3101" spans="1:10" ht="15.75" customHeight="1" x14ac:dyDescent="0.3">
      <c r="A3101" s="5" t="s">
        <v>3968</v>
      </c>
      <c r="B3101" s="11">
        <v>45384</v>
      </c>
      <c r="C3101" s="5" t="s">
        <v>274</v>
      </c>
      <c r="D3101" s="5" t="s">
        <v>221</v>
      </c>
      <c r="E3101" s="5" t="s">
        <v>21</v>
      </c>
      <c r="F3101" s="5">
        <v>4</v>
      </c>
      <c r="G3101" s="19">
        <v>0.05</v>
      </c>
      <c r="H3101" s="5" t="s">
        <v>776</v>
      </c>
      <c r="I3101" s="10">
        <f>IF(OR(D3101="", F3101=""), "", F3101 * VLOOKUP(D3101, Products!A:E, 5, FALSE) * (1 - G3101))</f>
        <v>5937.2340000000004</v>
      </c>
      <c r="J3101" s="10"/>
    </row>
    <row r="3102" spans="1:10" ht="15.75" customHeight="1" x14ac:dyDescent="0.3">
      <c r="A3102" s="5" t="s">
        <v>3969</v>
      </c>
      <c r="B3102" s="11">
        <v>45815</v>
      </c>
      <c r="C3102" s="5" t="s">
        <v>779</v>
      </c>
      <c r="D3102" s="5" t="s">
        <v>43</v>
      </c>
      <c r="E3102" s="5" t="s">
        <v>37</v>
      </c>
      <c r="F3102" s="5">
        <v>1</v>
      </c>
      <c r="G3102" s="19">
        <v>0</v>
      </c>
      <c r="H3102" s="5" t="s">
        <v>776</v>
      </c>
      <c r="I3102" s="10">
        <f>IF(OR(D3102="", F3102=""), "", F3102 * VLOOKUP(D3102, Products!A:E, 5, FALSE) * (1 - G3102))</f>
        <v>1673.69</v>
      </c>
      <c r="J3102" s="10"/>
    </row>
    <row r="3103" spans="1:10" ht="15.75" customHeight="1" x14ac:dyDescent="0.3">
      <c r="A3103" s="5" t="s">
        <v>3970</v>
      </c>
      <c r="B3103" s="11">
        <v>45318</v>
      </c>
      <c r="C3103" s="5" t="s">
        <v>491</v>
      </c>
      <c r="D3103" s="5" t="s">
        <v>140</v>
      </c>
      <c r="E3103" s="5" t="s">
        <v>37</v>
      </c>
      <c r="F3103" s="5">
        <v>3</v>
      </c>
      <c r="G3103" s="19">
        <v>0.1</v>
      </c>
      <c r="H3103" s="5" t="s">
        <v>637</v>
      </c>
      <c r="I3103" s="10">
        <f>IF(OR(D3103="", F3103=""), "", F3103 * VLOOKUP(D3103, Products!A:E, 5, FALSE) * (1 - G3103))</f>
        <v>69.039000000000016</v>
      </c>
      <c r="J3103" s="10"/>
    </row>
    <row r="3104" spans="1:10" ht="15.75" customHeight="1" x14ac:dyDescent="0.3">
      <c r="A3104" s="5" t="s">
        <v>3971</v>
      </c>
      <c r="B3104" s="11">
        <v>45560</v>
      </c>
      <c r="C3104" s="5" t="s">
        <v>397</v>
      </c>
      <c r="D3104" s="5" t="s">
        <v>256</v>
      </c>
      <c r="E3104" s="5" t="s">
        <v>25</v>
      </c>
      <c r="F3104" s="5">
        <v>2</v>
      </c>
      <c r="G3104" s="19">
        <v>0.1</v>
      </c>
      <c r="H3104" s="5" t="s">
        <v>454</v>
      </c>
      <c r="I3104" s="10">
        <f>IF(OR(D3104="", F3104=""), "", F3104 * VLOOKUP(D3104, Products!A:E, 5, FALSE) * (1 - G3104))</f>
        <v>2943.018</v>
      </c>
      <c r="J3104" s="10"/>
    </row>
    <row r="3105" spans="1:10" ht="15.75" customHeight="1" x14ac:dyDescent="0.3">
      <c r="A3105" s="5" t="s">
        <v>3972</v>
      </c>
      <c r="B3105" s="11">
        <v>45370</v>
      </c>
      <c r="C3105" s="5" t="s">
        <v>393</v>
      </c>
      <c r="D3105" s="5" t="s">
        <v>65</v>
      </c>
      <c r="E3105" s="5" t="s">
        <v>25</v>
      </c>
      <c r="F3105" s="5">
        <v>1</v>
      </c>
      <c r="G3105" s="19">
        <v>0.1</v>
      </c>
      <c r="H3105" s="5" t="s">
        <v>697</v>
      </c>
      <c r="I3105" s="10">
        <f>IF(OR(D3105="", F3105=""), "", F3105 * VLOOKUP(D3105, Products!A:E, 5, FALSE) * (1 - G3105))</f>
        <v>1326.7079999999999</v>
      </c>
      <c r="J3105" s="10"/>
    </row>
    <row r="3106" spans="1:10" ht="15.75" customHeight="1" x14ac:dyDescent="0.3">
      <c r="A3106" s="5" t="s">
        <v>3973</v>
      </c>
      <c r="B3106" s="11">
        <v>45842</v>
      </c>
      <c r="C3106" s="5" t="s">
        <v>326</v>
      </c>
      <c r="D3106" s="5" t="s">
        <v>115</v>
      </c>
      <c r="E3106" s="5" t="s">
        <v>33</v>
      </c>
      <c r="F3106" s="5">
        <v>2</v>
      </c>
      <c r="G3106" s="19">
        <v>0</v>
      </c>
      <c r="H3106" s="5" t="s">
        <v>697</v>
      </c>
      <c r="I3106" s="10">
        <f>IF(OR(D3106="", F3106=""), "", F3106 * VLOOKUP(D3106, Products!A:E, 5, FALSE) * (1 - G3106))</f>
        <v>2492.2199999999998</v>
      </c>
      <c r="J3106" s="10"/>
    </row>
    <row r="3107" spans="1:10" ht="15.75" customHeight="1" x14ac:dyDescent="0.3">
      <c r="A3107" s="5" t="s">
        <v>3974</v>
      </c>
      <c r="B3107" s="11">
        <v>45340</v>
      </c>
      <c r="C3107" s="5" t="s">
        <v>215</v>
      </c>
      <c r="D3107" s="5" t="s">
        <v>47</v>
      </c>
      <c r="E3107" s="5" t="s">
        <v>37</v>
      </c>
      <c r="F3107" s="5">
        <v>5</v>
      </c>
      <c r="G3107" s="19">
        <v>0.1</v>
      </c>
      <c r="H3107" s="5" t="s">
        <v>637</v>
      </c>
      <c r="I3107" s="10">
        <f>IF(OR(D3107="", F3107=""), "", F3107 * VLOOKUP(D3107, Products!A:E, 5, FALSE) * (1 - G3107))</f>
        <v>3684.42</v>
      </c>
      <c r="J3107" s="10"/>
    </row>
    <row r="3108" spans="1:10" ht="15.75" customHeight="1" x14ac:dyDescent="0.3">
      <c r="A3108" s="5" t="s">
        <v>3975</v>
      </c>
      <c r="B3108" s="11">
        <v>45666</v>
      </c>
      <c r="C3108" s="5" t="s">
        <v>261</v>
      </c>
      <c r="D3108" s="5" t="s">
        <v>95</v>
      </c>
      <c r="E3108" s="5" t="s">
        <v>21</v>
      </c>
      <c r="F3108" s="5">
        <v>2</v>
      </c>
      <c r="G3108" s="19">
        <v>0.15</v>
      </c>
      <c r="H3108" s="5" t="s">
        <v>697</v>
      </c>
      <c r="I3108" s="10">
        <f>IF(OR(D3108="", F3108=""), "", F3108 * VLOOKUP(D3108, Products!A:E, 5, FALSE) * (1 - G3108))</f>
        <v>2282.6749999999997</v>
      </c>
      <c r="J3108" s="10"/>
    </row>
    <row r="3109" spans="1:10" ht="15.75" customHeight="1" x14ac:dyDescent="0.3">
      <c r="A3109" s="5" t="s">
        <v>3976</v>
      </c>
      <c r="B3109" s="11">
        <v>45684</v>
      </c>
      <c r="C3109" s="5" t="s">
        <v>397</v>
      </c>
      <c r="D3109" s="5" t="s">
        <v>57</v>
      </c>
      <c r="E3109" s="5" t="s">
        <v>33</v>
      </c>
      <c r="F3109" s="5">
        <v>5</v>
      </c>
      <c r="G3109" s="19">
        <v>0.05</v>
      </c>
      <c r="H3109" s="5" t="s">
        <v>697</v>
      </c>
      <c r="I3109" s="10">
        <f>IF(OR(D3109="", F3109=""), "", F3109 * VLOOKUP(D3109, Products!A:E, 5, FALSE) * (1 - G3109))</f>
        <v>6632.0450000000001</v>
      </c>
      <c r="J3109" s="10"/>
    </row>
    <row r="3110" spans="1:10" ht="15.75" customHeight="1" x14ac:dyDescent="0.3">
      <c r="A3110" s="5" t="s">
        <v>3977</v>
      </c>
      <c r="B3110" s="11">
        <v>45193</v>
      </c>
      <c r="C3110" s="5" t="s">
        <v>376</v>
      </c>
      <c r="D3110" s="5" t="s">
        <v>82</v>
      </c>
      <c r="E3110" s="5" t="s">
        <v>29</v>
      </c>
      <c r="F3110" s="5">
        <v>1</v>
      </c>
      <c r="G3110" s="19">
        <v>0</v>
      </c>
      <c r="H3110" s="5" t="s">
        <v>697</v>
      </c>
      <c r="I3110" s="10">
        <f>IF(OR(D3110="", F3110=""), "", F3110 * VLOOKUP(D3110, Products!A:E, 5, FALSE) * (1 - G3110))</f>
        <v>1193.0899999999999</v>
      </c>
      <c r="J3110" s="10"/>
    </row>
    <row r="3111" spans="1:10" ht="15.75" customHeight="1" x14ac:dyDescent="0.3">
      <c r="A3111" s="5" t="s">
        <v>3978</v>
      </c>
      <c r="B3111" s="11">
        <v>45451</v>
      </c>
      <c r="C3111" s="5" t="s">
        <v>786</v>
      </c>
      <c r="D3111" s="5" t="s">
        <v>212</v>
      </c>
      <c r="E3111" s="5" t="s">
        <v>29</v>
      </c>
      <c r="F3111" s="5">
        <v>4</v>
      </c>
      <c r="G3111" s="19">
        <v>0.15</v>
      </c>
      <c r="H3111" s="5" t="s">
        <v>637</v>
      </c>
      <c r="I3111" s="10">
        <f>IF(OR(D3111="", F3111=""), "", F3111 * VLOOKUP(D3111, Products!A:E, 5, FALSE) * (1 - G3111))</f>
        <v>6116.4979999999996</v>
      </c>
      <c r="J3111" s="10"/>
    </row>
    <row r="3112" spans="1:10" ht="15.75" customHeight="1" x14ac:dyDescent="0.3">
      <c r="A3112" s="5" t="s">
        <v>3979</v>
      </c>
      <c r="B3112" s="11">
        <v>45848</v>
      </c>
      <c r="C3112" s="5" t="s">
        <v>368</v>
      </c>
      <c r="D3112" s="5" t="s">
        <v>267</v>
      </c>
      <c r="E3112" s="5" t="s">
        <v>25</v>
      </c>
      <c r="F3112" s="5">
        <v>1</v>
      </c>
      <c r="G3112" s="19">
        <v>0</v>
      </c>
      <c r="H3112" s="5" t="s">
        <v>637</v>
      </c>
      <c r="I3112" s="10">
        <f>IF(OR(D3112="", F3112=""), "", F3112 * VLOOKUP(D3112, Products!A:E, 5, FALSE) * (1 - G3112))</f>
        <v>1286.55</v>
      </c>
      <c r="J3112" s="10"/>
    </row>
    <row r="3113" spans="1:10" ht="15.75" customHeight="1" x14ac:dyDescent="0.3">
      <c r="A3113" s="5" t="s">
        <v>3980</v>
      </c>
      <c r="B3113" s="11">
        <v>45419</v>
      </c>
      <c r="C3113" s="5" t="s">
        <v>823</v>
      </c>
      <c r="D3113" s="5" t="s">
        <v>217</v>
      </c>
      <c r="E3113" s="5" t="s">
        <v>33</v>
      </c>
      <c r="F3113" s="5">
        <v>4</v>
      </c>
      <c r="G3113" s="19">
        <v>0.05</v>
      </c>
      <c r="H3113" s="5" t="s">
        <v>637</v>
      </c>
      <c r="I3113" s="10">
        <f>IF(OR(D3113="", F3113=""), "", F3113 * VLOOKUP(D3113, Products!A:E, 5, FALSE) * (1 - G3113))</f>
        <v>1626.59</v>
      </c>
      <c r="J3113" s="10"/>
    </row>
    <row r="3114" spans="1:10" ht="15.75" customHeight="1" x14ac:dyDescent="0.3">
      <c r="A3114" s="5" t="s">
        <v>3981</v>
      </c>
      <c r="B3114" s="11">
        <v>45619</v>
      </c>
      <c r="C3114" s="5" t="s">
        <v>740</v>
      </c>
      <c r="D3114" s="5" t="s">
        <v>47</v>
      </c>
      <c r="E3114" s="5" t="s">
        <v>33</v>
      </c>
      <c r="F3114" s="5">
        <v>1</v>
      </c>
      <c r="G3114" s="19">
        <v>0.1</v>
      </c>
      <c r="H3114" s="5" t="s">
        <v>697</v>
      </c>
      <c r="I3114" s="10">
        <f>IF(OR(D3114="", F3114=""), "", F3114 * VLOOKUP(D3114, Products!A:E, 5, FALSE) * (1 - G3114))</f>
        <v>736.88400000000001</v>
      </c>
      <c r="J3114" s="10"/>
    </row>
    <row r="3115" spans="1:10" ht="15.75" customHeight="1" x14ac:dyDescent="0.3">
      <c r="A3115" s="5" t="s">
        <v>3982</v>
      </c>
      <c r="B3115" s="11">
        <v>45844</v>
      </c>
      <c r="C3115" s="5" t="s">
        <v>789</v>
      </c>
      <c r="D3115" s="5" t="s">
        <v>180</v>
      </c>
      <c r="E3115" s="5" t="s">
        <v>33</v>
      </c>
      <c r="F3115" s="5">
        <v>4</v>
      </c>
      <c r="G3115" s="19">
        <v>0.1</v>
      </c>
      <c r="H3115" s="5" t="s">
        <v>454</v>
      </c>
      <c r="I3115" s="10">
        <f>IF(OR(D3115="", F3115=""), "", F3115 * VLOOKUP(D3115, Products!A:E, 5, FALSE) * (1 - G3115))</f>
        <v>2425.6080000000002</v>
      </c>
      <c r="J3115" s="10"/>
    </row>
    <row r="3116" spans="1:10" ht="15.75" customHeight="1" x14ac:dyDescent="0.3">
      <c r="A3116" s="5" t="s">
        <v>3983</v>
      </c>
      <c r="B3116" s="11">
        <v>45734</v>
      </c>
      <c r="C3116" s="5" t="s">
        <v>106</v>
      </c>
      <c r="D3116" s="5" t="s">
        <v>162</v>
      </c>
      <c r="E3116" s="5" t="s">
        <v>33</v>
      </c>
      <c r="F3116" s="5">
        <v>5</v>
      </c>
      <c r="G3116" s="19">
        <v>0.15</v>
      </c>
      <c r="H3116" s="5" t="s">
        <v>637</v>
      </c>
      <c r="I3116" s="10">
        <f>IF(OR(D3116="", F3116=""), "", F3116 * VLOOKUP(D3116, Products!A:E, 5, FALSE) * (1 - G3116))</f>
        <v>1823.8875</v>
      </c>
      <c r="J3116" s="10"/>
    </row>
    <row r="3117" spans="1:10" ht="15.75" customHeight="1" x14ac:dyDescent="0.3">
      <c r="A3117" s="5" t="s">
        <v>3984</v>
      </c>
      <c r="B3117" s="11">
        <v>45491</v>
      </c>
      <c r="C3117" s="5" t="s">
        <v>733</v>
      </c>
      <c r="D3117" s="5" t="s">
        <v>237</v>
      </c>
      <c r="E3117" s="5" t="s">
        <v>25</v>
      </c>
      <c r="F3117" s="5">
        <v>3</v>
      </c>
      <c r="G3117" s="19">
        <v>0.05</v>
      </c>
      <c r="H3117" s="5" t="s">
        <v>776</v>
      </c>
      <c r="I3117" s="10">
        <f>IF(OR(D3117="", F3117=""), "", F3117 * VLOOKUP(D3117, Products!A:E, 5, FALSE) * (1 - G3117))</f>
        <v>1045.7504999999999</v>
      </c>
      <c r="J3117" s="10"/>
    </row>
    <row r="3118" spans="1:10" ht="15.75" customHeight="1" x14ac:dyDescent="0.3">
      <c r="A3118" s="5" t="s">
        <v>3985</v>
      </c>
      <c r="B3118" s="11">
        <v>45589</v>
      </c>
      <c r="C3118" s="5" t="s">
        <v>727</v>
      </c>
      <c r="D3118" s="5" t="s">
        <v>217</v>
      </c>
      <c r="E3118" s="5" t="s">
        <v>33</v>
      </c>
      <c r="F3118" s="5">
        <v>2</v>
      </c>
      <c r="G3118" s="19">
        <v>0.15</v>
      </c>
      <c r="H3118" s="5" t="s">
        <v>697</v>
      </c>
      <c r="I3118" s="10">
        <f>IF(OR(D3118="", F3118=""), "", F3118 * VLOOKUP(D3118, Products!A:E, 5, FALSE) * (1 - G3118))</f>
        <v>727.68499999999995</v>
      </c>
      <c r="J3118" s="10"/>
    </row>
    <row r="3119" spans="1:10" ht="15.75" customHeight="1" x14ac:dyDescent="0.3">
      <c r="A3119" s="5" t="s">
        <v>3986</v>
      </c>
      <c r="B3119" s="11">
        <v>45421</v>
      </c>
      <c r="C3119" s="5" t="s">
        <v>372</v>
      </c>
      <c r="D3119" s="5" t="s">
        <v>188</v>
      </c>
      <c r="E3119" s="5" t="s">
        <v>29</v>
      </c>
      <c r="F3119" s="5">
        <v>3</v>
      </c>
      <c r="G3119" s="19">
        <v>0.15</v>
      </c>
      <c r="H3119" s="5" t="s">
        <v>454</v>
      </c>
      <c r="I3119" s="10">
        <f>IF(OR(D3119="", F3119=""), "", F3119 * VLOOKUP(D3119, Products!A:E, 5, FALSE) * (1 - G3119))</f>
        <v>3786.8774999999996</v>
      </c>
      <c r="J3119" s="10"/>
    </row>
    <row r="3120" spans="1:10" ht="15.75" customHeight="1" x14ac:dyDescent="0.3">
      <c r="A3120" s="5" t="s">
        <v>3987</v>
      </c>
      <c r="B3120" s="11">
        <v>45488</v>
      </c>
      <c r="C3120" s="5" t="s">
        <v>405</v>
      </c>
      <c r="D3120" s="5" t="s">
        <v>217</v>
      </c>
      <c r="E3120" s="5" t="s">
        <v>29</v>
      </c>
      <c r="F3120" s="5">
        <v>2</v>
      </c>
      <c r="G3120" s="19">
        <v>0.15</v>
      </c>
      <c r="H3120" s="5" t="s">
        <v>637</v>
      </c>
      <c r="I3120" s="10">
        <f>IF(OR(D3120="", F3120=""), "", F3120 * VLOOKUP(D3120, Products!A:E, 5, FALSE) * (1 - G3120))</f>
        <v>727.68499999999995</v>
      </c>
      <c r="J3120" s="10"/>
    </row>
    <row r="3121" spans="1:10" ht="15.75" customHeight="1" x14ac:dyDescent="0.3">
      <c r="A3121" s="5" t="s">
        <v>3988</v>
      </c>
      <c r="B3121" s="11">
        <v>45320</v>
      </c>
      <c r="C3121" s="5" t="s">
        <v>113</v>
      </c>
      <c r="D3121" s="5" t="s">
        <v>50</v>
      </c>
      <c r="E3121" s="5" t="s">
        <v>37</v>
      </c>
      <c r="F3121" s="5">
        <v>2</v>
      </c>
      <c r="G3121" s="19">
        <v>0</v>
      </c>
      <c r="H3121" s="5" t="s">
        <v>637</v>
      </c>
      <c r="I3121" s="10">
        <f>IF(OR(D3121="", F3121=""), "", F3121 * VLOOKUP(D3121, Products!A:E, 5, FALSE) * (1 - G3121))</f>
        <v>675.26</v>
      </c>
      <c r="J3121" s="10"/>
    </row>
    <row r="3122" spans="1:10" ht="15.75" customHeight="1" x14ac:dyDescent="0.3">
      <c r="A3122" s="5" t="s">
        <v>3989</v>
      </c>
      <c r="B3122" s="11">
        <v>45711</v>
      </c>
      <c r="C3122" s="5" t="s">
        <v>823</v>
      </c>
      <c r="D3122" s="5" t="s">
        <v>168</v>
      </c>
      <c r="E3122" s="5" t="s">
        <v>21</v>
      </c>
      <c r="F3122" s="5">
        <v>4</v>
      </c>
      <c r="G3122" s="19">
        <v>0.1</v>
      </c>
      <c r="H3122" s="5" t="s">
        <v>454</v>
      </c>
      <c r="I3122" s="10">
        <f>IF(OR(D3122="", F3122=""), "", F3122 * VLOOKUP(D3122, Products!A:E, 5, FALSE) * (1 - G3122))</f>
        <v>3656.7359999999999</v>
      </c>
      <c r="J3122" s="10"/>
    </row>
    <row r="3123" spans="1:10" ht="15.75" customHeight="1" x14ac:dyDescent="0.3">
      <c r="A3123" s="5" t="s">
        <v>3990</v>
      </c>
      <c r="B3123" s="11">
        <v>45278</v>
      </c>
      <c r="C3123" s="5" t="s">
        <v>532</v>
      </c>
      <c r="D3123" s="5" t="s">
        <v>280</v>
      </c>
      <c r="E3123" s="5" t="s">
        <v>21</v>
      </c>
      <c r="F3123" s="5">
        <v>4</v>
      </c>
      <c r="G3123" s="19">
        <v>0.15</v>
      </c>
      <c r="H3123" s="5" t="s">
        <v>637</v>
      </c>
      <c r="I3123" s="10">
        <f>IF(OR(D3123="", F3123=""), "", F3123 * VLOOKUP(D3123, Products!A:E, 5, FALSE) * (1 - G3123))</f>
        <v>4135.6239999999998</v>
      </c>
      <c r="J3123" s="10"/>
    </row>
    <row r="3124" spans="1:10" ht="15.75" customHeight="1" x14ac:dyDescent="0.3">
      <c r="A3124" s="5" t="s">
        <v>3991</v>
      </c>
      <c r="B3124" s="11">
        <v>45362</v>
      </c>
      <c r="C3124" s="5" t="s">
        <v>571</v>
      </c>
      <c r="D3124" s="5" t="s">
        <v>54</v>
      </c>
      <c r="E3124" s="5" t="s">
        <v>21</v>
      </c>
      <c r="F3124" s="5">
        <v>4</v>
      </c>
      <c r="G3124" s="19">
        <v>0.1</v>
      </c>
      <c r="H3124" s="5" t="s">
        <v>454</v>
      </c>
      <c r="I3124" s="10">
        <f>IF(OR(D3124="", F3124=""), "", F3124 * VLOOKUP(D3124, Products!A:E, 5, FALSE) * (1 - G3124))</f>
        <v>6673.5720000000001</v>
      </c>
      <c r="J3124" s="10"/>
    </row>
    <row r="3125" spans="1:10" ht="15.75" customHeight="1" x14ac:dyDescent="0.3">
      <c r="A3125" s="5" t="s">
        <v>3992</v>
      </c>
      <c r="B3125" s="11">
        <v>45374</v>
      </c>
      <c r="C3125" s="5" t="s">
        <v>387</v>
      </c>
      <c r="D3125" s="5" t="s">
        <v>212</v>
      </c>
      <c r="E3125" s="5" t="s">
        <v>29</v>
      </c>
      <c r="F3125" s="5">
        <v>3</v>
      </c>
      <c r="G3125" s="19">
        <v>0.1</v>
      </c>
      <c r="H3125" s="5" t="s">
        <v>637</v>
      </c>
      <c r="I3125" s="10">
        <f>IF(OR(D3125="", F3125=""), "", F3125 * VLOOKUP(D3125, Products!A:E, 5, FALSE) * (1 - G3125))</f>
        <v>4857.2190000000001</v>
      </c>
      <c r="J3125" s="10"/>
    </row>
    <row r="3126" spans="1:10" ht="15.75" customHeight="1" x14ac:dyDescent="0.3">
      <c r="A3126" s="5" t="s">
        <v>3993</v>
      </c>
      <c r="B3126" s="11">
        <v>45456</v>
      </c>
      <c r="C3126" s="5" t="s">
        <v>312</v>
      </c>
      <c r="D3126" s="5" t="s">
        <v>200</v>
      </c>
      <c r="E3126" s="5" t="s">
        <v>25</v>
      </c>
      <c r="F3126" s="5">
        <v>2</v>
      </c>
      <c r="G3126" s="19">
        <v>0.05</v>
      </c>
      <c r="H3126" s="5" t="s">
        <v>776</v>
      </c>
      <c r="I3126" s="10">
        <f>IF(OR(D3126="", F3126=""), "", F3126 * VLOOKUP(D3126, Products!A:E, 5, FALSE) * (1 - G3126))</f>
        <v>2081.8679999999999</v>
      </c>
      <c r="J3126" s="10"/>
    </row>
    <row r="3127" spans="1:10" ht="15.75" customHeight="1" x14ac:dyDescent="0.3">
      <c r="A3127" s="5" t="s">
        <v>3994</v>
      </c>
      <c r="B3127" s="11">
        <v>45195</v>
      </c>
      <c r="C3127" s="5" t="s">
        <v>532</v>
      </c>
      <c r="D3127" s="5" t="s">
        <v>77</v>
      </c>
      <c r="E3127" s="5" t="s">
        <v>29</v>
      </c>
      <c r="F3127" s="5">
        <v>1</v>
      </c>
      <c r="G3127" s="19">
        <v>0.05</v>
      </c>
      <c r="H3127" s="5" t="s">
        <v>776</v>
      </c>
      <c r="I3127" s="10">
        <f>IF(OR(D3127="", F3127=""), "", F3127 * VLOOKUP(D3127, Products!A:E, 5, FALSE) * (1 - G3127))</f>
        <v>236.14149999999998</v>
      </c>
      <c r="J3127" s="10"/>
    </row>
    <row r="3128" spans="1:10" ht="15.75" customHeight="1" x14ac:dyDescent="0.3">
      <c r="A3128" s="5" t="s">
        <v>3995</v>
      </c>
      <c r="B3128" s="11">
        <v>45514</v>
      </c>
      <c r="C3128" s="5" t="s">
        <v>819</v>
      </c>
      <c r="D3128" s="5" t="s">
        <v>280</v>
      </c>
      <c r="E3128" s="5" t="s">
        <v>25</v>
      </c>
      <c r="F3128" s="5">
        <v>1</v>
      </c>
      <c r="G3128" s="19">
        <v>0</v>
      </c>
      <c r="H3128" s="5" t="s">
        <v>454</v>
      </c>
      <c r="I3128" s="10">
        <f>IF(OR(D3128="", F3128=""), "", F3128 * VLOOKUP(D3128, Products!A:E, 5, FALSE) * (1 - G3128))</f>
        <v>1216.3599999999999</v>
      </c>
      <c r="J3128" s="10"/>
    </row>
    <row r="3129" spans="1:10" ht="15.75" customHeight="1" x14ac:dyDescent="0.3">
      <c r="A3129" s="5" t="s">
        <v>3996</v>
      </c>
      <c r="B3129" s="11">
        <v>45661</v>
      </c>
      <c r="C3129" s="5" t="s">
        <v>197</v>
      </c>
      <c r="D3129" s="5" t="s">
        <v>77</v>
      </c>
      <c r="E3129" s="5" t="s">
        <v>37</v>
      </c>
      <c r="F3129" s="5">
        <v>3</v>
      </c>
      <c r="G3129" s="19">
        <v>0.15</v>
      </c>
      <c r="H3129" s="5" t="s">
        <v>697</v>
      </c>
      <c r="I3129" s="10">
        <f>IF(OR(D3129="", F3129=""), "", F3129 * VLOOKUP(D3129, Products!A:E, 5, FALSE) * (1 - G3129))</f>
        <v>633.85350000000005</v>
      </c>
      <c r="J3129" s="10"/>
    </row>
    <row r="3130" spans="1:10" ht="15.75" customHeight="1" x14ac:dyDescent="0.3">
      <c r="A3130" s="5" t="s">
        <v>3997</v>
      </c>
      <c r="B3130" s="11">
        <v>45588</v>
      </c>
      <c r="C3130" s="5" t="s">
        <v>450</v>
      </c>
      <c r="D3130" s="5" t="s">
        <v>188</v>
      </c>
      <c r="E3130" s="5" t="s">
        <v>25</v>
      </c>
      <c r="F3130" s="5">
        <v>4</v>
      </c>
      <c r="G3130" s="19">
        <v>0.1</v>
      </c>
      <c r="H3130" s="5" t="s">
        <v>697</v>
      </c>
      <c r="I3130" s="10">
        <f>IF(OR(D3130="", F3130=""), "", F3130 * VLOOKUP(D3130, Products!A:E, 5, FALSE) * (1 - G3130))</f>
        <v>5346.18</v>
      </c>
      <c r="J3130" s="10"/>
    </row>
    <row r="3131" spans="1:10" ht="15.75" customHeight="1" x14ac:dyDescent="0.3">
      <c r="A3131" s="5" t="s">
        <v>3998</v>
      </c>
      <c r="B3131" s="11">
        <v>45562</v>
      </c>
      <c r="C3131" s="5" t="s">
        <v>387</v>
      </c>
      <c r="D3131" s="5" t="s">
        <v>206</v>
      </c>
      <c r="E3131" s="5" t="s">
        <v>33</v>
      </c>
      <c r="F3131" s="5">
        <v>3</v>
      </c>
      <c r="G3131" s="19">
        <v>0.05</v>
      </c>
      <c r="H3131" s="5" t="s">
        <v>776</v>
      </c>
      <c r="I3131" s="10">
        <f>IF(OR(D3131="", F3131=""), "", F3131 * VLOOKUP(D3131, Products!A:E, 5, FALSE) * (1 - G3131))</f>
        <v>868.42349999999988</v>
      </c>
      <c r="J3131" s="10"/>
    </row>
    <row r="3132" spans="1:10" ht="15.75" customHeight="1" x14ac:dyDescent="0.3">
      <c r="A3132" s="5" t="s">
        <v>3999</v>
      </c>
      <c r="B3132" s="11">
        <v>45551</v>
      </c>
      <c r="C3132" s="5" t="s">
        <v>389</v>
      </c>
      <c r="D3132" s="5" t="s">
        <v>272</v>
      </c>
      <c r="E3132" s="5" t="s">
        <v>21</v>
      </c>
      <c r="F3132" s="5">
        <v>5</v>
      </c>
      <c r="G3132" s="19">
        <v>0</v>
      </c>
      <c r="H3132" s="5" t="s">
        <v>697</v>
      </c>
      <c r="I3132" s="10">
        <f>IF(OR(D3132="", F3132=""), "", F3132 * VLOOKUP(D3132, Products!A:E, 5, FALSE) * (1 - G3132))</f>
        <v>5826.8499999999995</v>
      </c>
      <c r="J3132" s="10"/>
    </row>
    <row r="3133" spans="1:10" ht="15.75" customHeight="1" x14ac:dyDescent="0.3">
      <c r="A3133" s="5" t="s">
        <v>4000</v>
      </c>
      <c r="B3133" s="11">
        <v>45260</v>
      </c>
      <c r="C3133" s="5" t="s">
        <v>443</v>
      </c>
      <c r="D3133" s="5" t="s">
        <v>122</v>
      </c>
      <c r="E3133" s="5" t="s">
        <v>37</v>
      </c>
      <c r="F3133" s="5">
        <v>4</v>
      </c>
      <c r="G3133" s="19">
        <v>0.15</v>
      </c>
      <c r="H3133" s="5" t="s">
        <v>697</v>
      </c>
      <c r="I3133" s="10">
        <f>IF(OR(D3133="", F3133=""), "", F3133 * VLOOKUP(D3133, Products!A:E, 5, FALSE) * (1 - G3133))</f>
        <v>5993.9279999999999</v>
      </c>
      <c r="J3133" s="10"/>
    </row>
    <row r="3134" spans="1:10" ht="15.75" customHeight="1" x14ac:dyDescent="0.3">
      <c r="A3134" s="5" t="s">
        <v>4001</v>
      </c>
      <c r="B3134" s="11">
        <v>45265</v>
      </c>
      <c r="C3134" s="5" t="s">
        <v>393</v>
      </c>
      <c r="D3134" s="5" t="s">
        <v>70</v>
      </c>
      <c r="E3134" s="5" t="s">
        <v>21</v>
      </c>
      <c r="F3134" s="5">
        <v>2</v>
      </c>
      <c r="G3134" s="19">
        <v>0</v>
      </c>
      <c r="H3134" s="5" t="s">
        <v>776</v>
      </c>
      <c r="I3134" s="10">
        <f>IF(OR(D3134="", F3134=""), "", F3134 * VLOOKUP(D3134, Products!A:E, 5, FALSE) * (1 - G3134))</f>
        <v>246.38</v>
      </c>
      <c r="J3134" s="10"/>
    </row>
    <row r="3135" spans="1:10" ht="15.75" customHeight="1" x14ac:dyDescent="0.3">
      <c r="A3135" s="5" t="s">
        <v>4002</v>
      </c>
      <c r="B3135" s="11">
        <v>45373</v>
      </c>
      <c r="C3135" s="5" t="s">
        <v>872</v>
      </c>
      <c r="D3135" s="5" t="s">
        <v>226</v>
      </c>
      <c r="E3135" s="5" t="s">
        <v>21</v>
      </c>
      <c r="F3135" s="5">
        <v>3</v>
      </c>
      <c r="G3135" s="19">
        <v>0.05</v>
      </c>
      <c r="H3135" s="5" t="s">
        <v>776</v>
      </c>
      <c r="I3135" s="10">
        <f>IF(OR(D3135="", F3135=""), "", F3135 * VLOOKUP(D3135, Products!A:E, 5, FALSE) * (1 - G3135))</f>
        <v>4279.1610000000001</v>
      </c>
      <c r="J3135" s="10"/>
    </row>
    <row r="3136" spans="1:10" ht="15.75" customHeight="1" x14ac:dyDescent="0.3">
      <c r="A3136" s="5" t="s">
        <v>4003</v>
      </c>
      <c r="B3136" s="11">
        <v>45827</v>
      </c>
      <c r="C3136" s="5" t="s">
        <v>878</v>
      </c>
      <c r="D3136" s="5" t="s">
        <v>128</v>
      </c>
      <c r="E3136" s="5" t="s">
        <v>33</v>
      </c>
      <c r="F3136" s="5">
        <v>5</v>
      </c>
      <c r="G3136" s="19">
        <v>0.1</v>
      </c>
      <c r="H3136" s="5" t="s">
        <v>697</v>
      </c>
      <c r="I3136" s="10">
        <f>IF(OR(D3136="", F3136=""), "", F3136 * VLOOKUP(D3136, Products!A:E, 5, FALSE) * (1 - G3136))</f>
        <v>1457.64</v>
      </c>
      <c r="J3136" s="10"/>
    </row>
    <row r="3137" spans="1:10" ht="15.75" customHeight="1" x14ac:dyDescent="0.3">
      <c r="A3137" s="5" t="s">
        <v>4004</v>
      </c>
      <c r="B3137" s="11">
        <v>45263</v>
      </c>
      <c r="C3137" s="5" t="s">
        <v>308</v>
      </c>
      <c r="D3137" s="5" t="s">
        <v>95</v>
      </c>
      <c r="E3137" s="5" t="s">
        <v>37</v>
      </c>
      <c r="F3137" s="5">
        <v>2</v>
      </c>
      <c r="G3137" s="19">
        <v>0.05</v>
      </c>
      <c r="H3137" s="5" t="s">
        <v>776</v>
      </c>
      <c r="I3137" s="10">
        <f>IF(OR(D3137="", F3137=""), "", F3137 * VLOOKUP(D3137, Products!A:E, 5, FALSE) * (1 - G3137))</f>
        <v>2551.2249999999999</v>
      </c>
      <c r="J3137" s="10"/>
    </row>
    <row r="3138" spans="1:10" ht="15.75" customHeight="1" x14ac:dyDescent="0.3">
      <c r="A3138" s="5" t="s">
        <v>4005</v>
      </c>
      <c r="B3138" s="11">
        <v>45550</v>
      </c>
      <c r="C3138" s="5" t="s">
        <v>481</v>
      </c>
      <c r="D3138" s="5" t="s">
        <v>134</v>
      </c>
      <c r="E3138" s="5" t="s">
        <v>25</v>
      </c>
      <c r="F3138" s="5">
        <v>3</v>
      </c>
      <c r="G3138" s="19">
        <v>0</v>
      </c>
      <c r="H3138" s="5" t="s">
        <v>776</v>
      </c>
      <c r="I3138" s="10">
        <f>IF(OR(D3138="", F3138=""), "", F3138 * VLOOKUP(D3138, Products!A:E, 5, FALSE) * (1 - G3138))</f>
        <v>3681.7200000000003</v>
      </c>
      <c r="J3138" s="10"/>
    </row>
    <row r="3139" spans="1:10" ht="15.75" customHeight="1" x14ac:dyDescent="0.3">
      <c r="A3139" s="5" t="s">
        <v>4006</v>
      </c>
      <c r="B3139" s="11">
        <v>45228</v>
      </c>
      <c r="C3139" s="5" t="s">
        <v>543</v>
      </c>
      <c r="D3139" s="5" t="s">
        <v>285</v>
      </c>
      <c r="E3139" s="5" t="s">
        <v>25</v>
      </c>
      <c r="F3139" s="5">
        <v>2</v>
      </c>
      <c r="G3139" s="19">
        <v>0</v>
      </c>
      <c r="H3139" s="5" t="s">
        <v>637</v>
      </c>
      <c r="I3139" s="10">
        <f>IF(OR(D3139="", F3139=""), "", F3139 * VLOOKUP(D3139, Products!A:E, 5, FALSE) * (1 - G3139))</f>
        <v>776.52</v>
      </c>
      <c r="J3139" s="10"/>
    </row>
    <row r="3140" spans="1:10" ht="15.75" customHeight="1" x14ac:dyDescent="0.3">
      <c r="A3140" s="5" t="s">
        <v>4007</v>
      </c>
      <c r="B3140" s="11">
        <v>45638</v>
      </c>
      <c r="C3140" s="5" t="s">
        <v>308</v>
      </c>
      <c r="D3140" s="5" t="s">
        <v>256</v>
      </c>
      <c r="E3140" s="5" t="s">
        <v>25</v>
      </c>
      <c r="F3140" s="5">
        <v>2</v>
      </c>
      <c r="G3140" s="19">
        <v>0.1</v>
      </c>
      <c r="H3140" s="5" t="s">
        <v>454</v>
      </c>
      <c r="I3140" s="10">
        <f>IF(OR(D3140="", F3140=""), "", F3140 * VLOOKUP(D3140, Products!A:E, 5, FALSE) * (1 - G3140))</f>
        <v>2943.018</v>
      </c>
      <c r="J3140" s="10"/>
    </row>
    <row r="3141" spans="1:10" ht="15.75" customHeight="1" x14ac:dyDescent="0.3">
      <c r="A3141" s="5" t="s">
        <v>4008</v>
      </c>
      <c r="B3141" s="11">
        <v>45664</v>
      </c>
      <c r="C3141" s="5" t="s">
        <v>608</v>
      </c>
      <c r="D3141" s="5" t="s">
        <v>67</v>
      </c>
      <c r="E3141" s="5" t="s">
        <v>25</v>
      </c>
      <c r="F3141" s="5">
        <v>4</v>
      </c>
      <c r="G3141" s="19">
        <v>0.05</v>
      </c>
      <c r="H3141" s="5" t="s">
        <v>776</v>
      </c>
      <c r="I3141" s="10">
        <f>IF(OR(D3141="", F3141=""), "", F3141 * VLOOKUP(D3141, Products!A:E, 5, FALSE) * (1 - G3141))</f>
        <v>417.16399999999999</v>
      </c>
      <c r="J3141" s="10"/>
    </row>
    <row r="3142" spans="1:10" ht="15.75" customHeight="1" x14ac:dyDescent="0.3">
      <c r="A3142" s="5" t="s">
        <v>4009</v>
      </c>
      <c r="B3142" s="11">
        <v>45242</v>
      </c>
      <c r="C3142" s="5" t="s">
        <v>823</v>
      </c>
      <c r="D3142" s="5" t="s">
        <v>128</v>
      </c>
      <c r="E3142" s="5" t="s">
        <v>25</v>
      </c>
      <c r="F3142" s="5">
        <v>2</v>
      </c>
      <c r="G3142" s="19">
        <v>0</v>
      </c>
      <c r="H3142" s="5" t="s">
        <v>776</v>
      </c>
      <c r="I3142" s="10">
        <f>IF(OR(D3142="", F3142=""), "", F3142 * VLOOKUP(D3142, Products!A:E, 5, FALSE) * (1 - G3142))</f>
        <v>647.84</v>
      </c>
      <c r="J3142" s="10"/>
    </row>
    <row r="3143" spans="1:10" ht="15.75" customHeight="1" x14ac:dyDescent="0.3">
      <c r="A3143" s="5" t="s">
        <v>4010</v>
      </c>
      <c r="B3143" s="11">
        <v>45610</v>
      </c>
      <c r="C3143" s="5" t="s">
        <v>528</v>
      </c>
      <c r="D3143" s="5" t="s">
        <v>74</v>
      </c>
      <c r="E3143" s="5" t="s">
        <v>25</v>
      </c>
      <c r="F3143" s="5">
        <v>1</v>
      </c>
      <c r="G3143" s="19">
        <v>0.1</v>
      </c>
      <c r="H3143" s="5" t="s">
        <v>637</v>
      </c>
      <c r="I3143" s="10">
        <f>IF(OR(D3143="", F3143=""), "", F3143 * VLOOKUP(D3143, Products!A:E, 5, FALSE) * (1 - G3143))</f>
        <v>1074.7079999999999</v>
      </c>
      <c r="J3143" s="10"/>
    </row>
    <row r="3144" spans="1:10" ht="15.75" customHeight="1" x14ac:dyDescent="0.3">
      <c r="A3144" s="5" t="s">
        <v>4011</v>
      </c>
      <c r="B3144" s="11">
        <v>45437</v>
      </c>
      <c r="C3144" s="5" t="s">
        <v>669</v>
      </c>
      <c r="D3144" s="5" t="s">
        <v>212</v>
      </c>
      <c r="E3144" s="5" t="s">
        <v>33</v>
      </c>
      <c r="F3144" s="5">
        <v>4</v>
      </c>
      <c r="G3144" s="19">
        <v>0.15</v>
      </c>
      <c r="H3144" s="5" t="s">
        <v>637</v>
      </c>
      <c r="I3144" s="10">
        <f>IF(OR(D3144="", F3144=""), "", F3144 * VLOOKUP(D3144, Products!A:E, 5, FALSE) * (1 - G3144))</f>
        <v>6116.4979999999996</v>
      </c>
      <c r="J3144" s="10"/>
    </row>
    <row r="3145" spans="1:10" ht="15.75" customHeight="1" x14ac:dyDescent="0.3">
      <c r="A3145" s="5" t="s">
        <v>4012</v>
      </c>
      <c r="B3145" s="11">
        <v>45611</v>
      </c>
      <c r="C3145" s="5" t="s">
        <v>766</v>
      </c>
      <c r="D3145" s="5" t="s">
        <v>269</v>
      </c>
      <c r="E3145" s="5" t="s">
        <v>37</v>
      </c>
      <c r="F3145" s="5">
        <v>3</v>
      </c>
      <c r="G3145" s="19">
        <v>0.15</v>
      </c>
      <c r="H3145" s="5" t="s">
        <v>454</v>
      </c>
      <c r="I3145" s="10">
        <f>IF(OR(D3145="", F3145=""), "", F3145 * VLOOKUP(D3145, Products!A:E, 5, FALSE) * (1 - G3145))</f>
        <v>4791.6539999999995</v>
      </c>
      <c r="J3145" s="10"/>
    </row>
    <row r="3146" spans="1:10" ht="15.75" customHeight="1" x14ac:dyDescent="0.3">
      <c r="A3146" s="5" t="s">
        <v>4013</v>
      </c>
      <c r="B3146" s="11">
        <v>45764</v>
      </c>
      <c r="C3146" s="5" t="s">
        <v>665</v>
      </c>
      <c r="D3146" s="5" t="s">
        <v>82</v>
      </c>
      <c r="E3146" s="5" t="s">
        <v>33</v>
      </c>
      <c r="F3146" s="5">
        <v>2</v>
      </c>
      <c r="G3146" s="19">
        <v>0.15</v>
      </c>
      <c r="H3146" s="5" t="s">
        <v>697</v>
      </c>
      <c r="I3146" s="10">
        <f>IF(OR(D3146="", F3146=""), "", F3146 * VLOOKUP(D3146, Products!A:E, 5, FALSE) * (1 - G3146))</f>
        <v>2028.2529999999997</v>
      </c>
      <c r="J3146" s="10"/>
    </row>
    <row r="3147" spans="1:10" ht="15.75" customHeight="1" x14ac:dyDescent="0.3">
      <c r="A3147" s="5" t="s">
        <v>4014</v>
      </c>
      <c r="B3147" s="11">
        <v>45247</v>
      </c>
      <c r="C3147" s="5" t="s">
        <v>137</v>
      </c>
      <c r="D3147" s="5" t="s">
        <v>212</v>
      </c>
      <c r="E3147" s="5" t="s">
        <v>25</v>
      </c>
      <c r="F3147" s="5">
        <v>1</v>
      </c>
      <c r="G3147" s="19">
        <v>0.1</v>
      </c>
      <c r="H3147" s="5" t="s">
        <v>454</v>
      </c>
      <c r="I3147" s="10">
        <f>IF(OR(D3147="", F3147=""), "", F3147 * VLOOKUP(D3147, Products!A:E, 5, FALSE) * (1 - G3147))</f>
        <v>1619.0730000000001</v>
      </c>
      <c r="J3147" s="10"/>
    </row>
    <row r="3148" spans="1:10" ht="15.75" customHeight="1" x14ac:dyDescent="0.3">
      <c r="A3148" s="5" t="s">
        <v>4015</v>
      </c>
      <c r="B3148" s="11">
        <v>45414</v>
      </c>
      <c r="C3148" s="5" t="s">
        <v>250</v>
      </c>
      <c r="D3148" s="5" t="s">
        <v>237</v>
      </c>
      <c r="E3148" s="5" t="s">
        <v>37</v>
      </c>
      <c r="F3148" s="5">
        <v>4</v>
      </c>
      <c r="G3148" s="19">
        <v>0.15</v>
      </c>
      <c r="H3148" s="5" t="s">
        <v>637</v>
      </c>
      <c r="I3148" s="10">
        <f>IF(OR(D3148="", F3148=""), "", F3148 * VLOOKUP(D3148, Products!A:E, 5, FALSE) * (1 - G3148))</f>
        <v>1247.5619999999999</v>
      </c>
      <c r="J3148" s="10"/>
    </row>
    <row r="3149" spans="1:10" ht="15.75" customHeight="1" x14ac:dyDescent="0.3">
      <c r="A3149" s="5" t="s">
        <v>4016</v>
      </c>
      <c r="B3149" s="11">
        <v>45613</v>
      </c>
      <c r="C3149" s="5" t="s">
        <v>455</v>
      </c>
      <c r="D3149" s="5" t="s">
        <v>217</v>
      </c>
      <c r="E3149" s="5" t="s">
        <v>29</v>
      </c>
      <c r="F3149" s="5">
        <v>1</v>
      </c>
      <c r="G3149" s="19">
        <v>0.1</v>
      </c>
      <c r="H3149" s="5" t="s">
        <v>637</v>
      </c>
      <c r="I3149" s="10">
        <f>IF(OR(D3149="", F3149=""), "", F3149 * VLOOKUP(D3149, Products!A:E, 5, FALSE) * (1 - G3149))</f>
        <v>385.245</v>
      </c>
      <c r="J3149" s="10"/>
    </row>
    <row r="3150" spans="1:10" ht="15.75" customHeight="1" x14ac:dyDescent="0.3">
      <c r="A3150" s="5" t="s">
        <v>4017</v>
      </c>
      <c r="B3150" s="11">
        <v>45331</v>
      </c>
      <c r="C3150" s="5" t="s">
        <v>353</v>
      </c>
      <c r="D3150" s="5" t="s">
        <v>153</v>
      </c>
      <c r="E3150" s="5" t="s">
        <v>21</v>
      </c>
      <c r="F3150" s="5">
        <v>2</v>
      </c>
      <c r="G3150" s="19">
        <v>0.15</v>
      </c>
      <c r="H3150" s="5" t="s">
        <v>697</v>
      </c>
      <c r="I3150" s="10">
        <f>IF(OR(D3150="", F3150=""), "", F3150 * VLOOKUP(D3150, Products!A:E, 5, FALSE) * (1 - G3150))</f>
        <v>2528.5970000000002</v>
      </c>
      <c r="J3150" s="10"/>
    </row>
    <row r="3151" spans="1:10" ht="15.75" customHeight="1" x14ac:dyDescent="0.3">
      <c r="A3151" s="5" t="s">
        <v>4018</v>
      </c>
      <c r="B3151" s="11">
        <v>45668</v>
      </c>
      <c r="C3151" s="5" t="s">
        <v>597</v>
      </c>
      <c r="D3151" s="5" t="s">
        <v>70</v>
      </c>
      <c r="E3151" s="5" t="s">
        <v>37</v>
      </c>
      <c r="F3151" s="5">
        <v>2</v>
      </c>
      <c r="G3151" s="19">
        <v>0.1</v>
      </c>
      <c r="H3151" s="5" t="s">
        <v>637</v>
      </c>
      <c r="I3151" s="10">
        <f>IF(OR(D3151="", F3151=""), "", F3151 * VLOOKUP(D3151, Products!A:E, 5, FALSE) * (1 - G3151))</f>
        <v>221.74199999999999</v>
      </c>
      <c r="J3151" s="10"/>
    </row>
    <row r="3152" spans="1:10" ht="15.75" customHeight="1" x14ac:dyDescent="0.3">
      <c r="A3152" s="5" t="s">
        <v>4019</v>
      </c>
      <c r="B3152" s="11">
        <v>45301</v>
      </c>
      <c r="C3152" s="5" t="s">
        <v>401</v>
      </c>
      <c r="D3152" s="5" t="s">
        <v>65</v>
      </c>
      <c r="E3152" s="5" t="s">
        <v>25</v>
      </c>
      <c r="F3152" s="5">
        <v>1</v>
      </c>
      <c r="G3152" s="19">
        <v>0.05</v>
      </c>
      <c r="H3152" s="5" t="s">
        <v>637</v>
      </c>
      <c r="I3152" s="10">
        <f>IF(OR(D3152="", F3152=""), "", F3152 * VLOOKUP(D3152, Products!A:E, 5, FALSE) * (1 - G3152))</f>
        <v>1400.4139999999998</v>
      </c>
      <c r="J3152" s="10"/>
    </row>
    <row r="3153" spans="1:10" ht="15.75" customHeight="1" x14ac:dyDescent="0.3">
      <c r="A3153" s="5" t="s">
        <v>4020</v>
      </c>
      <c r="B3153" s="11">
        <v>45297</v>
      </c>
      <c r="C3153" s="5" t="s">
        <v>409</v>
      </c>
      <c r="D3153" s="5" t="s">
        <v>103</v>
      </c>
      <c r="E3153" s="5" t="s">
        <v>33</v>
      </c>
      <c r="F3153" s="5">
        <v>4</v>
      </c>
      <c r="G3153" s="19">
        <v>0.15</v>
      </c>
      <c r="H3153" s="5" t="s">
        <v>637</v>
      </c>
      <c r="I3153" s="10">
        <f>IF(OR(D3153="", F3153=""), "", F3153 * VLOOKUP(D3153, Products!A:E, 5, FALSE) * (1 - G3153))</f>
        <v>919.53</v>
      </c>
      <c r="J3153" s="10"/>
    </row>
    <row r="3154" spans="1:10" ht="15.75" customHeight="1" x14ac:dyDescent="0.3">
      <c r="A3154" s="5" t="s">
        <v>4021</v>
      </c>
      <c r="B3154" s="11">
        <v>45766</v>
      </c>
      <c r="C3154" s="5" t="s">
        <v>526</v>
      </c>
      <c r="D3154" s="5" t="s">
        <v>280</v>
      </c>
      <c r="E3154" s="5" t="s">
        <v>25</v>
      </c>
      <c r="F3154" s="5">
        <v>4</v>
      </c>
      <c r="G3154" s="19">
        <v>0.05</v>
      </c>
      <c r="H3154" s="5" t="s">
        <v>637</v>
      </c>
      <c r="I3154" s="10">
        <f>IF(OR(D3154="", F3154=""), "", F3154 * VLOOKUP(D3154, Products!A:E, 5, FALSE) * (1 - G3154))</f>
        <v>4622.1679999999997</v>
      </c>
      <c r="J3154" s="10"/>
    </row>
    <row r="3155" spans="1:10" ht="15.75" customHeight="1" x14ac:dyDescent="0.3">
      <c r="A3155" s="5" t="s">
        <v>4022</v>
      </c>
      <c r="B3155" s="11">
        <v>45248</v>
      </c>
      <c r="C3155" s="5" t="s">
        <v>159</v>
      </c>
      <c r="D3155" s="5" t="s">
        <v>212</v>
      </c>
      <c r="E3155" s="5" t="s">
        <v>25</v>
      </c>
      <c r="F3155" s="5">
        <v>2</v>
      </c>
      <c r="G3155" s="19">
        <v>0</v>
      </c>
      <c r="H3155" s="5" t="s">
        <v>454</v>
      </c>
      <c r="I3155" s="10">
        <f>IF(OR(D3155="", F3155=""), "", F3155 * VLOOKUP(D3155, Products!A:E, 5, FALSE) * (1 - G3155))</f>
        <v>3597.94</v>
      </c>
      <c r="J3155" s="10"/>
    </row>
    <row r="3156" spans="1:10" ht="15.75" customHeight="1" x14ac:dyDescent="0.3">
      <c r="A3156" s="5" t="s">
        <v>4023</v>
      </c>
      <c r="B3156" s="11">
        <v>45682</v>
      </c>
      <c r="C3156" s="5" t="s">
        <v>526</v>
      </c>
      <c r="D3156" s="5" t="s">
        <v>175</v>
      </c>
      <c r="E3156" s="5" t="s">
        <v>21</v>
      </c>
      <c r="F3156" s="5">
        <v>3</v>
      </c>
      <c r="G3156" s="19">
        <v>0.15</v>
      </c>
      <c r="H3156" s="5" t="s">
        <v>637</v>
      </c>
      <c r="I3156" s="10">
        <f>IF(OR(D3156="", F3156=""), "", F3156 * VLOOKUP(D3156, Products!A:E, 5, FALSE) * (1 - G3156))</f>
        <v>3244.1864999999998</v>
      </c>
      <c r="J3156" s="10"/>
    </row>
    <row r="3157" spans="1:10" ht="15.75" customHeight="1" x14ac:dyDescent="0.3">
      <c r="A3157" s="5" t="s">
        <v>4024</v>
      </c>
      <c r="B3157" s="11">
        <v>45385</v>
      </c>
      <c r="C3157" s="5" t="s">
        <v>774</v>
      </c>
      <c r="D3157" s="5" t="s">
        <v>147</v>
      </c>
      <c r="E3157" s="5" t="s">
        <v>33</v>
      </c>
      <c r="F3157" s="5">
        <v>1</v>
      </c>
      <c r="G3157" s="19">
        <v>0.1</v>
      </c>
      <c r="H3157" s="5" t="s">
        <v>454</v>
      </c>
      <c r="I3157" s="10">
        <f>IF(OR(D3157="", F3157=""), "", F3157 * VLOOKUP(D3157, Products!A:E, 5, FALSE) * (1 - G3157))</f>
        <v>1690.623</v>
      </c>
      <c r="J3157" s="10"/>
    </row>
    <row r="3158" spans="1:10" ht="15.75" customHeight="1" x14ac:dyDescent="0.3">
      <c r="A3158" s="5" t="s">
        <v>4025</v>
      </c>
      <c r="B3158" s="11">
        <v>45683</v>
      </c>
      <c r="C3158" s="5" t="s">
        <v>652</v>
      </c>
      <c r="D3158" s="5" t="s">
        <v>180</v>
      </c>
      <c r="E3158" s="5" t="s">
        <v>37</v>
      </c>
      <c r="F3158" s="5">
        <v>4</v>
      </c>
      <c r="G3158" s="19">
        <v>0</v>
      </c>
      <c r="H3158" s="5" t="s">
        <v>637</v>
      </c>
      <c r="I3158" s="10">
        <f>IF(OR(D3158="", F3158=""), "", F3158 * VLOOKUP(D3158, Products!A:E, 5, FALSE) * (1 - G3158))</f>
        <v>2695.12</v>
      </c>
      <c r="J3158" s="10"/>
    </row>
    <row r="3159" spans="1:10" ht="15.75" customHeight="1" x14ac:dyDescent="0.3">
      <c r="A3159" s="5" t="s">
        <v>4026</v>
      </c>
      <c r="B3159" s="11">
        <v>45304</v>
      </c>
      <c r="C3159" s="5" t="s">
        <v>181</v>
      </c>
      <c r="D3159" s="5" t="s">
        <v>147</v>
      </c>
      <c r="E3159" s="5" t="s">
        <v>29</v>
      </c>
      <c r="F3159" s="5">
        <v>3</v>
      </c>
      <c r="G3159" s="19">
        <v>0.05</v>
      </c>
      <c r="H3159" s="5" t="s">
        <v>454</v>
      </c>
      <c r="I3159" s="10">
        <f>IF(OR(D3159="", F3159=""), "", F3159 * VLOOKUP(D3159, Products!A:E, 5, FALSE) * (1 - G3159))</f>
        <v>5353.6394999999993</v>
      </c>
      <c r="J3159" s="10"/>
    </row>
    <row r="3160" spans="1:10" ht="15.75" customHeight="1" x14ac:dyDescent="0.3">
      <c r="A3160" s="5" t="s">
        <v>4027</v>
      </c>
      <c r="B3160" s="11">
        <v>45265</v>
      </c>
      <c r="C3160" s="5" t="s">
        <v>645</v>
      </c>
      <c r="D3160" s="5" t="s">
        <v>74</v>
      </c>
      <c r="E3160" s="5" t="s">
        <v>25</v>
      </c>
      <c r="F3160" s="5">
        <v>1</v>
      </c>
      <c r="G3160" s="19">
        <v>0</v>
      </c>
      <c r="H3160" s="5" t="s">
        <v>697</v>
      </c>
      <c r="I3160" s="10">
        <f>IF(OR(D3160="", F3160=""), "", F3160 * VLOOKUP(D3160, Products!A:E, 5, FALSE) * (1 - G3160))</f>
        <v>1194.1199999999999</v>
      </c>
      <c r="J3160" s="10"/>
    </row>
    <row r="3161" spans="1:10" ht="15.75" customHeight="1" x14ac:dyDescent="0.3">
      <c r="A3161" s="5" t="s">
        <v>4028</v>
      </c>
      <c r="B3161" s="11">
        <v>45671</v>
      </c>
      <c r="C3161" s="5" t="s">
        <v>850</v>
      </c>
      <c r="D3161" s="5" t="s">
        <v>217</v>
      </c>
      <c r="E3161" s="5" t="s">
        <v>37</v>
      </c>
      <c r="F3161" s="5">
        <v>3</v>
      </c>
      <c r="G3161" s="19">
        <v>0</v>
      </c>
      <c r="H3161" s="5" t="s">
        <v>776</v>
      </c>
      <c r="I3161" s="10">
        <f>IF(OR(D3161="", F3161=""), "", F3161 * VLOOKUP(D3161, Products!A:E, 5, FALSE) * (1 - G3161))</f>
        <v>1284.1500000000001</v>
      </c>
      <c r="J3161" s="10"/>
    </row>
    <row r="3162" spans="1:10" ht="15.75" customHeight="1" x14ac:dyDescent="0.3">
      <c r="A3162" s="5" t="s">
        <v>4029</v>
      </c>
      <c r="B3162" s="11">
        <v>45311</v>
      </c>
      <c r="C3162" s="5" t="s">
        <v>649</v>
      </c>
      <c r="D3162" s="5" t="s">
        <v>147</v>
      </c>
      <c r="E3162" s="5" t="s">
        <v>25</v>
      </c>
      <c r="F3162" s="5">
        <v>5</v>
      </c>
      <c r="G3162" s="19">
        <v>0.1</v>
      </c>
      <c r="H3162" s="5" t="s">
        <v>776</v>
      </c>
      <c r="I3162" s="10">
        <f>IF(OR(D3162="", F3162=""), "", F3162 * VLOOKUP(D3162, Products!A:E, 5, FALSE) * (1 - G3162))</f>
        <v>8453.1149999999998</v>
      </c>
      <c r="J3162" s="10"/>
    </row>
    <row r="3163" spans="1:10" ht="15.75" customHeight="1" x14ac:dyDescent="0.3">
      <c r="A3163" s="5" t="s">
        <v>4030</v>
      </c>
      <c r="B3163" s="11">
        <v>45527</v>
      </c>
      <c r="C3163" s="5" t="s">
        <v>593</v>
      </c>
      <c r="D3163" s="5" t="s">
        <v>193</v>
      </c>
      <c r="E3163" s="5" t="s">
        <v>33</v>
      </c>
      <c r="F3163" s="5">
        <v>3</v>
      </c>
      <c r="G3163" s="19">
        <v>0.15</v>
      </c>
      <c r="H3163" s="5" t="s">
        <v>454</v>
      </c>
      <c r="I3163" s="10">
        <f>IF(OR(D3163="", F3163=""), "", F3163 * VLOOKUP(D3163, Products!A:E, 5, FALSE) * (1 - G3163))</f>
        <v>74.561999999999998</v>
      </c>
      <c r="J3163" s="10"/>
    </row>
    <row r="3164" spans="1:10" ht="15.75" customHeight="1" x14ac:dyDescent="0.3">
      <c r="A3164" s="5" t="s">
        <v>4031</v>
      </c>
      <c r="B3164" s="11">
        <v>45649</v>
      </c>
      <c r="C3164" s="5" t="s">
        <v>402</v>
      </c>
      <c r="D3164" s="5" t="s">
        <v>54</v>
      </c>
      <c r="E3164" s="5" t="s">
        <v>29</v>
      </c>
      <c r="F3164" s="5">
        <v>3</v>
      </c>
      <c r="G3164" s="19">
        <v>0.1</v>
      </c>
      <c r="H3164" s="5" t="s">
        <v>776</v>
      </c>
      <c r="I3164" s="10">
        <f>IF(OR(D3164="", F3164=""), "", F3164 * VLOOKUP(D3164, Products!A:E, 5, FALSE) * (1 - G3164))</f>
        <v>5005.1790000000001</v>
      </c>
      <c r="J3164" s="10"/>
    </row>
    <row r="3165" spans="1:10" ht="15.75" customHeight="1" x14ac:dyDescent="0.3">
      <c r="A3165" s="5" t="s">
        <v>4032</v>
      </c>
      <c r="B3165" s="11">
        <v>45722</v>
      </c>
      <c r="C3165" s="5" t="s">
        <v>657</v>
      </c>
      <c r="D3165" s="5" t="s">
        <v>47</v>
      </c>
      <c r="E3165" s="5" t="s">
        <v>37</v>
      </c>
      <c r="F3165" s="5">
        <v>1</v>
      </c>
      <c r="G3165" s="19">
        <v>0.15</v>
      </c>
      <c r="H3165" s="5" t="s">
        <v>637</v>
      </c>
      <c r="I3165" s="10">
        <f>IF(OR(D3165="", F3165=""), "", F3165 * VLOOKUP(D3165, Products!A:E, 5, FALSE) * (1 - G3165))</f>
        <v>695.94600000000003</v>
      </c>
      <c r="J3165" s="10"/>
    </row>
    <row r="3166" spans="1:10" ht="15.75" customHeight="1" x14ac:dyDescent="0.3">
      <c r="A3166" s="5" t="s">
        <v>4033</v>
      </c>
      <c r="B3166" s="11">
        <v>45499</v>
      </c>
      <c r="C3166" s="5" t="s">
        <v>579</v>
      </c>
      <c r="D3166" s="5" t="s">
        <v>265</v>
      </c>
      <c r="E3166" s="5" t="s">
        <v>37</v>
      </c>
      <c r="F3166" s="5">
        <v>1</v>
      </c>
      <c r="G3166" s="19">
        <v>0</v>
      </c>
      <c r="H3166" s="5" t="s">
        <v>697</v>
      </c>
      <c r="I3166" s="10">
        <f>IF(OR(D3166="", F3166=""), "", F3166 * VLOOKUP(D3166, Products!A:E, 5, FALSE) * (1 - G3166))</f>
        <v>564.41999999999996</v>
      </c>
      <c r="J3166" s="10"/>
    </row>
    <row r="3167" spans="1:10" ht="15.75" customHeight="1" x14ac:dyDescent="0.3">
      <c r="A3167" s="5" t="s">
        <v>4034</v>
      </c>
      <c r="B3167" s="11">
        <v>45753</v>
      </c>
      <c r="C3167" s="5" t="s">
        <v>528</v>
      </c>
      <c r="D3167" s="5" t="s">
        <v>115</v>
      </c>
      <c r="E3167" s="5" t="s">
        <v>29</v>
      </c>
      <c r="F3167" s="5">
        <v>4</v>
      </c>
      <c r="G3167" s="19">
        <v>0.1</v>
      </c>
      <c r="H3167" s="5" t="s">
        <v>697</v>
      </c>
      <c r="I3167" s="10">
        <f>IF(OR(D3167="", F3167=""), "", F3167 * VLOOKUP(D3167, Products!A:E, 5, FALSE) * (1 - G3167))</f>
        <v>4485.9960000000001</v>
      </c>
      <c r="J3167" s="10"/>
    </row>
    <row r="3168" spans="1:10" ht="15.75" customHeight="1" x14ac:dyDescent="0.3">
      <c r="A3168" s="5" t="s">
        <v>4035</v>
      </c>
      <c r="B3168" s="11">
        <v>45397</v>
      </c>
      <c r="C3168" s="5" t="s">
        <v>296</v>
      </c>
      <c r="D3168" s="5" t="s">
        <v>168</v>
      </c>
      <c r="E3168" s="5" t="s">
        <v>25</v>
      </c>
      <c r="F3168" s="5">
        <v>1</v>
      </c>
      <c r="G3168" s="19">
        <v>0.15</v>
      </c>
      <c r="H3168" s="5" t="s">
        <v>454</v>
      </c>
      <c r="I3168" s="10">
        <f>IF(OR(D3168="", F3168=""), "", F3168 * VLOOKUP(D3168, Products!A:E, 5, FALSE) * (1 - G3168))</f>
        <v>863.39599999999996</v>
      </c>
      <c r="J3168" s="10"/>
    </row>
    <row r="3169" spans="1:10" ht="15.75" customHeight="1" x14ac:dyDescent="0.3">
      <c r="A3169" s="5" t="s">
        <v>4036</v>
      </c>
      <c r="B3169" s="11">
        <v>45215</v>
      </c>
      <c r="C3169" s="5" t="s">
        <v>543</v>
      </c>
      <c r="D3169" s="5" t="s">
        <v>122</v>
      </c>
      <c r="E3169" s="5" t="s">
        <v>25</v>
      </c>
      <c r="F3169" s="5">
        <v>1</v>
      </c>
      <c r="G3169" s="19">
        <v>0</v>
      </c>
      <c r="H3169" s="5" t="s">
        <v>454</v>
      </c>
      <c r="I3169" s="10">
        <f>IF(OR(D3169="", F3169=""), "", F3169 * VLOOKUP(D3169, Products!A:E, 5, FALSE) * (1 - G3169))</f>
        <v>1762.92</v>
      </c>
      <c r="J3169" s="10"/>
    </row>
    <row r="3170" spans="1:10" ht="15.75" customHeight="1" x14ac:dyDescent="0.3">
      <c r="A3170" s="5" t="s">
        <v>4037</v>
      </c>
      <c r="B3170" s="11">
        <v>45863</v>
      </c>
      <c r="C3170" s="5" t="s">
        <v>91</v>
      </c>
      <c r="D3170" s="5" t="s">
        <v>74</v>
      </c>
      <c r="E3170" s="5" t="s">
        <v>25</v>
      </c>
      <c r="F3170" s="5">
        <v>2</v>
      </c>
      <c r="G3170" s="19">
        <v>0.15</v>
      </c>
      <c r="H3170" s="5" t="s">
        <v>697</v>
      </c>
      <c r="I3170" s="10">
        <f>IF(OR(D3170="", F3170=""), "", F3170 * VLOOKUP(D3170, Products!A:E, 5, FALSE) * (1 - G3170))</f>
        <v>2030.0039999999997</v>
      </c>
      <c r="J3170" s="10"/>
    </row>
    <row r="3171" spans="1:10" ht="15.75" customHeight="1" x14ac:dyDescent="0.3">
      <c r="A3171" s="5" t="s">
        <v>4038</v>
      </c>
      <c r="B3171" s="11">
        <v>45568</v>
      </c>
      <c r="C3171" s="5" t="s">
        <v>563</v>
      </c>
      <c r="D3171" s="5" t="s">
        <v>43</v>
      </c>
      <c r="E3171" s="5" t="s">
        <v>25</v>
      </c>
      <c r="F3171" s="5">
        <v>4</v>
      </c>
      <c r="G3171" s="19">
        <v>0.1</v>
      </c>
      <c r="H3171" s="5" t="s">
        <v>697</v>
      </c>
      <c r="I3171" s="10">
        <f>IF(OR(D3171="", F3171=""), "", F3171 * VLOOKUP(D3171, Products!A:E, 5, FALSE) * (1 - G3171))</f>
        <v>6025.2840000000006</v>
      </c>
      <c r="J3171" s="10"/>
    </row>
    <row r="3172" spans="1:10" ht="15.75" customHeight="1" x14ac:dyDescent="0.3">
      <c r="A3172" s="5" t="s">
        <v>4039</v>
      </c>
      <c r="B3172" s="11">
        <v>45836</v>
      </c>
      <c r="C3172" s="5" t="s">
        <v>16</v>
      </c>
      <c r="D3172" s="5" t="s">
        <v>43</v>
      </c>
      <c r="E3172" s="5" t="s">
        <v>21</v>
      </c>
      <c r="F3172" s="5">
        <v>2</v>
      </c>
      <c r="G3172" s="19">
        <v>0</v>
      </c>
      <c r="H3172" s="5" t="s">
        <v>454</v>
      </c>
      <c r="I3172" s="10">
        <f>IF(OR(D3172="", F3172=""), "", F3172 * VLOOKUP(D3172, Products!A:E, 5, FALSE) * (1 - G3172))</f>
        <v>3347.38</v>
      </c>
      <c r="J3172" s="10"/>
    </row>
    <row r="3173" spans="1:10" ht="15.75" customHeight="1" x14ac:dyDescent="0.3">
      <c r="A3173" s="5" t="s">
        <v>4040</v>
      </c>
      <c r="B3173" s="11">
        <v>45371</v>
      </c>
      <c r="C3173" s="5" t="s">
        <v>837</v>
      </c>
      <c r="D3173" s="5" t="s">
        <v>249</v>
      </c>
      <c r="E3173" s="5" t="s">
        <v>33</v>
      </c>
      <c r="F3173" s="5">
        <v>1</v>
      </c>
      <c r="G3173" s="19">
        <v>0.05</v>
      </c>
      <c r="H3173" s="5" t="s">
        <v>637</v>
      </c>
      <c r="I3173" s="10">
        <f>IF(OR(D3173="", F3173=""), "", F3173 * VLOOKUP(D3173, Products!A:E, 5, FALSE) * (1 - G3173))</f>
        <v>1658.3294999999998</v>
      </c>
      <c r="J3173" s="10"/>
    </row>
    <row r="3174" spans="1:10" ht="15.75" customHeight="1" x14ac:dyDescent="0.3">
      <c r="A3174" s="5" t="s">
        <v>4041</v>
      </c>
      <c r="B3174" s="11">
        <v>45809</v>
      </c>
      <c r="C3174" s="5" t="s">
        <v>322</v>
      </c>
      <c r="D3174" s="5" t="s">
        <v>122</v>
      </c>
      <c r="E3174" s="5" t="s">
        <v>33</v>
      </c>
      <c r="F3174" s="5">
        <v>1</v>
      </c>
      <c r="G3174" s="19">
        <v>0</v>
      </c>
      <c r="H3174" s="5" t="s">
        <v>637</v>
      </c>
      <c r="I3174" s="10">
        <f>IF(OR(D3174="", F3174=""), "", F3174 * VLOOKUP(D3174, Products!A:E, 5, FALSE) * (1 - G3174))</f>
        <v>1762.92</v>
      </c>
      <c r="J3174" s="10"/>
    </row>
    <row r="3175" spans="1:10" ht="15.75" customHeight="1" x14ac:dyDescent="0.3">
      <c r="A3175" s="5" t="s">
        <v>4042</v>
      </c>
      <c r="B3175" s="11">
        <v>45742</v>
      </c>
      <c r="C3175" s="5" t="s">
        <v>495</v>
      </c>
      <c r="D3175" s="5" t="s">
        <v>206</v>
      </c>
      <c r="E3175" s="5" t="s">
        <v>37</v>
      </c>
      <c r="F3175" s="5">
        <v>3</v>
      </c>
      <c r="G3175" s="19">
        <v>0.15</v>
      </c>
      <c r="H3175" s="5" t="s">
        <v>454</v>
      </c>
      <c r="I3175" s="10">
        <f>IF(OR(D3175="", F3175=""), "", F3175 * VLOOKUP(D3175, Products!A:E, 5, FALSE) * (1 - G3175))</f>
        <v>777.01049999999987</v>
      </c>
      <c r="J3175" s="10"/>
    </row>
    <row r="3176" spans="1:10" ht="15.75" customHeight="1" x14ac:dyDescent="0.3">
      <c r="A3176" s="5" t="s">
        <v>4043</v>
      </c>
      <c r="B3176" s="11">
        <v>45665</v>
      </c>
      <c r="C3176" s="5" t="s">
        <v>708</v>
      </c>
      <c r="D3176" s="5" t="s">
        <v>115</v>
      </c>
      <c r="E3176" s="5" t="s">
        <v>37</v>
      </c>
      <c r="F3176" s="5">
        <v>5</v>
      </c>
      <c r="G3176" s="19">
        <v>0.1</v>
      </c>
      <c r="H3176" s="5" t="s">
        <v>454</v>
      </c>
      <c r="I3176" s="10">
        <f>IF(OR(D3176="", F3176=""), "", F3176 * VLOOKUP(D3176, Products!A:E, 5, FALSE) * (1 - G3176))</f>
        <v>5607.4949999999999</v>
      </c>
      <c r="J3176" s="10"/>
    </row>
    <row r="3177" spans="1:10" ht="15.75" customHeight="1" x14ac:dyDescent="0.3">
      <c r="A3177" s="5" t="s">
        <v>4044</v>
      </c>
      <c r="B3177" s="11">
        <v>45555</v>
      </c>
      <c r="C3177" s="5" t="s">
        <v>665</v>
      </c>
      <c r="D3177" s="5" t="s">
        <v>147</v>
      </c>
      <c r="E3177" s="5" t="s">
        <v>25</v>
      </c>
      <c r="F3177" s="5">
        <v>5</v>
      </c>
      <c r="G3177" s="19">
        <v>0.1</v>
      </c>
      <c r="H3177" s="5" t="s">
        <v>697</v>
      </c>
      <c r="I3177" s="10">
        <f>IF(OR(D3177="", F3177=""), "", F3177 * VLOOKUP(D3177, Products!A:E, 5, FALSE) * (1 - G3177))</f>
        <v>8453.1149999999998</v>
      </c>
      <c r="J3177" s="10"/>
    </row>
    <row r="3178" spans="1:10" ht="15.75" customHeight="1" x14ac:dyDescent="0.3">
      <c r="A3178" s="5" t="s">
        <v>4045</v>
      </c>
      <c r="B3178" s="11">
        <v>45793</v>
      </c>
      <c r="C3178" s="5" t="s">
        <v>380</v>
      </c>
      <c r="D3178" s="5" t="s">
        <v>280</v>
      </c>
      <c r="E3178" s="5" t="s">
        <v>21</v>
      </c>
      <c r="F3178" s="5">
        <v>4</v>
      </c>
      <c r="G3178" s="19">
        <v>0.15</v>
      </c>
      <c r="H3178" s="5" t="s">
        <v>454</v>
      </c>
      <c r="I3178" s="10">
        <f>IF(OR(D3178="", F3178=""), "", F3178 * VLOOKUP(D3178, Products!A:E, 5, FALSE) * (1 - G3178))</f>
        <v>4135.6239999999998</v>
      </c>
      <c r="J3178" s="10"/>
    </row>
    <row r="3179" spans="1:10" ht="15.75" customHeight="1" x14ac:dyDescent="0.3">
      <c r="A3179" s="5" t="s">
        <v>4046</v>
      </c>
      <c r="B3179" s="11">
        <v>45645</v>
      </c>
      <c r="C3179" s="5" t="s">
        <v>484</v>
      </c>
      <c r="D3179" s="5" t="s">
        <v>256</v>
      </c>
      <c r="E3179" s="5" t="s">
        <v>37</v>
      </c>
      <c r="F3179" s="5">
        <v>3</v>
      </c>
      <c r="G3179" s="19">
        <v>0.15</v>
      </c>
      <c r="H3179" s="5" t="s">
        <v>637</v>
      </c>
      <c r="I3179" s="10">
        <f>IF(OR(D3179="", F3179=""), "", F3179 * VLOOKUP(D3179, Products!A:E, 5, FALSE) * (1 - G3179))</f>
        <v>4169.2754999999997</v>
      </c>
      <c r="J3179" s="10"/>
    </row>
    <row r="3180" spans="1:10" ht="15.75" customHeight="1" x14ac:dyDescent="0.3">
      <c r="A3180" s="5" t="s">
        <v>4047</v>
      </c>
      <c r="B3180" s="11">
        <v>45620</v>
      </c>
      <c r="C3180" s="5" t="s">
        <v>159</v>
      </c>
      <c r="D3180" s="5" t="s">
        <v>237</v>
      </c>
      <c r="E3180" s="5" t="s">
        <v>37</v>
      </c>
      <c r="F3180" s="5">
        <v>3</v>
      </c>
      <c r="G3180" s="19">
        <v>0.1</v>
      </c>
      <c r="H3180" s="5" t="s">
        <v>776</v>
      </c>
      <c r="I3180" s="10">
        <f>IF(OR(D3180="", F3180=""), "", F3180 * VLOOKUP(D3180, Products!A:E, 5, FALSE) * (1 - G3180))</f>
        <v>990.71100000000001</v>
      </c>
      <c r="J3180" s="10"/>
    </row>
    <row r="3181" spans="1:10" ht="15.75" customHeight="1" x14ac:dyDescent="0.3">
      <c r="A3181" s="5" t="s">
        <v>4048</v>
      </c>
      <c r="B3181" s="11">
        <v>45522</v>
      </c>
      <c r="C3181" s="5" t="s">
        <v>300</v>
      </c>
      <c r="D3181" s="5" t="s">
        <v>128</v>
      </c>
      <c r="E3181" s="5" t="s">
        <v>37</v>
      </c>
      <c r="F3181" s="5">
        <v>2</v>
      </c>
      <c r="G3181" s="19">
        <v>0.05</v>
      </c>
      <c r="H3181" s="5" t="s">
        <v>697</v>
      </c>
      <c r="I3181" s="10">
        <f>IF(OR(D3181="", F3181=""), "", F3181 * VLOOKUP(D3181, Products!A:E, 5, FALSE) * (1 - G3181))</f>
        <v>615.44799999999998</v>
      </c>
      <c r="J3181" s="10"/>
    </row>
    <row r="3182" spans="1:10" ht="15.75" customHeight="1" x14ac:dyDescent="0.3">
      <c r="A3182" s="5" t="s">
        <v>4049</v>
      </c>
      <c r="B3182" s="11">
        <v>45547</v>
      </c>
      <c r="C3182" s="5" t="s">
        <v>608</v>
      </c>
      <c r="D3182" s="5" t="s">
        <v>140</v>
      </c>
      <c r="E3182" s="5" t="s">
        <v>25</v>
      </c>
      <c r="F3182" s="5">
        <v>1</v>
      </c>
      <c r="G3182" s="19">
        <v>0.1</v>
      </c>
      <c r="H3182" s="5" t="s">
        <v>637</v>
      </c>
      <c r="I3182" s="10">
        <f>IF(OR(D3182="", F3182=""), "", F3182 * VLOOKUP(D3182, Products!A:E, 5, FALSE) * (1 - G3182))</f>
        <v>23.013000000000002</v>
      </c>
      <c r="J3182" s="10"/>
    </row>
    <row r="3183" spans="1:10" ht="15.75" customHeight="1" x14ac:dyDescent="0.3">
      <c r="A3183" s="5" t="s">
        <v>4050</v>
      </c>
      <c r="B3183" s="11">
        <v>45314</v>
      </c>
      <c r="C3183" s="5" t="s">
        <v>850</v>
      </c>
      <c r="D3183" s="5" t="s">
        <v>175</v>
      </c>
      <c r="E3183" s="5" t="s">
        <v>33</v>
      </c>
      <c r="F3183" s="5">
        <v>4</v>
      </c>
      <c r="G3183" s="19">
        <v>0.1</v>
      </c>
      <c r="H3183" s="5" t="s">
        <v>454</v>
      </c>
      <c r="I3183" s="10">
        <f>IF(OR(D3183="", F3183=""), "", F3183 * VLOOKUP(D3183, Products!A:E, 5, FALSE) * (1 - G3183))</f>
        <v>4580.0280000000002</v>
      </c>
      <c r="J3183" s="10"/>
    </row>
    <row r="3184" spans="1:10" ht="15.75" customHeight="1" x14ac:dyDescent="0.3">
      <c r="A3184" s="5" t="s">
        <v>4051</v>
      </c>
      <c r="B3184" s="11">
        <v>45286</v>
      </c>
      <c r="C3184" s="5" t="s">
        <v>197</v>
      </c>
      <c r="D3184" s="5" t="s">
        <v>175</v>
      </c>
      <c r="E3184" s="5" t="s">
        <v>25</v>
      </c>
      <c r="F3184" s="5">
        <v>2</v>
      </c>
      <c r="G3184" s="19">
        <v>0.15</v>
      </c>
      <c r="H3184" s="5" t="s">
        <v>776</v>
      </c>
      <c r="I3184" s="10">
        <f>IF(OR(D3184="", F3184=""), "", F3184 * VLOOKUP(D3184, Products!A:E, 5, FALSE) * (1 - G3184))</f>
        <v>2162.7910000000002</v>
      </c>
      <c r="J3184" s="10"/>
    </row>
    <row r="3185" spans="1:10" ht="15.75" customHeight="1" x14ac:dyDescent="0.3">
      <c r="A3185" s="5" t="s">
        <v>4052</v>
      </c>
      <c r="B3185" s="11">
        <v>45479</v>
      </c>
      <c r="C3185" s="5" t="s">
        <v>876</v>
      </c>
      <c r="D3185" s="5" t="s">
        <v>206</v>
      </c>
      <c r="E3185" s="5" t="s">
        <v>29</v>
      </c>
      <c r="F3185" s="5">
        <v>1</v>
      </c>
      <c r="G3185" s="19">
        <v>0.15</v>
      </c>
      <c r="H3185" s="5" t="s">
        <v>637</v>
      </c>
      <c r="I3185" s="10">
        <f>IF(OR(D3185="", F3185=""), "", F3185 * VLOOKUP(D3185, Products!A:E, 5, FALSE) * (1 - G3185))</f>
        <v>259.00349999999997</v>
      </c>
      <c r="J3185" s="10"/>
    </row>
    <row r="3186" spans="1:10" ht="15.75" customHeight="1" x14ac:dyDescent="0.3">
      <c r="A3186" s="5" t="s">
        <v>4053</v>
      </c>
      <c r="B3186" s="11">
        <v>45306</v>
      </c>
      <c r="C3186" s="5" t="s">
        <v>579</v>
      </c>
      <c r="D3186" s="5" t="s">
        <v>265</v>
      </c>
      <c r="E3186" s="5" t="s">
        <v>25</v>
      </c>
      <c r="F3186" s="5">
        <v>4</v>
      </c>
      <c r="G3186" s="19">
        <v>0.15</v>
      </c>
      <c r="H3186" s="5" t="s">
        <v>776</v>
      </c>
      <c r="I3186" s="10">
        <f>IF(OR(D3186="", F3186=""), "", F3186 * VLOOKUP(D3186, Products!A:E, 5, FALSE) * (1 - G3186))</f>
        <v>1919.0279999999998</v>
      </c>
      <c r="J3186" s="10"/>
    </row>
    <row r="3187" spans="1:10" ht="15.75" customHeight="1" x14ac:dyDescent="0.3">
      <c r="A3187" s="5" t="s">
        <v>4054</v>
      </c>
      <c r="B3187" s="11">
        <v>45383</v>
      </c>
      <c r="C3187" s="5" t="s">
        <v>488</v>
      </c>
      <c r="D3187" s="5" t="s">
        <v>200</v>
      </c>
      <c r="E3187" s="5" t="s">
        <v>29</v>
      </c>
      <c r="F3187" s="5">
        <v>1</v>
      </c>
      <c r="G3187" s="19">
        <v>0.1</v>
      </c>
      <c r="H3187" s="5" t="s">
        <v>697</v>
      </c>
      <c r="I3187" s="10">
        <f>IF(OR(D3187="", F3187=""), "", F3187 * VLOOKUP(D3187, Products!A:E, 5, FALSE) * (1 - G3187))</f>
        <v>986.14800000000002</v>
      </c>
      <c r="J3187" s="10"/>
    </row>
    <row r="3188" spans="1:10" ht="15.75" customHeight="1" x14ac:dyDescent="0.3">
      <c r="A3188" s="5" t="s">
        <v>4055</v>
      </c>
      <c r="B3188" s="11">
        <v>45830</v>
      </c>
      <c r="C3188" s="5" t="s">
        <v>628</v>
      </c>
      <c r="D3188" s="5" t="s">
        <v>262</v>
      </c>
      <c r="E3188" s="5" t="s">
        <v>33</v>
      </c>
      <c r="F3188" s="5">
        <v>4</v>
      </c>
      <c r="G3188" s="19">
        <v>0.05</v>
      </c>
      <c r="H3188" s="5" t="s">
        <v>637</v>
      </c>
      <c r="I3188" s="10">
        <f>IF(OR(D3188="", F3188=""), "", F3188 * VLOOKUP(D3188, Products!A:E, 5, FALSE) * (1 - G3188))</f>
        <v>1723.7559999999999</v>
      </c>
      <c r="J3188" s="10"/>
    </row>
    <row r="3189" spans="1:10" ht="15.75" customHeight="1" x14ac:dyDescent="0.3">
      <c r="A3189" s="5" t="s">
        <v>4056</v>
      </c>
      <c r="B3189" s="11">
        <v>45404</v>
      </c>
      <c r="C3189" s="5" t="s">
        <v>579</v>
      </c>
      <c r="D3189" s="5" t="s">
        <v>168</v>
      </c>
      <c r="E3189" s="5" t="s">
        <v>25</v>
      </c>
      <c r="F3189" s="5">
        <v>3</v>
      </c>
      <c r="G3189" s="19">
        <v>0.05</v>
      </c>
      <c r="H3189" s="5" t="s">
        <v>697</v>
      </c>
      <c r="I3189" s="10">
        <f>IF(OR(D3189="", F3189=""), "", F3189 * VLOOKUP(D3189, Products!A:E, 5, FALSE) * (1 - G3189))</f>
        <v>2894.9159999999997</v>
      </c>
      <c r="J3189" s="10"/>
    </row>
    <row r="3190" spans="1:10" ht="15.75" customHeight="1" x14ac:dyDescent="0.3">
      <c r="A3190" s="5" t="s">
        <v>4057</v>
      </c>
      <c r="B3190" s="11">
        <v>45678</v>
      </c>
      <c r="C3190" s="5" t="s">
        <v>491</v>
      </c>
      <c r="D3190" s="5" t="s">
        <v>70</v>
      </c>
      <c r="E3190" s="5" t="s">
        <v>25</v>
      </c>
      <c r="F3190" s="5">
        <v>5</v>
      </c>
      <c r="G3190" s="19">
        <v>0.1</v>
      </c>
      <c r="H3190" s="5" t="s">
        <v>637</v>
      </c>
      <c r="I3190" s="10">
        <f>IF(OR(D3190="", F3190=""), "", F3190 * VLOOKUP(D3190, Products!A:E, 5, FALSE) * (1 - G3190))</f>
        <v>554.35500000000002</v>
      </c>
      <c r="J3190" s="10"/>
    </row>
    <row r="3191" spans="1:10" ht="15.75" customHeight="1" x14ac:dyDescent="0.3">
      <c r="A3191" s="5" t="s">
        <v>4058</v>
      </c>
      <c r="B3191" s="11">
        <v>45715</v>
      </c>
      <c r="C3191" s="5" t="s">
        <v>203</v>
      </c>
      <c r="D3191" s="5" t="s">
        <v>232</v>
      </c>
      <c r="E3191" s="5" t="s">
        <v>21</v>
      </c>
      <c r="F3191" s="5">
        <v>1</v>
      </c>
      <c r="G3191" s="19">
        <v>0</v>
      </c>
      <c r="H3191" s="5" t="s">
        <v>776</v>
      </c>
      <c r="I3191" s="10">
        <f>IF(OR(D3191="", F3191=""), "", F3191 * VLOOKUP(D3191, Products!A:E, 5, FALSE) * (1 - G3191))</f>
        <v>1952.65</v>
      </c>
      <c r="J3191" s="10"/>
    </row>
    <row r="3192" spans="1:10" ht="15.75" customHeight="1" x14ac:dyDescent="0.3">
      <c r="A3192" s="5" t="s">
        <v>4059</v>
      </c>
      <c r="B3192" s="11">
        <v>45776</v>
      </c>
      <c r="C3192" s="5" t="s">
        <v>304</v>
      </c>
      <c r="D3192" s="5" t="s">
        <v>272</v>
      </c>
      <c r="E3192" s="5" t="s">
        <v>37</v>
      </c>
      <c r="F3192" s="5">
        <v>4</v>
      </c>
      <c r="G3192" s="19">
        <v>0.15</v>
      </c>
      <c r="H3192" s="5" t="s">
        <v>776</v>
      </c>
      <c r="I3192" s="10">
        <f>IF(OR(D3192="", F3192=""), "", F3192 * VLOOKUP(D3192, Products!A:E, 5, FALSE) * (1 - G3192))</f>
        <v>3962.2579999999994</v>
      </c>
      <c r="J3192" s="10"/>
    </row>
    <row r="3193" spans="1:10" ht="15.75" customHeight="1" x14ac:dyDescent="0.3">
      <c r="A3193" s="5" t="s">
        <v>4060</v>
      </c>
      <c r="B3193" s="11">
        <v>45682</v>
      </c>
      <c r="C3193" s="5" t="s">
        <v>808</v>
      </c>
      <c r="D3193" s="5" t="s">
        <v>70</v>
      </c>
      <c r="E3193" s="5" t="s">
        <v>25</v>
      </c>
      <c r="F3193" s="5">
        <v>1</v>
      </c>
      <c r="G3193" s="19">
        <v>0</v>
      </c>
      <c r="H3193" s="5" t="s">
        <v>637</v>
      </c>
      <c r="I3193" s="10">
        <f>IF(OR(D3193="", F3193=""), "", F3193 * VLOOKUP(D3193, Products!A:E, 5, FALSE) * (1 - G3193))</f>
        <v>123.19</v>
      </c>
      <c r="J3193" s="10"/>
    </row>
    <row r="3194" spans="1:10" ht="15.75" customHeight="1" x14ac:dyDescent="0.3">
      <c r="A3194" s="5" t="s">
        <v>4061</v>
      </c>
      <c r="B3194" s="11">
        <v>45833</v>
      </c>
      <c r="C3194" s="5" t="s">
        <v>334</v>
      </c>
      <c r="D3194" s="5" t="s">
        <v>82</v>
      </c>
      <c r="E3194" s="5" t="s">
        <v>21</v>
      </c>
      <c r="F3194" s="5">
        <v>2</v>
      </c>
      <c r="G3194" s="19">
        <v>0.1</v>
      </c>
      <c r="H3194" s="5" t="s">
        <v>454</v>
      </c>
      <c r="I3194" s="10">
        <f>IF(OR(D3194="", F3194=""), "", F3194 * VLOOKUP(D3194, Products!A:E, 5, FALSE) * (1 - G3194))</f>
        <v>2147.5619999999999</v>
      </c>
      <c r="J3194" s="10"/>
    </row>
    <row r="3195" spans="1:10" ht="15.75" customHeight="1" x14ac:dyDescent="0.3">
      <c r="A3195" s="5" t="s">
        <v>4062</v>
      </c>
      <c r="B3195" s="11">
        <v>45838</v>
      </c>
      <c r="C3195" s="5" t="s">
        <v>662</v>
      </c>
      <c r="D3195" s="5" t="s">
        <v>54</v>
      </c>
      <c r="E3195" s="5" t="s">
        <v>29</v>
      </c>
      <c r="F3195" s="5">
        <v>5</v>
      </c>
      <c r="G3195" s="19">
        <v>0</v>
      </c>
      <c r="H3195" s="5" t="s">
        <v>776</v>
      </c>
      <c r="I3195" s="10">
        <f>IF(OR(D3195="", F3195=""), "", F3195 * VLOOKUP(D3195, Products!A:E, 5, FALSE) * (1 - G3195))</f>
        <v>9268.85</v>
      </c>
      <c r="J3195" s="10"/>
    </row>
    <row r="3196" spans="1:10" ht="15.75" customHeight="1" x14ac:dyDescent="0.3">
      <c r="A3196" s="5" t="s">
        <v>4063</v>
      </c>
      <c r="B3196" s="11">
        <v>45731</v>
      </c>
      <c r="C3196" s="5" t="s">
        <v>322</v>
      </c>
      <c r="D3196" s="5" t="s">
        <v>280</v>
      </c>
      <c r="E3196" s="5" t="s">
        <v>29</v>
      </c>
      <c r="F3196" s="5">
        <v>3</v>
      </c>
      <c r="G3196" s="19">
        <v>0</v>
      </c>
      <c r="H3196" s="5" t="s">
        <v>776</v>
      </c>
      <c r="I3196" s="10">
        <f>IF(OR(D3196="", F3196=""), "", F3196 * VLOOKUP(D3196, Products!A:E, 5, FALSE) * (1 - G3196))</f>
        <v>3649.08</v>
      </c>
      <c r="J3196" s="10"/>
    </row>
    <row r="3197" spans="1:10" ht="15.75" customHeight="1" x14ac:dyDescent="0.3">
      <c r="A3197" s="5" t="s">
        <v>4064</v>
      </c>
      <c r="B3197" s="11">
        <v>45430</v>
      </c>
      <c r="C3197" s="5" t="s">
        <v>715</v>
      </c>
      <c r="D3197" s="5" t="s">
        <v>153</v>
      </c>
      <c r="E3197" s="5" t="s">
        <v>21</v>
      </c>
      <c r="F3197" s="5">
        <v>1</v>
      </c>
      <c r="G3197" s="19">
        <v>0</v>
      </c>
      <c r="H3197" s="5" t="s">
        <v>697</v>
      </c>
      <c r="I3197" s="10">
        <f>IF(OR(D3197="", F3197=""), "", F3197 * VLOOKUP(D3197, Products!A:E, 5, FALSE) * (1 - G3197))</f>
        <v>1487.41</v>
      </c>
      <c r="J3197" s="10"/>
    </row>
    <row r="3198" spans="1:10" ht="15.75" customHeight="1" x14ac:dyDescent="0.3">
      <c r="A3198" s="5" t="s">
        <v>4065</v>
      </c>
      <c r="B3198" s="11">
        <v>45897</v>
      </c>
      <c r="C3198" s="5" t="s">
        <v>326</v>
      </c>
      <c r="D3198" s="5" t="s">
        <v>226</v>
      </c>
      <c r="E3198" s="5" t="s">
        <v>33</v>
      </c>
      <c r="F3198" s="5">
        <v>4</v>
      </c>
      <c r="G3198" s="19">
        <v>0</v>
      </c>
      <c r="H3198" s="5" t="s">
        <v>454</v>
      </c>
      <c r="I3198" s="10">
        <f>IF(OR(D3198="", F3198=""), "", F3198 * VLOOKUP(D3198, Products!A:E, 5, FALSE) * (1 - G3198))</f>
        <v>6005.84</v>
      </c>
      <c r="J3198" s="10"/>
    </row>
    <row r="3199" spans="1:10" ht="15.75" customHeight="1" x14ac:dyDescent="0.3">
      <c r="A3199" s="5" t="s">
        <v>4066</v>
      </c>
      <c r="B3199" s="11">
        <v>45465</v>
      </c>
      <c r="C3199" s="5" t="s">
        <v>722</v>
      </c>
      <c r="D3199" s="5" t="s">
        <v>226</v>
      </c>
      <c r="E3199" s="5" t="s">
        <v>29</v>
      </c>
      <c r="F3199" s="5">
        <v>5</v>
      </c>
      <c r="G3199" s="19">
        <v>0</v>
      </c>
      <c r="H3199" s="5" t="s">
        <v>454</v>
      </c>
      <c r="I3199" s="10">
        <f>IF(OR(D3199="", F3199=""), "", F3199 * VLOOKUP(D3199, Products!A:E, 5, FALSE) * (1 - G3199))</f>
        <v>7507.3</v>
      </c>
      <c r="J3199" s="10"/>
    </row>
    <row r="3200" spans="1:10" ht="15.75" customHeight="1" x14ac:dyDescent="0.3">
      <c r="A3200" s="5" t="s">
        <v>4067</v>
      </c>
      <c r="B3200" s="11">
        <v>45552</v>
      </c>
      <c r="C3200" s="5" t="s">
        <v>292</v>
      </c>
      <c r="D3200" s="5" t="s">
        <v>180</v>
      </c>
      <c r="E3200" s="5" t="s">
        <v>21</v>
      </c>
      <c r="F3200" s="5">
        <v>4</v>
      </c>
      <c r="G3200" s="19">
        <v>0.1</v>
      </c>
      <c r="H3200" s="5" t="s">
        <v>697</v>
      </c>
      <c r="I3200" s="10">
        <f>IF(OR(D3200="", F3200=""), "", F3200 * VLOOKUP(D3200, Products!A:E, 5, FALSE) * (1 - G3200))</f>
        <v>2425.6080000000002</v>
      </c>
      <c r="J3200" s="10"/>
    </row>
    <row r="3201" spans="1:10" ht="15.75" customHeight="1" x14ac:dyDescent="0.3">
      <c r="A3201" s="5" t="s">
        <v>4068</v>
      </c>
      <c r="B3201" s="11">
        <v>45235</v>
      </c>
      <c r="C3201" s="5" t="s">
        <v>762</v>
      </c>
      <c r="D3201" s="5" t="s">
        <v>67</v>
      </c>
      <c r="E3201" s="5" t="s">
        <v>37</v>
      </c>
      <c r="F3201" s="5">
        <v>1</v>
      </c>
      <c r="G3201" s="19">
        <v>0.15</v>
      </c>
      <c r="H3201" s="5" t="s">
        <v>697</v>
      </c>
      <c r="I3201" s="10">
        <f>IF(OR(D3201="", F3201=""), "", F3201 * VLOOKUP(D3201, Products!A:E, 5, FALSE) * (1 - G3201))</f>
        <v>93.313000000000002</v>
      </c>
      <c r="J3201" s="10"/>
    </row>
    <row r="3202" spans="1:10" ht="15.75" customHeight="1" x14ac:dyDescent="0.3">
      <c r="A3202" s="5" t="s">
        <v>4069</v>
      </c>
      <c r="B3202" s="11">
        <v>45755</v>
      </c>
      <c r="C3202" s="5" t="s">
        <v>802</v>
      </c>
      <c r="D3202" s="5" t="s">
        <v>221</v>
      </c>
      <c r="E3202" s="5" t="s">
        <v>29</v>
      </c>
      <c r="F3202" s="5">
        <v>1</v>
      </c>
      <c r="G3202" s="19">
        <v>0.15</v>
      </c>
      <c r="H3202" s="5" t="s">
        <v>454</v>
      </c>
      <c r="I3202" s="10">
        <f>IF(OR(D3202="", F3202=""), "", F3202 * VLOOKUP(D3202, Products!A:E, 5, FALSE) * (1 - G3202))</f>
        <v>1328.0654999999999</v>
      </c>
      <c r="J3202" s="10"/>
    </row>
    <row r="3203" spans="1:10" ht="15.75" customHeight="1" x14ac:dyDescent="0.3">
      <c r="A3203" s="5" t="s">
        <v>4070</v>
      </c>
      <c r="B3203" s="11">
        <v>45455</v>
      </c>
      <c r="C3203" s="5" t="s">
        <v>602</v>
      </c>
      <c r="D3203" s="5" t="s">
        <v>140</v>
      </c>
      <c r="E3203" s="5" t="s">
        <v>25</v>
      </c>
      <c r="F3203" s="5">
        <v>4</v>
      </c>
      <c r="G3203" s="19">
        <v>0.15</v>
      </c>
      <c r="H3203" s="5" t="s">
        <v>454</v>
      </c>
      <c r="I3203" s="10">
        <f>IF(OR(D3203="", F3203=""), "", F3203 * VLOOKUP(D3203, Products!A:E, 5, FALSE) * (1 - G3203))</f>
        <v>86.938000000000002</v>
      </c>
      <c r="J3203" s="10"/>
    </row>
    <row r="3204" spans="1:10" ht="15.75" customHeight="1" x14ac:dyDescent="0.3">
      <c r="A3204" s="5" t="s">
        <v>4071</v>
      </c>
      <c r="B3204" s="11">
        <v>45244</v>
      </c>
      <c r="C3204" s="5" t="s">
        <v>649</v>
      </c>
      <c r="D3204" s="5" t="s">
        <v>272</v>
      </c>
      <c r="E3204" s="5" t="s">
        <v>29</v>
      </c>
      <c r="F3204" s="5">
        <v>3</v>
      </c>
      <c r="G3204" s="19">
        <v>0.15</v>
      </c>
      <c r="H3204" s="5" t="s">
        <v>637</v>
      </c>
      <c r="I3204" s="10">
        <f>IF(OR(D3204="", F3204=""), "", F3204 * VLOOKUP(D3204, Products!A:E, 5, FALSE) * (1 - G3204))</f>
        <v>2971.6934999999999</v>
      </c>
      <c r="J3204" s="10"/>
    </row>
    <row r="3205" spans="1:10" ht="15.75" customHeight="1" x14ac:dyDescent="0.3">
      <c r="A3205" s="5" t="s">
        <v>4072</v>
      </c>
      <c r="B3205" s="11">
        <v>45769</v>
      </c>
      <c r="C3205" s="5" t="s">
        <v>393</v>
      </c>
      <c r="D3205" s="5" t="s">
        <v>103</v>
      </c>
      <c r="E3205" s="5" t="s">
        <v>29</v>
      </c>
      <c r="F3205" s="5">
        <v>3</v>
      </c>
      <c r="G3205" s="19">
        <v>0.05</v>
      </c>
      <c r="H3205" s="5" t="s">
        <v>697</v>
      </c>
      <c r="I3205" s="10">
        <f>IF(OR(D3205="", F3205=""), "", F3205 * VLOOKUP(D3205, Products!A:E, 5, FALSE) * (1 - G3205))</f>
        <v>770.78249999999991</v>
      </c>
      <c r="J3205" s="10"/>
    </row>
    <row r="3206" spans="1:10" ht="15.75" customHeight="1" x14ac:dyDescent="0.3">
      <c r="A3206" s="5" t="s">
        <v>4073</v>
      </c>
      <c r="B3206" s="11">
        <v>45206</v>
      </c>
      <c r="C3206" s="5" t="s">
        <v>608</v>
      </c>
      <c r="D3206" s="5" t="s">
        <v>50</v>
      </c>
      <c r="E3206" s="5" t="s">
        <v>25</v>
      </c>
      <c r="F3206" s="5">
        <v>2</v>
      </c>
      <c r="G3206" s="19">
        <v>0</v>
      </c>
      <c r="H3206" s="5" t="s">
        <v>776</v>
      </c>
      <c r="I3206" s="10">
        <f>IF(OR(D3206="", F3206=""), "", F3206 * VLOOKUP(D3206, Products!A:E, 5, FALSE) * (1 - G3206))</f>
        <v>675.26</v>
      </c>
      <c r="J3206" s="10"/>
    </row>
    <row r="3207" spans="1:10" ht="15.75" customHeight="1" x14ac:dyDescent="0.3">
      <c r="A3207" s="5" t="s">
        <v>4074</v>
      </c>
      <c r="B3207" s="11">
        <v>45675</v>
      </c>
      <c r="C3207" s="5" t="s">
        <v>171</v>
      </c>
      <c r="D3207" s="5" t="s">
        <v>89</v>
      </c>
      <c r="E3207" s="5" t="s">
        <v>37</v>
      </c>
      <c r="F3207" s="5">
        <v>1</v>
      </c>
      <c r="G3207" s="19">
        <v>0.05</v>
      </c>
      <c r="H3207" s="5" t="s">
        <v>776</v>
      </c>
      <c r="I3207" s="10">
        <f>IF(OR(D3207="", F3207=""), "", F3207 * VLOOKUP(D3207, Products!A:E, 5, FALSE) * (1 - G3207))</f>
        <v>1078.06</v>
      </c>
      <c r="J3207" s="10"/>
    </row>
    <row r="3208" spans="1:10" ht="15.75" customHeight="1" x14ac:dyDescent="0.3">
      <c r="A3208" s="5" t="s">
        <v>4075</v>
      </c>
      <c r="B3208" s="11">
        <v>45511</v>
      </c>
      <c r="C3208" s="5" t="s">
        <v>593</v>
      </c>
      <c r="D3208" s="5" t="s">
        <v>134</v>
      </c>
      <c r="E3208" s="5" t="s">
        <v>25</v>
      </c>
      <c r="F3208" s="5">
        <v>2</v>
      </c>
      <c r="G3208" s="19">
        <v>0</v>
      </c>
      <c r="H3208" s="5" t="s">
        <v>454</v>
      </c>
      <c r="I3208" s="10">
        <f>IF(OR(D3208="", F3208=""), "", F3208 * VLOOKUP(D3208, Products!A:E, 5, FALSE) * (1 - G3208))</f>
        <v>2454.48</v>
      </c>
      <c r="J3208" s="10"/>
    </row>
    <row r="3209" spans="1:10" ht="15.75" customHeight="1" x14ac:dyDescent="0.3">
      <c r="A3209" s="5" t="s">
        <v>4076</v>
      </c>
      <c r="B3209" s="11">
        <v>45363</v>
      </c>
      <c r="C3209" s="5" t="s">
        <v>872</v>
      </c>
      <c r="D3209" s="5" t="s">
        <v>217</v>
      </c>
      <c r="E3209" s="5" t="s">
        <v>29</v>
      </c>
      <c r="F3209" s="5">
        <v>3</v>
      </c>
      <c r="G3209" s="19">
        <v>0.05</v>
      </c>
      <c r="H3209" s="5" t="s">
        <v>637</v>
      </c>
      <c r="I3209" s="10">
        <f>IF(OR(D3209="", F3209=""), "", F3209 * VLOOKUP(D3209, Products!A:E, 5, FALSE) * (1 - G3209))</f>
        <v>1219.9425000000001</v>
      </c>
      <c r="J3209" s="10"/>
    </row>
    <row r="3210" spans="1:10" ht="15.75" customHeight="1" x14ac:dyDescent="0.3">
      <c r="A3210" s="5" t="s">
        <v>4077</v>
      </c>
      <c r="B3210" s="11">
        <v>45711</v>
      </c>
      <c r="C3210" s="5" t="s">
        <v>583</v>
      </c>
      <c r="D3210" s="5" t="s">
        <v>109</v>
      </c>
      <c r="E3210" s="5" t="s">
        <v>33</v>
      </c>
      <c r="F3210" s="5">
        <v>1</v>
      </c>
      <c r="G3210" s="19">
        <v>0.1</v>
      </c>
      <c r="H3210" s="5" t="s">
        <v>697</v>
      </c>
      <c r="I3210" s="10">
        <f>IF(OR(D3210="", F3210=""), "", F3210 * VLOOKUP(D3210, Products!A:E, 5, FALSE) * (1 - G3210))</f>
        <v>1672.875</v>
      </c>
      <c r="J3210" s="10"/>
    </row>
    <row r="3211" spans="1:10" ht="15.75" customHeight="1" x14ac:dyDescent="0.3">
      <c r="A3211" s="5" t="s">
        <v>4078</v>
      </c>
      <c r="B3211" s="11">
        <v>45474</v>
      </c>
      <c r="C3211" s="5" t="s">
        <v>618</v>
      </c>
      <c r="D3211" s="5" t="s">
        <v>70</v>
      </c>
      <c r="E3211" s="5" t="s">
        <v>21</v>
      </c>
      <c r="F3211" s="5">
        <v>3</v>
      </c>
      <c r="G3211" s="19">
        <v>0.05</v>
      </c>
      <c r="H3211" s="5" t="s">
        <v>637</v>
      </c>
      <c r="I3211" s="10">
        <f>IF(OR(D3211="", F3211=""), "", F3211 * VLOOKUP(D3211, Products!A:E, 5, FALSE) * (1 - G3211))</f>
        <v>351.0915</v>
      </c>
      <c r="J3211" s="10"/>
    </row>
    <row r="3212" spans="1:10" ht="15.75" customHeight="1" x14ac:dyDescent="0.3">
      <c r="A3212" s="5" t="s">
        <v>4079</v>
      </c>
      <c r="B3212" s="11">
        <v>45494</v>
      </c>
      <c r="C3212" s="5" t="s">
        <v>350</v>
      </c>
      <c r="D3212" s="5" t="s">
        <v>217</v>
      </c>
      <c r="E3212" s="5" t="s">
        <v>29</v>
      </c>
      <c r="F3212" s="5">
        <v>1</v>
      </c>
      <c r="G3212" s="19">
        <v>0</v>
      </c>
      <c r="H3212" s="5" t="s">
        <v>776</v>
      </c>
      <c r="I3212" s="10">
        <f>IF(OR(D3212="", F3212=""), "", F3212 * VLOOKUP(D3212, Products!A:E, 5, FALSE) * (1 - G3212))</f>
        <v>428.05</v>
      </c>
      <c r="J3212" s="10"/>
    </row>
    <row r="3213" spans="1:10" ht="15.75" customHeight="1" x14ac:dyDescent="0.3">
      <c r="A3213" s="5" t="s">
        <v>4080</v>
      </c>
      <c r="B3213" s="11">
        <v>45752</v>
      </c>
      <c r="C3213" s="5" t="s">
        <v>409</v>
      </c>
      <c r="D3213" s="5" t="s">
        <v>256</v>
      </c>
      <c r="E3213" s="5" t="s">
        <v>33</v>
      </c>
      <c r="F3213" s="5">
        <v>2</v>
      </c>
      <c r="G3213" s="19">
        <v>0.15</v>
      </c>
      <c r="H3213" s="5" t="s">
        <v>637</v>
      </c>
      <c r="I3213" s="10">
        <f>IF(OR(D3213="", F3213=""), "", F3213 * VLOOKUP(D3213, Products!A:E, 5, FALSE) * (1 - G3213))</f>
        <v>2779.5169999999998</v>
      </c>
      <c r="J3213" s="10"/>
    </row>
    <row r="3214" spans="1:10" ht="15.75" customHeight="1" x14ac:dyDescent="0.3">
      <c r="A3214" s="5" t="s">
        <v>4081</v>
      </c>
      <c r="B3214" s="11">
        <v>45476</v>
      </c>
      <c r="C3214" s="5" t="s">
        <v>773</v>
      </c>
      <c r="D3214" s="5" t="s">
        <v>103</v>
      </c>
      <c r="E3214" s="5" t="s">
        <v>33</v>
      </c>
      <c r="F3214" s="5">
        <v>3</v>
      </c>
      <c r="G3214" s="19">
        <v>0.15</v>
      </c>
      <c r="H3214" s="5" t="s">
        <v>697</v>
      </c>
      <c r="I3214" s="10">
        <f>IF(OR(D3214="", F3214=""), "", F3214 * VLOOKUP(D3214, Products!A:E, 5, FALSE) * (1 - G3214))</f>
        <v>689.64749999999992</v>
      </c>
      <c r="J3214" s="10"/>
    </row>
    <row r="3215" spans="1:10" ht="15.75" customHeight="1" x14ac:dyDescent="0.3">
      <c r="A3215" s="5" t="s">
        <v>4082</v>
      </c>
      <c r="B3215" s="11">
        <v>45759</v>
      </c>
      <c r="C3215" s="5" t="s">
        <v>481</v>
      </c>
      <c r="D3215" s="5" t="s">
        <v>206</v>
      </c>
      <c r="E3215" s="5" t="s">
        <v>33</v>
      </c>
      <c r="F3215" s="5">
        <v>3</v>
      </c>
      <c r="G3215" s="19">
        <v>0.05</v>
      </c>
      <c r="H3215" s="5" t="s">
        <v>776</v>
      </c>
      <c r="I3215" s="10">
        <f>IF(OR(D3215="", F3215=""), "", F3215 * VLOOKUP(D3215, Products!A:E, 5, FALSE) * (1 - G3215))</f>
        <v>868.42349999999988</v>
      </c>
      <c r="J3215" s="10"/>
    </row>
    <row r="3216" spans="1:10" ht="15.75" customHeight="1" x14ac:dyDescent="0.3">
      <c r="A3216" s="5" t="s">
        <v>4083</v>
      </c>
      <c r="B3216" s="11">
        <v>45581</v>
      </c>
      <c r="C3216" s="5" t="s">
        <v>322</v>
      </c>
      <c r="D3216" s="5" t="s">
        <v>168</v>
      </c>
      <c r="E3216" s="5" t="s">
        <v>29</v>
      </c>
      <c r="F3216" s="5">
        <v>4</v>
      </c>
      <c r="G3216" s="19">
        <v>0</v>
      </c>
      <c r="H3216" s="5" t="s">
        <v>637</v>
      </c>
      <c r="I3216" s="10">
        <f>IF(OR(D3216="", F3216=""), "", F3216 * VLOOKUP(D3216, Products!A:E, 5, FALSE) * (1 - G3216))</f>
        <v>4063.04</v>
      </c>
      <c r="J3216" s="10"/>
    </row>
    <row r="3217" spans="1:10" ht="15.75" customHeight="1" x14ac:dyDescent="0.3">
      <c r="A3217" s="5" t="s">
        <v>4084</v>
      </c>
      <c r="B3217" s="11">
        <v>45339</v>
      </c>
      <c r="C3217" s="5" t="s">
        <v>488</v>
      </c>
      <c r="D3217" s="5" t="s">
        <v>265</v>
      </c>
      <c r="E3217" s="5" t="s">
        <v>25</v>
      </c>
      <c r="F3217" s="5">
        <v>1</v>
      </c>
      <c r="G3217" s="19">
        <v>0.05</v>
      </c>
      <c r="H3217" s="5" t="s">
        <v>697</v>
      </c>
      <c r="I3217" s="10">
        <f>IF(OR(D3217="", F3217=""), "", F3217 * VLOOKUP(D3217, Products!A:E, 5, FALSE) * (1 - G3217))</f>
        <v>536.19899999999996</v>
      </c>
      <c r="J3217" s="10"/>
    </row>
    <row r="3218" spans="1:10" ht="15.75" customHeight="1" x14ac:dyDescent="0.3">
      <c r="A3218" s="5" t="s">
        <v>4085</v>
      </c>
      <c r="B3218" s="11">
        <v>45395</v>
      </c>
      <c r="C3218" s="5" t="s">
        <v>652</v>
      </c>
      <c r="D3218" s="5" t="s">
        <v>61</v>
      </c>
      <c r="E3218" s="5" t="s">
        <v>37</v>
      </c>
      <c r="F3218" s="5">
        <v>4</v>
      </c>
      <c r="G3218" s="19">
        <v>0.1</v>
      </c>
      <c r="H3218" s="5" t="s">
        <v>697</v>
      </c>
      <c r="I3218" s="10">
        <f>IF(OR(D3218="", F3218=""), "", F3218 * VLOOKUP(D3218, Products!A:E, 5, FALSE) * (1 - G3218))</f>
        <v>1144.98</v>
      </c>
      <c r="J3218" s="10"/>
    </row>
    <row r="3219" spans="1:10" ht="15.75" customHeight="1" x14ac:dyDescent="0.3">
      <c r="A3219" s="5" t="s">
        <v>4086</v>
      </c>
      <c r="B3219" s="11">
        <v>45743</v>
      </c>
      <c r="C3219" s="5" t="s">
        <v>829</v>
      </c>
      <c r="D3219" s="5" t="s">
        <v>50</v>
      </c>
      <c r="E3219" s="5" t="s">
        <v>25</v>
      </c>
      <c r="F3219" s="5">
        <v>4</v>
      </c>
      <c r="G3219" s="19">
        <v>0</v>
      </c>
      <c r="H3219" s="5" t="s">
        <v>776</v>
      </c>
      <c r="I3219" s="10">
        <f>IF(OR(D3219="", F3219=""), "", F3219 * VLOOKUP(D3219, Products!A:E, 5, FALSE) * (1 - G3219))</f>
        <v>1350.52</v>
      </c>
      <c r="J3219" s="10"/>
    </row>
    <row r="3220" spans="1:10" ht="15.75" customHeight="1" x14ac:dyDescent="0.3">
      <c r="A3220" s="5" t="s">
        <v>4087</v>
      </c>
      <c r="B3220" s="11">
        <v>45403</v>
      </c>
      <c r="C3220" s="5" t="s">
        <v>752</v>
      </c>
      <c r="D3220" s="5" t="s">
        <v>122</v>
      </c>
      <c r="E3220" s="5" t="s">
        <v>29</v>
      </c>
      <c r="F3220" s="5">
        <v>3</v>
      </c>
      <c r="G3220" s="19">
        <v>0.1</v>
      </c>
      <c r="H3220" s="5" t="s">
        <v>454</v>
      </c>
      <c r="I3220" s="10">
        <f>IF(OR(D3220="", F3220=""), "", F3220 * VLOOKUP(D3220, Products!A:E, 5, FALSE) * (1 - G3220))</f>
        <v>4759.884</v>
      </c>
      <c r="J3220" s="10"/>
    </row>
    <row r="3221" spans="1:10" ht="15.75" customHeight="1" x14ac:dyDescent="0.3">
      <c r="A3221" s="5" t="s">
        <v>4088</v>
      </c>
      <c r="B3221" s="11">
        <v>45608</v>
      </c>
      <c r="C3221" s="5" t="s">
        <v>16</v>
      </c>
      <c r="D3221" s="5" t="s">
        <v>280</v>
      </c>
      <c r="E3221" s="5" t="s">
        <v>21</v>
      </c>
      <c r="F3221" s="5">
        <v>4</v>
      </c>
      <c r="G3221" s="19">
        <v>0.05</v>
      </c>
      <c r="H3221" s="5" t="s">
        <v>697</v>
      </c>
      <c r="I3221" s="10">
        <f>IF(OR(D3221="", F3221=""), "", F3221 * VLOOKUP(D3221, Products!A:E, 5, FALSE) * (1 - G3221))</f>
        <v>4622.1679999999997</v>
      </c>
      <c r="J3221" s="10"/>
    </row>
    <row r="3222" spans="1:10" ht="15.75" customHeight="1" x14ac:dyDescent="0.3">
      <c r="A3222" s="5" t="s">
        <v>4089</v>
      </c>
      <c r="B3222" s="11">
        <v>45796</v>
      </c>
      <c r="C3222" s="5" t="s">
        <v>300</v>
      </c>
      <c r="D3222" s="5" t="s">
        <v>221</v>
      </c>
      <c r="E3222" s="5" t="s">
        <v>29</v>
      </c>
      <c r="F3222" s="5">
        <v>5</v>
      </c>
      <c r="G3222" s="19">
        <v>0.1</v>
      </c>
      <c r="H3222" s="5" t="s">
        <v>637</v>
      </c>
      <c r="I3222" s="10">
        <f>IF(OR(D3222="", F3222=""), "", F3222 * VLOOKUP(D3222, Products!A:E, 5, FALSE) * (1 - G3222))</f>
        <v>7030.9350000000004</v>
      </c>
      <c r="J3222" s="10"/>
    </row>
    <row r="3223" spans="1:10" ht="15.75" customHeight="1" x14ac:dyDescent="0.3">
      <c r="A3223" s="5" t="s">
        <v>4090</v>
      </c>
      <c r="B3223" s="11">
        <v>45556</v>
      </c>
      <c r="C3223" s="5" t="s">
        <v>669</v>
      </c>
      <c r="D3223" s="5" t="s">
        <v>77</v>
      </c>
      <c r="E3223" s="5" t="s">
        <v>37</v>
      </c>
      <c r="F3223" s="5">
        <v>5</v>
      </c>
      <c r="G3223" s="19">
        <v>0.05</v>
      </c>
      <c r="H3223" s="5" t="s">
        <v>637</v>
      </c>
      <c r="I3223" s="10">
        <f>IF(OR(D3223="", F3223=""), "", F3223 * VLOOKUP(D3223, Products!A:E, 5, FALSE) * (1 - G3223))</f>
        <v>1180.7074999999998</v>
      </c>
      <c r="J3223" s="10"/>
    </row>
    <row r="3224" spans="1:10" ht="15.75" customHeight="1" x14ac:dyDescent="0.3">
      <c r="A3224" s="5" t="s">
        <v>4091</v>
      </c>
      <c r="B3224" s="11">
        <v>45851</v>
      </c>
      <c r="C3224" s="5" t="s">
        <v>872</v>
      </c>
      <c r="D3224" s="5" t="s">
        <v>50</v>
      </c>
      <c r="E3224" s="5" t="s">
        <v>21</v>
      </c>
      <c r="F3224" s="5">
        <v>4</v>
      </c>
      <c r="G3224" s="19">
        <v>0.1</v>
      </c>
      <c r="H3224" s="5" t="s">
        <v>637</v>
      </c>
      <c r="I3224" s="10">
        <f>IF(OR(D3224="", F3224=""), "", F3224 * VLOOKUP(D3224, Products!A:E, 5, FALSE) * (1 - G3224))</f>
        <v>1215.4680000000001</v>
      </c>
      <c r="J3224" s="10"/>
    </row>
    <row r="3225" spans="1:10" ht="15.75" customHeight="1" x14ac:dyDescent="0.3">
      <c r="A3225" s="5" t="s">
        <v>4092</v>
      </c>
      <c r="B3225" s="11">
        <v>45833</v>
      </c>
      <c r="C3225" s="5" t="s">
        <v>149</v>
      </c>
      <c r="D3225" s="5" t="s">
        <v>226</v>
      </c>
      <c r="E3225" s="5" t="s">
        <v>29</v>
      </c>
      <c r="F3225" s="5">
        <v>3</v>
      </c>
      <c r="G3225" s="19">
        <v>0</v>
      </c>
      <c r="H3225" s="5" t="s">
        <v>637</v>
      </c>
      <c r="I3225" s="10">
        <f>IF(OR(D3225="", F3225=""), "", F3225 * VLOOKUP(D3225, Products!A:E, 5, FALSE) * (1 - G3225))</f>
        <v>4504.38</v>
      </c>
      <c r="J3225" s="10"/>
    </row>
    <row r="3226" spans="1:10" ht="15.75" customHeight="1" x14ac:dyDescent="0.3">
      <c r="A3226" s="5" t="s">
        <v>4093</v>
      </c>
      <c r="B3226" s="11">
        <v>45877</v>
      </c>
      <c r="C3226" s="5" t="s">
        <v>718</v>
      </c>
      <c r="D3226" s="5" t="s">
        <v>43</v>
      </c>
      <c r="E3226" s="5" t="s">
        <v>21</v>
      </c>
      <c r="F3226" s="5">
        <v>4</v>
      </c>
      <c r="G3226" s="19">
        <v>0.15</v>
      </c>
      <c r="H3226" s="5" t="s">
        <v>637</v>
      </c>
      <c r="I3226" s="10">
        <f>IF(OR(D3226="", F3226=""), "", F3226 * VLOOKUP(D3226, Products!A:E, 5, FALSE) * (1 - G3226))</f>
        <v>5690.5460000000003</v>
      </c>
      <c r="J3226" s="10"/>
    </row>
    <row r="3227" spans="1:10" ht="15.75" customHeight="1" x14ac:dyDescent="0.3">
      <c r="A3227" s="5" t="s">
        <v>4094</v>
      </c>
      <c r="B3227" s="11">
        <v>45179</v>
      </c>
      <c r="C3227" s="5" t="s">
        <v>733</v>
      </c>
      <c r="D3227" s="5" t="s">
        <v>153</v>
      </c>
      <c r="E3227" s="5" t="s">
        <v>37</v>
      </c>
      <c r="F3227" s="5">
        <v>2</v>
      </c>
      <c r="G3227" s="19">
        <v>0.1</v>
      </c>
      <c r="H3227" s="5" t="s">
        <v>697</v>
      </c>
      <c r="I3227" s="10">
        <f>IF(OR(D3227="", F3227=""), "", F3227 * VLOOKUP(D3227, Products!A:E, 5, FALSE) * (1 - G3227))</f>
        <v>2677.3380000000002</v>
      </c>
      <c r="J3227" s="10"/>
    </row>
    <row r="3228" spans="1:10" ht="15.75" customHeight="1" x14ac:dyDescent="0.3">
      <c r="A3228" s="5" t="s">
        <v>4095</v>
      </c>
      <c r="B3228" s="11">
        <v>45349</v>
      </c>
      <c r="C3228" s="5" t="s">
        <v>597</v>
      </c>
      <c r="D3228" s="5" t="s">
        <v>61</v>
      </c>
      <c r="E3228" s="5" t="s">
        <v>29</v>
      </c>
      <c r="F3228" s="5">
        <v>3</v>
      </c>
      <c r="G3228" s="19">
        <v>0</v>
      </c>
      <c r="H3228" s="5" t="s">
        <v>697</v>
      </c>
      <c r="I3228" s="10">
        <f>IF(OR(D3228="", F3228=""), "", F3228 * VLOOKUP(D3228, Products!A:E, 5, FALSE) * (1 - G3228))</f>
        <v>954.15000000000009</v>
      </c>
      <c r="J3228" s="10"/>
    </row>
    <row r="3229" spans="1:10" ht="15.75" customHeight="1" x14ac:dyDescent="0.3">
      <c r="A3229" s="5" t="s">
        <v>4096</v>
      </c>
      <c r="B3229" s="11">
        <v>45233</v>
      </c>
      <c r="C3229" s="5" t="s">
        <v>786</v>
      </c>
      <c r="D3229" s="5" t="s">
        <v>212</v>
      </c>
      <c r="E3229" s="5" t="s">
        <v>37</v>
      </c>
      <c r="F3229" s="5">
        <v>3</v>
      </c>
      <c r="G3229" s="19">
        <v>0.15</v>
      </c>
      <c r="H3229" s="5" t="s">
        <v>454</v>
      </c>
      <c r="I3229" s="10">
        <f>IF(OR(D3229="", F3229=""), "", F3229 * VLOOKUP(D3229, Products!A:E, 5, FALSE) * (1 - G3229))</f>
        <v>4587.3734999999997</v>
      </c>
      <c r="J3229" s="10"/>
    </row>
    <row r="3230" spans="1:10" ht="15.75" customHeight="1" x14ac:dyDescent="0.3">
      <c r="A3230" s="5" t="s">
        <v>4097</v>
      </c>
      <c r="B3230" s="11">
        <v>45670</v>
      </c>
      <c r="C3230" s="5" t="s">
        <v>69</v>
      </c>
      <c r="D3230" s="5" t="s">
        <v>77</v>
      </c>
      <c r="E3230" s="5" t="s">
        <v>37</v>
      </c>
      <c r="F3230" s="5">
        <v>2</v>
      </c>
      <c r="G3230" s="19">
        <v>0</v>
      </c>
      <c r="H3230" s="5" t="s">
        <v>697</v>
      </c>
      <c r="I3230" s="10">
        <f>IF(OR(D3230="", F3230=""), "", F3230 * VLOOKUP(D3230, Products!A:E, 5, FALSE) * (1 - G3230))</f>
        <v>497.14</v>
      </c>
      <c r="J3230" s="10"/>
    </row>
    <row r="3231" spans="1:10" ht="15.75" customHeight="1" x14ac:dyDescent="0.3">
      <c r="A3231" s="5" t="s">
        <v>4098</v>
      </c>
      <c r="B3231" s="11">
        <v>45249</v>
      </c>
      <c r="C3231" s="5" t="s">
        <v>597</v>
      </c>
      <c r="D3231" s="5" t="s">
        <v>82</v>
      </c>
      <c r="E3231" s="5" t="s">
        <v>25</v>
      </c>
      <c r="F3231" s="5">
        <v>4</v>
      </c>
      <c r="G3231" s="19">
        <v>0</v>
      </c>
      <c r="H3231" s="5" t="s">
        <v>637</v>
      </c>
      <c r="I3231" s="10">
        <f>IF(OR(D3231="", F3231=""), "", F3231 * VLOOKUP(D3231, Products!A:E, 5, FALSE) * (1 - G3231))</f>
        <v>4772.3599999999997</v>
      </c>
      <c r="J3231" s="10"/>
    </row>
    <row r="3232" spans="1:10" ht="15.75" customHeight="1" x14ac:dyDescent="0.3">
      <c r="A3232" s="5" t="s">
        <v>4099</v>
      </c>
      <c r="B3232" s="11">
        <v>45429</v>
      </c>
      <c r="C3232" s="5" t="s">
        <v>155</v>
      </c>
      <c r="D3232" s="5" t="s">
        <v>162</v>
      </c>
      <c r="E3232" s="5" t="s">
        <v>21</v>
      </c>
      <c r="F3232" s="5">
        <v>3</v>
      </c>
      <c r="G3232" s="19">
        <v>0.15</v>
      </c>
      <c r="H3232" s="5" t="s">
        <v>776</v>
      </c>
      <c r="I3232" s="10">
        <f>IF(OR(D3232="", F3232=""), "", F3232 * VLOOKUP(D3232, Products!A:E, 5, FALSE) * (1 - G3232))</f>
        <v>1094.3324999999998</v>
      </c>
      <c r="J3232" s="10"/>
    </row>
    <row r="3233" spans="1:10" ht="15.75" customHeight="1" x14ac:dyDescent="0.3">
      <c r="A3233" s="5" t="s">
        <v>4100</v>
      </c>
      <c r="B3233" s="11">
        <v>45693</v>
      </c>
      <c r="C3233" s="5" t="s">
        <v>641</v>
      </c>
      <c r="D3233" s="5" t="s">
        <v>103</v>
      </c>
      <c r="E3233" s="5" t="s">
        <v>29</v>
      </c>
      <c r="F3233" s="5">
        <v>5</v>
      </c>
      <c r="G3233" s="19">
        <v>0</v>
      </c>
      <c r="H3233" s="5" t="s">
        <v>637</v>
      </c>
      <c r="I3233" s="10">
        <f>IF(OR(D3233="", F3233=""), "", F3233 * VLOOKUP(D3233, Products!A:E, 5, FALSE) * (1 - G3233))</f>
        <v>1352.25</v>
      </c>
      <c r="J3233" s="10"/>
    </row>
    <row r="3234" spans="1:10" ht="15.75" customHeight="1" x14ac:dyDescent="0.3">
      <c r="A3234" s="5" t="s">
        <v>4101</v>
      </c>
      <c r="B3234" s="11">
        <v>45852</v>
      </c>
      <c r="C3234" s="5" t="s">
        <v>711</v>
      </c>
      <c r="D3234" s="5" t="s">
        <v>67</v>
      </c>
      <c r="E3234" s="5" t="s">
        <v>25</v>
      </c>
      <c r="F3234" s="5">
        <v>5</v>
      </c>
      <c r="G3234" s="19">
        <v>0.1</v>
      </c>
      <c r="H3234" s="5" t="s">
        <v>776</v>
      </c>
      <c r="I3234" s="10">
        <f>IF(OR(D3234="", F3234=""), "", F3234 * VLOOKUP(D3234, Products!A:E, 5, FALSE) * (1 - G3234))</f>
        <v>494.01</v>
      </c>
      <c r="J3234" s="10"/>
    </row>
    <row r="3235" spans="1:10" ht="15.75" customHeight="1" x14ac:dyDescent="0.3">
      <c r="A3235" s="5" t="s">
        <v>4102</v>
      </c>
      <c r="B3235" s="11">
        <v>45282</v>
      </c>
      <c r="C3235" s="5" t="s">
        <v>393</v>
      </c>
      <c r="D3235" s="5" t="s">
        <v>115</v>
      </c>
      <c r="E3235" s="5" t="s">
        <v>33</v>
      </c>
      <c r="F3235" s="5">
        <v>5</v>
      </c>
      <c r="G3235" s="19">
        <v>0.1</v>
      </c>
      <c r="H3235" s="5" t="s">
        <v>697</v>
      </c>
      <c r="I3235" s="10">
        <f>IF(OR(D3235="", F3235=""), "", F3235 * VLOOKUP(D3235, Products!A:E, 5, FALSE) * (1 - G3235))</f>
        <v>5607.4949999999999</v>
      </c>
      <c r="J3235" s="10"/>
    </row>
    <row r="3236" spans="1:10" ht="15.75" customHeight="1" x14ac:dyDescent="0.3">
      <c r="A3236" s="5" t="s">
        <v>4103</v>
      </c>
      <c r="B3236" s="11">
        <v>45420</v>
      </c>
      <c r="C3236" s="5" t="s">
        <v>680</v>
      </c>
      <c r="D3236" s="5" t="s">
        <v>70</v>
      </c>
      <c r="E3236" s="5" t="s">
        <v>25</v>
      </c>
      <c r="F3236" s="5">
        <v>1</v>
      </c>
      <c r="G3236" s="19">
        <v>0.15</v>
      </c>
      <c r="H3236" s="5" t="s">
        <v>776</v>
      </c>
      <c r="I3236" s="10">
        <f>IF(OR(D3236="", F3236=""), "", F3236 * VLOOKUP(D3236, Products!A:E, 5, FALSE) * (1 - G3236))</f>
        <v>104.7115</v>
      </c>
      <c r="J3236" s="10"/>
    </row>
    <row r="3237" spans="1:10" ht="15.75" customHeight="1" x14ac:dyDescent="0.3">
      <c r="A3237" s="5" t="s">
        <v>4104</v>
      </c>
      <c r="B3237" s="11">
        <v>45833</v>
      </c>
      <c r="C3237" s="5" t="s">
        <v>484</v>
      </c>
      <c r="D3237" s="5" t="s">
        <v>280</v>
      </c>
      <c r="E3237" s="5" t="s">
        <v>25</v>
      </c>
      <c r="F3237" s="5">
        <v>4</v>
      </c>
      <c r="G3237" s="19">
        <v>0</v>
      </c>
      <c r="H3237" s="5" t="s">
        <v>776</v>
      </c>
      <c r="I3237" s="10">
        <f>IF(OR(D3237="", F3237=""), "", F3237 * VLOOKUP(D3237, Products!A:E, 5, FALSE) * (1 - G3237))</f>
        <v>4865.4399999999996</v>
      </c>
      <c r="J3237" s="10"/>
    </row>
    <row r="3238" spans="1:10" ht="15.75" customHeight="1" x14ac:dyDescent="0.3">
      <c r="A3238" s="5" t="s">
        <v>4105</v>
      </c>
      <c r="B3238" s="11">
        <v>45605</v>
      </c>
      <c r="C3238" s="5" t="s">
        <v>281</v>
      </c>
      <c r="D3238" s="5" t="s">
        <v>200</v>
      </c>
      <c r="E3238" s="5" t="s">
        <v>29</v>
      </c>
      <c r="F3238" s="5">
        <v>2</v>
      </c>
      <c r="G3238" s="19">
        <v>0.1</v>
      </c>
      <c r="H3238" s="5" t="s">
        <v>454</v>
      </c>
      <c r="I3238" s="10">
        <f>IF(OR(D3238="", F3238=""), "", F3238 * VLOOKUP(D3238, Products!A:E, 5, FALSE) * (1 - G3238))</f>
        <v>1972.296</v>
      </c>
      <c r="J3238" s="10"/>
    </row>
    <row r="3239" spans="1:10" ht="15.75" customHeight="1" x14ac:dyDescent="0.3">
      <c r="A3239" s="5" t="s">
        <v>4106</v>
      </c>
      <c r="B3239" s="11">
        <v>45318</v>
      </c>
      <c r="C3239" s="5" t="s">
        <v>563</v>
      </c>
      <c r="D3239" s="5" t="s">
        <v>82</v>
      </c>
      <c r="E3239" s="5" t="s">
        <v>25</v>
      </c>
      <c r="F3239" s="5">
        <v>4</v>
      </c>
      <c r="G3239" s="19">
        <v>0.05</v>
      </c>
      <c r="H3239" s="5" t="s">
        <v>697</v>
      </c>
      <c r="I3239" s="10">
        <f>IF(OR(D3239="", F3239=""), "", F3239 * VLOOKUP(D3239, Products!A:E, 5, FALSE) * (1 - G3239))</f>
        <v>4533.7419999999993</v>
      </c>
      <c r="J3239" s="10"/>
    </row>
    <row r="3240" spans="1:10" ht="15.75" customHeight="1" x14ac:dyDescent="0.3">
      <c r="A3240" s="5" t="s">
        <v>4107</v>
      </c>
      <c r="B3240" s="11">
        <v>45764</v>
      </c>
      <c r="C3240" s="5" t="s">
        <v>515</v>
      </c>
      <c r="D3240" s="5" t="s">
        <v>103</v>
      </c>
      <c r="E3240" s="5" t="s">
        <v>21</v>
      </c>
      <c r="F3240" s="5">
        <v>3</v>
      </c>
      <c r="G3240" s="19">
        <v>0.1</v>
      </c>
      <c r="H3240" s="5" t="s">
        <v>776</v>
      </c>
      <c r="I3240" s="10">
        <f>IF(OR(D3240="", F3240=""), "", F3240 * VLOOKUP(D3240, Products!A:E, 5, FALSE) * (1 - G3240))</f>
        <v>730.21499999999992</v>
      </c>
      <c r="J3240" s="10"/>
    </row>
    <row r="3241" spans="1:10" ht="15.75" customHeight="1" x14ac:dyDescent="0.3">
      <c r="A3241" s="5" t="s">
        <v>4108</v>
      </c>
      <c r="B3241" s="11">
        <v>45391</v>
      </c>
      <c r="C3241" s="5" t="s">
        <v>191</v>
      </c>
      <c r="D3241" s="5" t="s">
        <v>128</v>
      </c>
      <c r="E3241" s="5" t="s">
        <v>25</v>
      </c>
      <c r="F3241" s="5">
        <v>1</v>
      </c>
      <c r="G3241" s="19">
        <v>0</v>
      </c>
      <c r="H3241" s="5" t="s">
        <v>697</v>
      </c>
      <c r="I3241" s="10">
        <f>IF(OR(D3241="", F3241=""), "", F3241 * VLOOKUP(D3241, Products!A:E, 5, FALSE) * (1 - G3241))</f>
        <v>323.92</v>
      </c>
      <c r="J3241" s="10"/>
    </row>
    <row r="3242" spans="1:10" ht="15.75" customHeight="1" x14ac:dyDescent="0.3">
      <c r="A3242" s="5" t="s">
        <v>4109</v>
      </c>
      <c r="B3242" s="11">
        <v>45270</v>
      </c>
      <c r="C3242" s="5" t="s">
        <v>177</v>
      </c>
      <c r="D3242" s="5" t="s">
        <v>272</v>
      </c>
      <c r="E3242" s="5" t="s">
        <v>29</v>
      </c>
      <c r="F3242" s="5">
        <v>2</v>
      </c>
      <c r="G3242" s="19">
        <v>0</v>
      </c>
      <c r="H3242" s="5" t="s">
        <v>637</v>
      </c>
      <c r="I3242" s="10">
        <f>IF(OR(D3242="", F3242=""), "", F3242 * VLOOKUP(D3242, Products!A:E, 5, FALSE) * (1 - G3242))</f>
        <v>2330.7399999999998</v>
      </c>
      <c r="J3242" s="10"/>
    </row>
    <row r="3243" spans="1:10" ht="15.75" customHeight="1" x14ac:dyDescent="0.3">
      <c r="A3243" s="5" t="s">
        <v>4110</v>
      </c>
      <c r="B3243" s="11">
        <v>45480</v>
      </c>
      <c r="C3243" s="5" t="s">
        <v>491</v>
      </c>
      <c r="D3243" s="5" t="s">
        <v>77</v>
      </c>
      <c r="E3243" s="5" t="s">
        <v>21</v>
      </c>
      <c r="F3243" s="5">
        <v>5</v>
      </c>
      <c r="G3243" s="19">
        <v>0.15</v>
      </c>
      <c r="H3243" s="5" t="s">
        <v>776</v>
      </c>
      <c r="I3243" s="10">
        <f>IF(OR(D3243="", F3243=""), "", F3243 * VLOOKUP(D3243, Products!A:E, 5, FALSE) * (1 - G3243))</f>
        <v>1056.4224999999999</v>
      </c>
      <c r="J3243" s="10"/>
    </row>
    <row r="3244" spans="1:10" ht="15.75" customHeight="1" x14ac:dyDescent="0.3">
      <c r="A3244" s="5" t="s">
        <v>4111</v>
      </c>
      <c r="B3244" s="11">
        <v>45710</v>
      </c>
      <c r="C3244" s="5" t="s">
        <v>624</v>
      </c>
      <c r="D3244" s="5" t="s">
        <v>291</v>
      </c>
      <c r="E3244" s="5" t="s">
        <v>37</v>
      </c>
      <c r="F3244" s="5">
        <v>3</v>
      </c>
      <c r="G3244" s="19">
        <v>0</v>
      </c>
      <c r="H3244" s="5" t="s">
        <v>454</v>
      </c>
      <c r="I3244" s="10">
        <f>IF(OR(D3244="", F3244=""), "", F3244 * VLOOKUP(D3244, Products!A:E, 5, FALSE) * (1 - G3244))</f>
        <v>3133.92</v>
      </c>
      <c r="J3244" s="10"/>
    </row>
    <row r="3245" spans="1:10" ht="15.75" customHeight="1" x14ac:dyDescent="0.3">
      <c r="A3245" s="5" t="s">
        <v>4112</v>
      </c>
      <c r="B3245" s="11">
        <v>45758</v>
      </c>
      <c r="C3245" s="5" t="s">
        <v>215</v>
      </c>
      <c r="D3245" s="5" t="s">
        <v>54</v>
      </c>
      <c r="E3245" s="5" t="s">
        <v>29</v>
      </c>
      <c r="F3245" s="5">
        <v>2</v>
      </c>
      <c r="G3245" s="19">
        <v>0.15</v>
      </c>
      <c r="H3245" s="5" t="s">
        <v>697</v>
      </c>
      <c r="I3245" s="10">
        <f>IF(OR(D3245="", F3245=""), "", F3245 * VLOOKUP(D3245, Products!A:E, 5, FALSE) * (1 - G3245))</f>
        <v>3151.4090000000001</v>
      </c>
      <c r="J3245" s="10"/>
    </row>
    <row r="3246" spans="1:10" ht="15.75" customHeight="1" x14ac:dyDescent="0.3">
      <c r="A3246" s="5" t="s">
        <v>4113</v>
      </c>
      <c r="B3246" s="11">
        <v>45218</v>
      </c>
      <c r="C3246" s="5" t="s">
        <v>680</v>
      </c>
      <c r="D3246" s="5" t="s">
        <v>212</v>
      </c>
      <c r="E3246" s="5" t="s">
        <v>29</v>
      </c>
      <c r="F3246" s="5">
        <v>1</v>
      </c>
      <c r="G3246" s="19">
        <v>0</v>
      </c>
      <c r="H3246" s="5" t="s">
        <v>776</v>
      </c>
      <c r="I3246" s="10">
        <f>IF(OR(D3246="", F3246=""), "", F3246 * VLOOKUP(D3246, Products!A:E, 5, FALSE) * (1 - G3246))</f>
        <v>1798.97</v>
      </c>
      <c r="J3246" s="10"/>
    </row>
    <row r="3247" spans="1:10" ht="15.75" customHeight="1" x14ac:dyDescent="0.3">
      <c r="A3247" s="5" t="s">
        <v>4114</v>
      </c>
      <c r="B3247" s="11">
        <v>45628</v>
      </c>
      <c r="C3247" s="5" t="s">
        <v>317</v>
      </c>
      <c r="D3247" s="5" t="s">
        <v>221</v>
      </c>
      <c r="E3247" s="5" t="s">
        <v>25</v>
      </c>
      <c r="F3247" s="5">
        <v>3</v>
      </c>
      <c r="G3247" s="19">
        <v>0.05</v>
      </c>
      <c r="H3247" s="5" t="s">
        <v>697</v>
      </c>
      <c r="I3247" s="10">
        <f>IF(OR(D3247="", F3247=""), "", F3247 * VLOOKUP(D3247, Products!A:E, 5, FALSE) * (1 - G3247))</f>
        <v>4452.9254999999994</v>
      </c>
      <c r="J3247" s="10"/>
    </row>
    <row r="3248" spans="1:10" ht="15.75" customHeight="1" x14ac:dyDescent="0.3">
      <c r="A3248" s="5" t="s">
        <v>4115</v>
      </c>
      <c r="B3248" s="11">
        <v>45655</v>
      </c>
      <c r="C3248" s="5" t="s">
        <v>620</v>
      </c>
      <c r="D3248" s="5" t="s">
        <v>193</v>
      </c>
      <c r="E3248" s="5" t="s">
        <v>29</v>
      </c>
      <c r="F3248" s="5">
        <v>1</v>
      </c>
      <c r="G3248" s="19">
        <v>0.1</v>
      </c>
      <c r="H3248" s="5" t="s">
        <v>637</v>
      </c>
      <c r="I3248" s="10">
        <f>IF(OR(D3248="", F3248=""), "", F3248 * VLOOKUP(D3248, Products!A:E, 5, FALSE) * (1 - G3248))</f>
        <v>26.315999999999999</v>
      </c>
      <c r="J3248" s="10"/>
    </row>
    <row r="3249" spans="1:10" ht="15.75" customHeight="1" x14ac:dyDescent="0.3">
      <c r="A3249" s="5" t="s">
        <v>4116</v>
      </c>
      <c r="B3249" s="11">
        <v>45179</v>
      </c>
      <c r="C3249" s="5" t="s">
        <v>859</v>
      </c>
      <c r="D3249" s="5" t="s">
        <v>237</v>
      </c>
      <c r="E3249" s="5" t="s">
        <v>33</v>
      </c>
      <c r="F3249" s="5">
        <v>1</v>
      </c>
      <c r="G3249" s="19">
        <v>0.15</v>
      </c>
      <c r="H3249" s="5" t="s">
        <v>697</v>
      </c>
      <c r="I3249" s="10">
        <f>IF(OR(D3249="", F3249=""), "", F3249 * VLOOKUP(D3249, Products!A:E, 5, FALSE) * (1 - G3249))</f>
        <v>311.89049999999997</v>
      </c>
      <c r="J3249" s="10"/>
    </row>
    <row r="3250" spans="1:10" ht="15.75" customHeight="1" x14ac:dyDescent="0.3">
      <c r="A3250" s="5" t="s">
        <v>4117</v>
      </c>
      <c r="B3250" s="11">
        <v>45353</v>
      </c>
      <c r="C3250" s="5" t="s">
        <v>322</v>
      </c>
      <c r="D3250" s="5" t="s">
        <v>267</v>
      </c>
      <c r="E3250" s="5" t="s">
        <v>25</v>
      </c>
      <c r="F3250" s="5">
        <v>5</v>
      </c>
      <c r="G3250" s="19">
        <v>0.15</v>
      </c>
      <c r="H3250" s="5" t="s">
        <v>776</v>
      </c>
      <c r="I3250" s="10">
        <f>IF(OR(D3250="", F3250=""), "", F3250 * VLOOKUP(D3250, Products!A:E, 5, FALSE) * (1 - G3250))</f>
        <v>5467.8374999999996</v>
      </c>
      <c r="J3250" s="10"/>
    </row>
    <row r="3251" spans="1:10" ht="15.75" customHeight="1" x14ac:dyDescent="0.3">
      <c r="A3251" s="5" t="s">
        <v>4118</v>
      </c>
      <c r="B3251" s="11">
        <v>45422</v>
      </c>
      <c r="C3251" s="5" t="s">
        <v>850</v>
      </c>
      <c r="D3251" s="5" t="s">
        <v>200</v>
      </c>
      <c r="E3251" s="5" t="s">
        <v>25</v>
      </c>
      <c r="F3251" s="5">
        <v>4</v>
      </c>
      <c r="G3251" s="19">
        <v>0.15</v>
      </c>
      <c r="H3251" s="5" t="s">
        <v>637</v>
      </c>
      <c r="I3251" s="10">
        <f>IF(OR(D3251="", F3251=""), "", F3251 * VLOOKUP(D3251, Products!A:E, 5, FALSE) * (1 - G3251))</f>
        <v>3725.4479999999999</v>
      </c>
      <c r="J3251" s="10"/>
    </row>
    <row r="3252" spans="1:10" ht="15.75" customHeight="1" x14ac:dyDescent="0.3">
      <c r="A3252" s="5" t="s">
        <v>4119</v>
      </c>
      <c r="B3252" s="11">
        <v>45235</v>
      </c>
      <c r="C3252" s="5" t="s">
        <v>477</v>
      </c>
      <c r="D3252" s="5" t="s">
        <v>265</v>
      </c>
      <c r="E3252" s="5" t="s">
        <v>29</v>
      </c>
      <c r="F3252" s="5">
        <v>2</v>
      </c>
      <c r="G3252" s="19">
        <v>0</v>
      </c>
      <c r="H3252" s="5" t="s">
        <v>776</v>
      </c>
      <c r="I3252" s="10">
        <f>IF(OR(D3252="", F3252=""), "", F3252 * VLOOKUP(D3252, Products!A:E, 5, FALSE) * (1 - G3252))</f>
        <v>1128.8399999999999</v>
      </c>
      <c r="J3252" s="10"/>
    </row>
    <row r="3253" spans="1:10" ht="15.75" customHeight="1" x14ac:dyDescent="0.3">
      <c r="A3253" s="5" t="s">
        <v>4120</v>
      </c>
      <c r="B3253" s="11">
        <v>45428</v>
      </c>
      <c r="C3253" s="5" t="s">
        <v>597</v>
      </c>
      <c r="D3253" s="5" t="s">
        <v>206</v>
      </c>
      <c r="E3253" s="5" t="s">
        <v>25</v>
      </c>
      <c r="F3253" s="5">
        <v>1</v>
      </c>
      <c r="G3253" s="19">
        <v>0.1</v>
      </c>
      <c r="H3253" s="5" t="s">
        <v>776</v>
      </c>
      <c r="I3253" s="10">
        <f>IF(OR(D3253="", F3253=""), "", F3253 * VLOOKUP(D3253, Products!A:E, 5, FALSE) * (1 - G3253))</f>
        <v>274.23899999999998</v>
      </c>
      <c r="J3253" s="10"/>
    </row>
    <row r="3254" spans="1:10" ht="15.75" customHeight="1" x14ac:dyDescent="0.3">
      <c r="A3254" s="5" t="s">
        <v>4121</v>
      </c>
      <c r="B3254" s="11">
        <v>45545</v>
      </c>
      <c r="C3254" s="5" t="s">
        <v>602</v>
      </c>
      <c r="D3254" s="5" t="s">
        <v>237</v>
      </c>
      <c r="E3254" s="5" t="s">
        <v>29</v>
      </c>
      <c r="F3254" s="5">
        <v>3</v>
      </c>
      <c r="G3254" s="19">
        <v>0.15</v>
      </c>
      <c r="H3254" s="5" t="s">
        <v>776</v>
      </c>
      <c r="I3254" s="10">
        <f>IF(OR(D3254="", F3254=""), "", F3254 * VLOOKUP(D3254, Products!A:E, 5, FALSE) * (1 - G3254))</f>
        <v>935.67149999999992</v>
      </c>
      <c r="J3254" s="10"/>
    </row>
    <row r="3255" spans="1:10" ht="15.75" customHeight="1" x14ac:dyDescent="0.3">
      <c r="A3255" s="5" t="s">
        <v>4122</v>
      </c>
      <c r="B3255" s="11">
        <v>45632</v>
      </c>
      <c r="C3255" s="5" t="s">
        <v>470</v>
      </c>
      <c r="D3255" s="5" t="s">
        <v>77</v>
      </c>
      <c r="E3255" s="5" t="s">
        <v>33</v>
      </c>
      <c r="F3255" s="5">
        <v>1</v>
      </c>
      <c r="G3255" s="19">
        <v>0.05</v>
      </c>
      <c r="H3255" s="5" t="s">
        <v>776</v>
      </c>
      <c r="I3255" s="10">
        <f>IF(OR(D3255="", F3255=""), "", F3255 * VLOOKUP(D3255, Products!A:E, 5, FALSE) * (1 - G3255))</f>
        <v>236.14149999999998</v>
      </c>
      <c r="J3255" s="10"/>
    </row>
    <row r="3256" spans="1:10" ht="15.75" customHeight="1" x14ac:dyDescent="0.3">
      <c r="A3256" s="5" t="s">
        <v>4123</v>
      </c>
      <c r="B3256" s="11">
        <v>45760</v>
      </c>
      <c r="C3256" s="5" t="s">
        <v>724</v>
      </c>
      <c r="D3256" s="5" t="s">
        <v>232</v>
      </c>
      <c r="E3256" s="5" t="s">
        <v>37</v>
      </c>
      <c r="F3256" s="5">
        <v>5</v>
      </c>
      <c r="G3256" s="19">
        <v>0</v>
      </c>
      <c r="H3256" s="5" t="s">
        <v>697</v>
      </c>
      <c r="I3256" s="10">
        <f>IF(OR(D3256="", F3256=""), "", F3256 * VLOOKUP(D3256, Products!A:E, 5, FALSE) * (1 - G3256))</f>
        <v>9763.25</v>
      </c>
      <c r="J3256" s="10"/>
    </row>
    <row r="3257" spans="1:10" ht="15.75" customHeight="1" x14ac:dyDescent="0.3">
      <c r="A3257" s="5" t="s">
        <v>4124</v>
      </c>
      <c r="B3257" s="11">
        <v>45303</v>
      </c>
      <c r="C3257" s="5" t="s">
        <v>618</v>
      </c>
      <c r="D3257" s="5" t="s">
        <v>221</v>
      </c>
      <c r="E3257" s="5" t="s">
        <v>33</v>
      </c>
      <c r="F3257" s="5">
        <v>5</v>
      </c>
      <c r="G3257" s="19">
        <v>0.1</v>
      </c>
      <c r="H3257" s="5" t="s">
        <v>776</v>
      </c>
      <c r="I3257" s="10">
        <f>IF(OR(D3257="", F3257=""), "", F3257 * VLOOKUP(D3257, Products!A:E, 5, FALSE) * (1 - G3257))</f>
        <v>7030.9350000000004</v>
      </c>
      <c r="J3257" s="10"/>
    </row>
    <row r="3258" spans="1:10" ht="15.75" customHeight="1" x14ac:dyDescent="0.3">
      <c r="A3258" s="5" t="s">
        <v>4125</v>
      </c>
      <c r="B3258" s="11">
        <v>45561</v>
      </c>
      <c r="C3258" s="5" t="s">
        <v>402</v>
      </c>
      <c r="D3258" s="5" t="s">
        <v>70</v>
      </c>
      <c r="E3258" s="5" t="s">
        <v>21</v>
      </c>
      <c r="F3258" s="5">
        <v>3</v>
      </c>
      <c r="G3258" s="19">
        <v>0.05</v>
      </c>
      <c r="H3258" s="5" t="s">
        <v>454</v>
      </c>
      <c r="I3258" s="10">
        <f>IF(OR(D3258="", F3258=""), "", F3258 * VLOOKUP(D3258, Products!A:E, 5, FALSE) * (1 - G3258))</f>
        <v>351.0915</v>
      </c>
      <c r="J3258" s="10"/>
    </row>
    <row r="3259" spans="1:10" ht="15.75" customHeight="1" x14ac:dyDescent="0.3">
      <c r="A3259" s="5" t="s">
        <v>4126</v>
      </c>
      <c r="B3259" s="11">
        <v>45480</v>
      </c>
      <c r="C3259" s="5" t="s">
        <v>674</v>
      </c>
      <c r="D3259" s="5" t="s">
        <v>128</v>
      </c>
      <c r="E3259" s="5" t="s">
        <v>33</v>
      </c>
      <c r="F3259" s="5">
        <v>3</v>
      </c>
      <c r="G3259" s="19">
        <v>0</v>
      </c>
      <c r="H3259" s="5" t="s">
        <v>776</v>
      </c>
      <c r="I3259" s="10">
        <f>IF(OR(D3259="", F3259=""), "", F3259 * VLOOKUP(D3259, Products!A:E, 5, FALSE) * (1 - G3259))</f>
        <v>971.76</v>
      </c>
      <c r="J3259" s="10"/>
    </row>
    <row r="3260" spans="1:10" ht="15.75" customHeight="1" x14ac:dyDescent="0.3">
      <c r="A3260" s="5" t="s">
        <v>4127</v>
      </c>
      <c r="B3260" s="11">
        <v>45848</v>
      </c>
      <c r="C3260" s="5" t="s">
        <v>165</v>
      </c>
      <c r="D3260" s="5" t="s">
        <v>232</v>
      </c>
      <c r="E3260" s="5" t="s">
        <v>29</v>
      </c>
      <c r="F3260" s="5">
        <v>2</v>
      </c>
      <c r="G3260" s="19">
        <v>0.1</v>
      </c>
      <c r="H3260" s="5" t="s">
        <v>637</v>
      </c>
      <c r="I3260" s="10">
        <f>IF(OR(D3260="", F3260=""), "", F3260 * VLOOKUP(D3260, Products!A:E, 5, FALSE) * (1 - G3260))</f>
        <v>3514.7700000000004</v>
      </c>
      <c r="J3260" s="10"/>
    </row>
    <row r="3261" spans="1:10" ht="15.75" customHeight="1" x14ac:dyDescent="0.3">
      <c r="A3261" s="5" t="s">
        <v>4128</v>
      </c>
      <c r="B3261" s="11">
        <v>45733</v>
      </c>
      <c r="C3261" s="5" t="s">
        <v>308</v>
      </c>
      <c r="D3261" s="5" t="s">
        <v>291</v>
      </c>
      <c r="E3261" s="5" t="s">
        <v>29</v>
      </c>
      <c r="F3261" s="5">
        <v>3</v>
      </c>
      <c r="G3261" s="19">
        <v>0.15</v>
      </c>
      <c r="H3261" s="5" t="s">
        <v>776</v>
      </c>
      <c r="I3261" s="10">
        <f>IF(OR(D3261="", F3261=""), "", F3261 * VLOOKUP(D3261, Products!A:E, 5, FALSE) * (1 - G3261))</f>
        <v>2663.8319999999999</v>
      </c>
      <c r="J3261" s="10"/>
    </row>
    <row r="3262" spans="1:10" ht="15.75" customHeight="1" x14ac:dyDescent="0.3">
      <c r="A3262" s="5" t="s">
        <v>4129</v>
      </c>
      <c r="B3262" s="11">
        <v>45371</v>
      </c>
      <c r="C3262" s="5" t="s">
        <v>669</v>
      </c>
      <c r="D3262" s="5" t="s">
        <v>243</v>
      </c>
      <c r="E3262" s="5" t="s">
        <v>29</v>
      </c>
      <c r="F3262" s="5">
        <v>1</v>
      </c>
      <c r="G3262" s="19">
        <v>0.15</v>
      </c>
      <c r="H3262" s="5" t="s">
        <v>454</v>
      </c>
      <c r="I3262" s="10">
        <f>IF(OR(D3262="", F3262=""), "", F3262 * VLOOKUP(D3262, Products!A:E, 5, FALSE) * (1 - G3262))</f>
        <v>459.79900000000004</v>
      </c>
      <c r="J3262" s="10"/>
    </row>
    <row r="3263" spans="1:10" ht="15.75" customHeight="1" x14ac:dyDescent="0.3">
      <c r="A3263" s="5" t="s">
        <v>4130</v>
      </c>
      <c r="B3263" s="11">
        <v>45608</v>
      </c>
      <c r="C3263" s="5" t="s">
        <v>847</v>
      </c>
      <c r="D3263" s="5" t="s">
        <v>140</v>
      </c>
      <c r="E3263" s="5" t="s">
        <v>29</v>
      </c>
      <c r="F3263" s="5">
        <v>4</v>
      </c>
      <c r="G3263" s="19">
        <v>0</v>
      </c>
      <c r="H3263" s="5" t="s">
        <v>776</v>
      </c>
      <c r="I3263" s="10">
        <f>IF(OR(D3263="", F3263=""), "", F3263 * VLOOKUP(D3263, Products!A:E, 5, FALSE) * (1 - G3263))</f>
        <v>102.28</v>
      </c>
      <c r="J3263" s="10"/>
    </row>
    <row r="3264" spans="1:10" ht="15.75" customHeight="1" x14ac:dyDescent="0.3">
      <c r="A3264" s="5" t="s">
        <v>4131</v>
      </c>
      <c r="B3264" s="11">
        <v>45737</v>
      </c>
      <c r="C3264" s="5" t="s">
        <v>440</v>
      </c>
      <c r="D3264" s="5" t="s">
        <v>67</v>
      </c>
      <c r="E3264" s="5" t="s">
        <v>29</v>
      </c>
      <c r="F3264" s="5">
        <v>2</v>
      </c>
      <c r="G3264" s="19">
        <v>0</v>
      </c>
      <c r="H3264" s="5" t="s">
        <v>697</v>
      </c>
      <c r="I3264" s="10">
        <f>IF(OR(D3264="", F3264=""), "", F3264 * VLOOKUP(D3264, Products!A:E, 5, FALSE) * (1 - G3264))</f>
        <v>219.56</v>
      </c>
      <c r="J3264" s="10"/>
    </row>
    <row r="3265" spans="1:10" ht="15.75" customHeight="1" x14ac:dyDescent="0.3">
      <c r="A3265" s="5" t="s">
        <v>4132</v>
      </c>
      <c r="B3265" s="11">
        <v>45643</v>
      </c>
      <c r="C3265" s="5" t="s">
        <v>665</v>
      </c>
      <c r="D3265" s="5" t="s">
        <v>269</v>
      </c>
      <c r="E3265" s="5" t="s">
        <v>37</v>
      </c>
      <c r="F3265" s="5">
        <v>5</v>
      </c>
      <c r="G3265" s="19">
        <v>0</v>
      </c>
      <c r="H3265" s="5" t="s">
        <v>454</v>
      </c>
      <c r="I3265" s="10">
        <f>IF(OR(D3265="", F3265=""), "", F3265 * VLOOKUP(D3265, Products!A:E, 5, FALSE) * (1 - G3265))</f>
        <v>9395.4</v>
      </c>
      <c r="J3265" s="10"/>
    </row>
    <row r="3266" spans="1:10" ht="15.75" customHeight="1" x14ac:dyDescent="0.3">
      <c r="A3266" s="5" t="s">
        <v>4133</v>
      </c>
      <c r="B3266" s="11">
        <v>45234</v>
      </c>
      <c r="C3266" s="5" t="s">
        <v>250</v>
      </c>
      <c r="D3266" s="5" t="s">
        <v>57</v>
      </c>
      <c r="E3266" s="5" t="s">
        <v>21</v>
      </c>
      <c r="F3266" s="5">
        <v>3</v>
      </c>
      <c r="G3266" s="19">
        <v>0.1</v>
      </c>
      <c r="H3266" s="5" t="s">
        <v>454</v>
      </c>
      <c r="I3266" s="10">
        <f>IF(OR(D3266="", F3266=""), "", F3266 * VLOOKUP(D3266, Products!A:E, 5, FALSE) * (1 - G3266))</f>
        <v>3769.7939999999999</v>
      </c>
      <c r="J3266" s="10"/>
    </row>
    <row r="3267" spans="1:10" ht="15.75" customHeight="1" x14ac:dyDescent="0.3">
      <c r="A3267" s="5" t="s">
        <v>4134</v>
      </c>
      <c r="B3267" s="11">
        <v>45460</v>
      </c>
      <c r="C3267" s="5" t="s">
        <v>261</v>
      </c>
      <c r="D3267" s="5" t="s">
        <v>89</v>
      </c>
      <c r="E3267" s="5" t="s">
        <v>25</v>
      </c>
      <c r="F3267" s="5">
        <v>5</v>
      </c>
      <c r="G3267" s="19">
        <v>0.05</v>
      </c>
      <c r="H3267" s="5" t="s">
        <v>776</v>
      </c>
      <c r="I3267" s="10">
        <f>IF(OR(D3267="", F3267=""), "", F3267 * VLOOKUP(D3267, Products!A:E, 5, FALSE) * (1 - G3267))</f>
        <v>5390.3</v>
      </c>
      <c r="J3267" s="10"/>
    </row>
    <row r="3268" spans="1:10" ht="15.75" customHeight="1" x14ac:dyDescent="0.3">
      <c r="A3268" s="5" t="s">
        <v>4135</v>
      </c>
      <c r="B3268" s="11">
        <v>45502</v>
      </c>
      <c r="C3268" s="5" t="s">
        <v>389</v>
      </c>
      <c r="D3268" s="5" t="s">
        <v>168</v>
      </c>
      <c r="E3268" s="5" t="s">
        <v>21</v>
      </c>
      <c r="F3268" s="5">
        <v>3</v>
      </c>
      <c r="G3268" s="19">
        <v>0.1</v>
      </c>
      <c r="H3268" s="5" t="s">
        <v>776</v>
      </c>
      <c r="I3268" s="10">
        <f>IF(OR(D3268="", F3268=""), "", F3268 * VLOOKUP(D3268, Products!A:E, 5, FALSE) * (1 - G3268))</f>
        <v>2742.5519999999997</v>
      </c>
      <c r="J3268" s="10"/>
    </row>
    <row r="3269" spans="1:10" ht="15.75" customHeight="1" x14ac:dyDescent="0.3">
      <c r="A3269" s="5" t="s">
        <v>4136</v>
      </c>
      <c r="B3269" s="11">
        <v>45615</v>
      </c>
      <c r="C3269" s="5" t="s">
        <v>823</v>
      </c>
      <c r="D3269" s="5" t="s">
        <v>226</v>
      </c>
      <c r="E3269" s="5" t="s">
        <v>37</v>
      </c>
      <c r="F3269" s="5">
        <v>5</v>
      </c>
      <c r="G3269" s="19">
        <v>0.1</v>
      </c>
      <c r="H3269" s="5" t="s">
        <v>454</v>
      </c>
      <c r="I3269" s="10">
        <f>IF(OR(D3269="", F3269=""), "", F3269 * VLOOKUP(D3269, Products!A:E, 5, FALSE) * (1 - G3269))</f>
        <v>6756.5700000000006</v>
      </c>
      <c r="J3269" s="10"/>
    </row>
    <row r="3270" spans="1:10" ht="15.75" customHeight="1" x14ac:dyDescent="0.3">
      <c r="A3270" s="5" t="s">
        <v>4137</v>
      </c>
      <c r="B3270" s="11">
        <v>45862</v>
      </c>
      <c r="C3270" s="5" t="s">
        <v>229</v>
      </c>
      <c r="D3270" s="5" t="s">
        <v>217</v>
      </c>
      <c r="E3270" s="5" t="s">
        <v>33</v>
      </c>
      <c r="F3270" s="5">
        <v>1</v>
      </c>
      <c r="G3270" s="19">
        <v>0.1</v>
      </c>
      <c r="H3270" s="5" t="s">
        <v>637</v>
      </c>
      <c r="I3270" s="10">
        <f>IF(OR(D3270="", F3270=""), "", F3270 * VLOOKUP(D3270, Products!A:E, 5, FALSE) * (1 - G3270))</f>
        <v>385.245</v>
      </c>
      <c r="J3270" s="10"/>
    </row>
    <row r="3271" spans="1:10" ht="15.75" customHeight="1" x14ac:dyDescent="0.3">
      <c r="A3271" s="5" t="s">
        <v>4138</v>
      </c>
      <c r="B3271" s="11">
        <v>45702</v>
      </c>
      <c r="C3271" s="5" t="s">
        <v>215</v>
      </c>
      <c r="D3271" s="5" t="s">
        <v>221</v>
      </c>
      <c r="E3271" s="5" t="s">
        <v>29</v>
      </c>
      <c r="F3271" s="5">
        <v>3</v>
      </c>
      <c r="G3271" s="19">
        <v>0</v>
      </c>
      <c r="H3271" s="5" t="s">
        <v>697</v>
      </c>
      <c r="I3271" s="10">
        <f>IF(OR(D3271="", F3271=""), "", F3271 * VLOOKUP(D3271, Products!A:E, 5, FALSE) * (1 - G3271))</f>
        <v>4687.29</v>
      </c>
      <c r="J3271" s="10"/>
    </row>
    <row r="3272" spans="1:10" ht="15.75" customHeight="1" x14ac:dyDescent="0.3">
      <c r="A3272" s="5" t="s">
        <v>4139</v>
      </c>
      <c r="B3272" s="11">
        <v>45907</v>
      </c>
      <c r="C3272" s="5" t="s">
        <v>181</v>
      </c>
      <c r="D3272" s="5" t="s">
        <v>280</v>
      </c>
      <c r="E3272" s="5" t="s">
        <v>21</v>
      </c>
      <c r="F3272" s="5">
        <v>5</v>
      </c>
      <c r="G3272" s="19">
        <v>0</v>
      </c>
      <c r="H3272" s="5" t="s">
        <v>776</v>
      </c>
      <c r="I3272" s="10">
        <f>IF(OR(D3272="", F3272=""), "", F3272 * VLOOKUP(D3272, Products!A:E, 5, FALSE) * (1 - G3272))</f>
        <v>6081.7999999999993</v>
      </c>
      <c r="J3272" s="10"/>
    </row>
    <row r="3273" spans="1:10" ht="15.75" customHeight="1" x14ac:dyDescent="0.3">
      <c r="A3273" s="5" t="s">
        <v>4140</v>
      </c>
      <c r="B3273" s="11">
        <v>45884</v>
      </c>
      <c r="C3273" s="5" t="s">
        <v>620</v>
      </c>
      <c r="D3273" s="5" t="s">
        <v>122</v>
      </c>
      <c r="E3273" s="5" t="s">
        <v>21</v>
      </c>
      <c r="F3273" s="5">
        <v>4</v>
      </c>
      <c r="G3273" s="19">
        <v>0.1</v>
      </c>
      <c r="H3273" s="5" t="s">
        <v>637</v>
      </c>
      <c r="I3273" s="10">
        <f>IF(OR(D3273="", F3273=""), "", F3273 * VLOOKUP(D3273, Products!A:E, 5, FALSE) * (1 - G3273))</f>
        <v>6346.5120000000006</v>
      </c>
      <c r="J3273" s="10"/>
    </row>
    <row r="3274" spans="1:10" ht="15.75" customHeight="1" x14ac:dyDescent="0.3">
      <c r="A3274" s="5" t="s">
        <v>4141</v>
      </c>
      <c r="B3274" s="11">
        <v>45226</v>
      </c>
      <c r="C3274" s="5" t="s">
        <v>676</v>
      </c>
      <c r="D3274" s="5" t="s">
        <v>280</v>
      </c>
      <c r="E3274" s="5" t="s">
        <v>21</v>
      </c>
      <c r="F3274" s="5">
        <v>3</v>
      </c>
      <c r="G3274" s="19">
        <v>0.05</v>
      </c>
      <c r="H3274" s="5" t="s">
        <v>697</v>
      </c>
      <c r="I3274" s="10">
        <f>IF(OR(D3274="", F3274=""), "", F3274 * VLOOKUP(D3274, Products!A:E, 5, FALSE) * (1 - G3274))</f>
        <v>3466.6259999999997</v>
      </c>
      <c r="J3274" s="10"/>
    </row>
    <row r="3275" spans="1:10" ht="15.75" customHeight="1" x14ac:dyDescent="0.3">
      <c r="A3275" s="5" t="s">
        <v>4142</v>
      </c>
      <c r="B3275" s="11">
        <v>45506</v>
      </c>
      <c r="C3275" s="5" t="s">
        <v>197</v>
      </c>
      <c r="D3275" s="5" t="s">
        <v>226</v>
      </c>
      <c r="E3275" s="5" t="s">
        <v>29</v>
      </c>
      <c r="F3275" s="5">
        <v>2</v>
      </c>
      <c r="G3275" s="19">
        <v>0.05</v>
      </c>
      <c r="H3275" s="5" t="s">
        <v>776</v>
      </c>
      <c r="I3275" s="10">
        <f>IF(OR(D3275="", F3275=""), "", F3275 * VLOOKUP(D3275, Products!A:E, 5, FALSE) * (1 - G3275))</f>
        <v>2852.7739999999999</v>
      </c>
      <c r="J3275" s="10"/>
    </row>
    <row r="3276" spans="1:10" ht="15.75" customHeight="1" x14ac:dyDescent="0.3">
      <c r="A3276" s="5" t="s">
        <v>4143</v>
      </c>
      <c r="B3276" s="11">
        <v>45767</v>
      </c>
      <c r="C3276" s="5" t="s">
        <v>752</v>
      </c>
      <c r="D3276" s="5" t="s">
        <v>82</v>
      </c>
      <c r="E3276" s="5" t="s">
        <v>21</v>
      </c>
      <c r="F3276" s="5">
        <v>4</v>
      </c>
      <c r="G3276" s="19">
        <v>0.05</v>
      </c>
      <c r="H3276" s="5" t="s">
        <v>697</v>
      </c>
      <c r="I3276" s="10">
        <f>IF(OR(D3276="", F3276=""), "", F3276 * VLOOKUP(D3276, Products!A:E, 5, FALSE) * (1 - G3276))</f>
        <v>4533.7419999999993</v>
      </c>
      <c r="J3276" s="10"/>
    </row>
    <row r="3277" spans="1:10" ht="15.75" customHeight="1" x14ac:dyDescent="0.3">
      <c r="A3277" s="5" t="s">
        <v>4144</v>
      </c>
      <c r="B3277" s="11">
        <v>45489</v>
      </c>
      <c r="C3277" s="5" t="s">
        <v>326</v>
      </c>
      <c r="D3277" s="5" t="s">
        <v>280</v>
      </c>
      <c r="E3277" s="5" t="s">
        <v>37</v>
      </c>
      <c r="F3277" s="5">
        <v>2</v>
      </c>
      <c r="G3277" s="19">
        <v>0.15</v>
      </c>
      <c r="H3277" s="5" t="s">
        <v>776</v>
      </c>
      <c r="I3277" s="10">
        <f>IF(OR(D3277="", F3277=""), "", F3277 * VLOOKUP(D3277, Products!A:E, 5, FALSE) * (1 - G3277))</f>
        <v>2067.8119999999999</v>
      </c>
      <c r="J3277" s="10"/>
    </row>
    <row r="3278" spans="1:10" ht="15.75" customHeight="1" x14ac:dyDescent="0.3">
      <c r="A3278" s="5" t="s">
        <v>4145</v>
      </c>
      <c r="B3278" s="11">
        <v>45241</v>
      </c>
      <c r="C3278" s="5" t="s">
        <v>795</v>
      </c>
      <c r="D3278" s="5" t="s">
        <v>140</v>
      </c>
      <c r="E3278" s="5" t="s">
        <v>37</v>
      </c>
      <c r="F3278" s="5">
        <v>3</v>
      </c>
      <c r="G3278" s="19">
        <v>0.05</v>
      </c>
      <c r="H3278" s="5" t="s">
        <v>637</v>
      </c>
      <c r="I3278" s="10">
        <f>IF(OR(D3278="", F3278=""), "", F3278 * VLOOKUP(D3278, Products!A:E, 5, FALSE) * (1 - G3278))</f>
        <v>72.874499999999998</v>
      </c>
      <c r="J3278" s="10"/>
    </row>
    <row r="3279" spans="1:10" ht="15.75" customHeight="1" x14ac:dyDescent="0.3">
      <c r="A3279" s="5" t="s">
        <v>4146</v>
      </c>
      <c r="B3279" s="11">
        <v>45252</v>
      </c>
      <c r="C3279" s="5" t="s">
        <v>683</v>
      </c>
      <c r="D3279" s="5" t="s">
        <v>168</v>
      </c>
      <c r="E3279" s="5" t="s">
        <v>25</v>
      </c>
      <c r="F3279" s="5">
        <v>1</v>
      </c>
      <c r="G3279" s="19">
        <v>0.15</v>
      </c>
      <c r="H3279" s="5" t="s">
        <v>697</v>
      </c>
      <c r="I3279" s="10">
        <f>IF(OR(D3279="", F3279=""), "", F3279 * VLOOKUP(D3279, Products!A:E, 5, FALSE) * (1 - G3279))</f>
        <v>863.39599999999996</v>
      </c>
      <c r="J3279" s="10"/>
    </row>
    <row r="3280" spans="1:10" ht="15.75" customHeight="1" x14ac:dyDescent="0.3">
      <c r="A3280" s="5" t="s">
        <v>4147</v>
      </c>
      <c r="B3280" s="11">
        <v>45664</v>
      </c>
      <c r="C3280" s="5" t="s">
        <v>736</v>
      </c>
      <c r="D3280" s="5" t="s">
        <v>249</v>
      </c>
      <c r="E3280" s="5" t="s">
        <v>33</v>
      </c>
      <c r="F3280" s="5">
        <v>2</v>
      </c>
      <c r="G3280" s="19">
        <v>0.1</v>
      </c>
      <c r="H3280" s="5" t="s">
        <v>454</v>
      </c>
      <c r="I3280" s="10">
        <f>IF(OR(D3280="", F3280=""), "", F3280 * VLOOKUP(D3280, Products!A:E, 5, FALSE) * (1 - G3280))</f>
        <v>3142.098</v>
      </c>
      <c r="J3280" s="10"/>
    </row>
    <row r="3281" spans="1:10" ht="15.75" customHeight="1" x14ac:dyDescent="0.3">
      <c r="A3281" s="5" t="s">
        <v>4148</v>
      </c>
      <c r="B3281" s="11">
        <v>45363</v>
      </c>
      <c r="C3281" s="5" t="s">
        <v>286</v>
      </c>
      <c r="D3281" s="5" t="s">
        <v>119</v>
      </c>
      <c r="E3281" s="5" t="s">
        <v>33</v>
      </c>
      <c r="F3281" s="5">
        <v>5</v>
      </c>
      <c r="G3281" s="19">
        <v>0.15</v>
      </c>
      <c r="H3281" s="5" t="s">
        <v>454</v>
      </c>
      <c r="I3281" s="10">
        <f>IF(OR(D3281="", F3281=""), "", F3281 * VLOOKUP(D3281, Products!A:E, 5, FALSE) * (1 - G3281))</f>
        <v>4589.5325000000003</v>
      </c>
      <c r="J3281" s="10"/>
    </row>
    <row r="3282" spans="1:10" ht="15.75" customHeight="1" x14ac:dyDescent="0.3">
      <c r="A3282" s="5" t="s">
        <v>4149</v>
      </c>
      <c r="B3282" s="11">
        <v>45745</v>
      </c>
      <c r="C3282" s="5" t="s">
        <v>425</v>
      </c>
      <c r="D3282" s="5" t="s">
        <v>162</v>
      </c>
      <c r="E3282" s="5" t="s">
        <v>25</v>
      </c>
      <c r="F3282" s="5">
        <v>5</v>
      </c>
      <c r="G3282" s="19">
        <v>0</v>
      </c>
      <c r="H3282" s="5" t="s">
        <v>637</v>
      </c>
      <c r="I3282" s="10">
        <f>IF(OR(D3282="", F3282=""), "", F3282 * VLOOKUP(D3282, Products!A:E, 5, FALSE) * (1 - G3282))</f>
        <v>2145.75</v>
      </c>
      <c r="J3282" s="10"/>
    </row>
    <row r="3283" spans="1:10" ht="15.75" customHeight="1" x14ac:dyDescent="0.3">
      <c r="A3283" s="5" t="s">
        <v>4150</v>
      </c>
      <c r="B3283" s="11">
        <v>45235</v>
      </c>
      <c r="C3283" s="5" t="s">
        <v>412</v>
      </c>
      <c r="D3283" s="5" t="s">
        <v>212</v>
      </c>
      <c r="E3283" s="5" t="s">
        <v>37</v>
      </c>
      <c r="F3283" s="5">
        <v>4</v>
      </c>
      <c r="G3283" s="19">
        <v>0</v>
      </c>
      <c r="H3283" s="5" t="s">
        <v>776</v>
      </c>
      <c r="I3283" s="10">
        <f>IF(OR(D3283="", F3283=""), "", F3283 * VLOOKUP(D3283, Products!A:E, 5, FALSE) * (1 - G3283))</f>
        <v>7195.88</v>
      </c>
      <c r="J3283" s="10"/>
    </row>
    <row r="3284" spans="1:10" ht="15.75" customHeight="1" x14ac:dyDescent="0.3">
      <c r="A3284" s="5" t="s">
        <v>4151</v>
      </c>
      <c r="B3284" s="11">
        <v>45864</v>
      </c>
      <c r="C3284" s="5" t="s">
        <v>554</v>
      </c>
      <c r="D3284" s="5" t="s">
        <v>206</v>
      </c>
      <c r="E3284" s="5" t="s">
        <v>37</v>
      </c>
      <c r="F3284" s="5">
        <v>2</v>
      </c>
      <c r="G3284" s="19">
        <v>0.1</v>
      </c>
      <c r="H3284" s="5" t="s">
        <v>697</v>
      </c>
      <c r="I3284" s="10">
        <f>IF(OR(D3284="", F3284=""), "", F3284 * VLOOKUP(D3284, Products!A:E, 5, FALSE) * (1 - G3284))</f>
        <v>548.47799999999995</v>
      </c>
      <c r="J3284" s="10"/>
    </row>
    <row r="3285" spans="1:10" ht="15.75" customHeight="1" x14ac:dyDescent="0.3">
      <c r="A3285" s="5" t="s">
        <v>4152</v>
      </c>
      <c r="B3285" s="11">
        <v>45328</v>
      </c>
      <c r="C3285" s="5" t="s">
        <v>708</v>
      </c>
      <c r="D3285" s="5" t="s">
        <v>115</v>
      </c>
      <c r="E3285" s="5" t="s">
        <v>25</v>
      </c>
      <c r="F3285" s="5">
        <v>5</v>
      </c>
      <c r="G3285" s="19">
        <v>0</v>
      </c>
      <c r="H3285" s="5" t="s">
        <v>697</v>
      </c>
      <c r="I3285" s="10">
        <f>IF(OR(D3285="", F3285=""), "", F3285 * VLOOKUP(D3285, Products!A:E, 5, FALSE) * (1 - G3285))</f>
        <v>6230.5499999999993</v>
      </c>
      <c r="J3285" s="10"/>
    </row>
    <row r="3286" spans="1:10" ht="15.75" customHeight="1" x14ac:dyDescent="0.3">
      <c r="A3286" s="5" t="s">
        <v>4153</v>
      </c>
      <c r="B3286" s="11">
        <v>45180</v>
      </c>
      <c r="C3286" s="5" t="s">
        <v>281</v>
      </c>
      <c r="D3286" s="5" t="s">
        <v>65</v>
      </c>
      <c r="E3286" s="5" t="s">
        <v>21</v>
      </c>
      <c r="F3286" s="5">
        <v>2</v>
      </c>
      <c r="G3286" s="19">
        <v>0.05</v>
      </c>
      <c r="H3286" s="5" t="s">
        <v>776</v>
      </c>
      <c r="I3286" s="10">
        <f>IF(OR(D3286="", F3286=""), "", F3286 * VLOOKUP(D3286, Products!A:E, 5, FALSE) * (1 - G3286))</f>
        <v>2800.8279999999995</v>
      </c>
      <c r="J3286" s="10"/>
    </row>
    <row r="3287" spans="1:10" ht="15.75" customHeight="1" x14ac:dyDescent="0.3">
      <c r="A3287" s="5" t="s">
        <v>4154</v>
      </c>
      <c r="B3287" s="11">
        <v>45888</v>
      </c>
      <c r="C3287" s="5" t="s">
        <v>840</v>
      </c>
      <c r="D3287" s="5" t="s">
        <v>200</v>
      </c>
      <c r="E3287" s="5" t="s">
        <v>21</v>
      </c>
      <c r="F3287" s="5">
        <v>4</v>
      </c>
      <c r="G3287" s="19">
        <v>0.05</v>
      </c>
      <c r="H3287" s="5" t="s">
        <v>697</v>
      </c>
      <c r="I3287" s="10">
        <f>IF(OR(D3287="", F3287=""), "", F3287 * VLOOKUP(D3287, Products!A:E, 5, FALSE) * (1 - G3287))</f>
        <v>4163.7359999999999</v>
      </c>
      <c r="J3287" s="10"/>
    </row>
    <row r="3288" spans="1:10" ht="15.75" customHeight="1" x14ac:dyDescent="0.3">
      <c r="A3288" s="5" t="s">
        <v>4155</v>
      </c>
      <c r="B3288" s="11">
        <v>45703</v>
      </c>
      <c r="C3288" s="5" t="s">
        <v>433</v>
      </c>
      <c r="D3288" s="5" t="s">
        <v>217</v>
      </c>
      <c r="E3288" s="5" t="s">
        <v>21</v>
      </c>
      <c r="F3288" s="5">
        <v>5</v>
      </c>
      <c r="G3288" s="19">
        <v>0</v>
      </c>
      <c r="H3288" s="5" t="s">
        <v>697</v>
      </c>
      <c r="I3288" s="10">
        <f>IF(OR(D3288="", F3288=""), "", F3288 * VLOOKUP(D3288, Products!A:E, 5, FALSE) * (1 - G3288))</f>
        <v>2140.25</v>
      </c>
      <c r="J3288" s="10"/>
    </row>
    <row r="3289" spans="1:10" ht="15.75" customHeight="1" x14ac:dyDescent="0.3">
      <c r="A3289" s="5" t="s">
        <v>4156</v>
      </c>
      <c r="B3289" s="11">
        <v>45218</v>
      </c>
      <c r="C3289" s="5" t="s">
        <v>826</v>
      </c>
      <c r="D3289" s="5" t="s">
        <v>54</v>
      </c>
      <c r="E3289" s="5" t="s">
        <v>21</v>
      </c>
      <c r="F3289" s="5">
        <v>1</v>
      </c>
      <c r="G3289" s="19">
        <v>0.15</v>
      </c>
      <c r="H3289" s="5" t="s">
        <v>776</v>
      </c>
      <c r="I3289" s="10">
        <f>IF(OR(D3289="", F3289=""), "", F3289 * VLOOKUP(D3289, Products!A:E, 5, FALSE) * (1 - G3289))</f>
        <v>1575.7045000000001</v>
      </c>
      <c r="J3289" s="10"/>
    </row>
    <row r="3290" spans="1:10" ht="15.75" customHeight="1" x14ac:dyDescent="0.3">
      <c r="A3290" s="5" t="s">
        <v>4157</v>
      </c>
      <c r="B3290" s="11">
        <v>45377</v>
      </c>
      <c r="C3290" s="5" t="s">
        <v>495</v>
      </c>
      <c r="D3290" s="5" t="s">
        <v>285</v>
      </c>
      <c r="E3290" s="5" t="s">
        <v>25</v>
      </c>
      <c r="F3290" s="5">
        <v>4</v>
      </c>
      <c r="G3290" s="19">
        <v>0.05</v>
      </c>
      <c r="H3290" s="5" t="s">
        <v>697</v>
      </c>
      <c r="I3290" s="10">
        <f>IF(OR(D3290="", F3290=""), "", F3290 * VLOOKUP(D3290, Products!A:E, 5, FALSE) * (1 - G3290))</f>
        <v>1475.3879999999999</v>
      </c>
      <c r="J3290" s="10"/>
    </row>
    <row r="3291" spans="1:10" ht="15.75" customHeight="1" x14ac:dyDescent="0.3">
      <c r="A3291" s="5" t="s">
        <v>4158</v>
      </c>
      <c r="B3291" s="11">
        <v>45896</v>
      </c>
      <c r="C3291" s="5" t="s">
        <v>833</v>
      </c>
      <c r="D3291" s="5" t="s">
        <v>134</v>
      </c>
      <c r="E3291" s="5" t="s">
        <v>21</v>
      </c>
      <c r="F3291" s="5">
        <v>3</v>
      </c>
      <c r="G3291" s="19">
        <v>0.1</v>
      </c>
      <c r="H3291" s="5" t="s">
        <v>637</v>
      </c>
      <c r="I3291" s="10">
        <f>IF(OR(D3291="", F3291=""), "", F3291 * VLOOKUP(D3291, Products!A:E, 5, FALSE) * (1 - G3291))</f>
        <v>3313.5480000000002</v>
      </c>
      <c r="J3291" s="10"/>
    </row>
    <row r="3292" spans="1:10" ht="15.75" customHeight="1" x14ac:dyDescent="0.3">
      <c r="A3292" s="5" t="s">
        <v>4159</v>
      </c>
      <c r="B3292" s="11">
        <v>45225</v>
      </c>
      <c r="C3292" s="5" t="s">
        <v>528</v>
      </c>
      <c r="D3292" s="5" t="s">
        <v>267</v>
      </c>
      <c r="E3292" s="5" t="s">
        <v>37</v>
      </c>
      <c r="F3292" s="5">
        <v>3</v>
      </c>
      <c r="G3292" s="19">
        <v>0.15</v>
      </c>
      <c r="H3292" s="5" t="s">
        <v>697</v>
      </c>
      <c r="I3292" s="10">
        <f>IF(OR(D3292="", F3292=""), "", F3292 * VLOOKUP(D3292, Products!A:E, 5, FALSE) * (1 - G3292))</f>
        <v>3280.7024999999994</v>
      </c>
      <c r="J3292" s="10"/>
    </row>
    <row r="3293" spans="1:10" ht="15.75" customHeight="1" x14ac:dyDescent="0.3">
      <c r="A3293" s="5" t="s">
        <v>4160</v>
      </c>
      <c r="B3293" s="11">
        <v>45326</v>
      </c>
      <c r="C3293" s="5" t="s">
        <v>755</v>
      </c>
      <c r="D3293" s="5" t="s">
        <v>262</v>
      </c>
      <c r="E3293" s="5" t="s">
        <v>25</v>
      </c>
      <c r="F3293" s="5">
        <v>2</v>
      </c>
      <c r="G3293" s="19">
        <v>0.15</v>
      </c>
      <c r="H3293" s="5" t="s">
        <v>454</v>
      </c>
      <c r="I3293" s="10">
        <f>IF(OR(D3293="", F3293=""), "", F3293 * VLOOKUP(D3293, Products!A:E, 5, FALSE) * (1 - G3293))</f>
        <v>771.154</v>
      </c>
      <c r="J3293" s="10"/>
    </row>
    <row r="3294" spans="1:10" ht="15.75" customHeight="1" x14ac:dyDescent="0.3">
      <c r="A3294" s="5" t="s">
        <v>4161</v>
      </c>
      <c r="B3294" s="11">
        <v>45790</v>
      </c>
      <c r="C3294" s="5" t="s">
        <v>346</v>
      </c>
      <c r="D3294" s="5" t="s">
        <v>140</v>
      </c>
      <c r="E3294" s="5" t="s">
        <v>25</v>
      </c>
      <c r="F3294" s="5">
        <v>4</v>
      </c>
      <c r="G3294" s="19">
        <v>0.15</v>
      </c>
      <c r="H3294" s="5" t="s">
        <v>454</v>
      </c>
      <c r="I3294" s="10">
        <f>IF(OR(D3294="", F3294=""), "", F3294 * VLOOKUP(D3294, Products!A:E, 5, FALSE) * (1 - G3294))</f>
        <v>86.938000000000002</v>
      </c>
      <c r="J3294" s="10"/>
    </row>
    <row r="3295" spans="1:10" ht="15.75" customHeight="1" x14ac:dyDescent="0.3">
      <c r="A3295" s="5" t="s">
        <v>4162</v>
      </c>
      <c r="B3295" s="11">
        <v>45718</v>
      </c>
      <c r="C3295" s="5" t="s">
        <v>583</v>
      </c>
      <c r="D3295" s="5" t="s">
        <v>217</v>
      </c>
      <c r="E3295" s="5" t="s">
        <v>21</v>
      </c>
      <c r="F3295" s="5">
        <v>3</v>
      </c>
      <c r="G3295" s="19">
        <v>0</v>
      </c>
      <c r="H3295" s="5" t="s">
        <v>637</v>
      </c>
      <c r="I3295" s="10">
        <f>IF(OR(D3295="", F3295=""), "", F3295 * VLOOKUP(D3295, Products!A:E, 5, FALSE) * (1 - G3295))</f>
        <v>1284.1500000000001</v>
      </c>
      <c r="J3295" s="10"/>
    </row>
    <row r="3296" spans="1:10" ht="15.75" customHeight="1" x14ac:dyDescent="0.3">
      <c r="A3296" s="5" t="s">
        <v>4163</v>
      </c>
      <c r="B3296" s="11">
        <v>45629</v>
      </c>
      <c r="C3296" s="5" t="s">
        <v>608</v>
      </c>
      <c r="D3296" s="5" t="s">
        <v>54</v>
      </c>
      <c r="E3296" s="5" t="s">
        <v>25</v>
      </c>
      <c r="F3296" s="5">
        <v>1</v>
      </c>
      <c r="G3296" s="19">
        <v>0</v>
      </c>
      <c r="H3296" s="5" t="s">
        <v>637</v>
      </c>
      <c r="I3296" s="10">
        <f>IF(OR(D3296="", F3296=""), "", F3296 * VLOOKUP(D3296, Products!A:E, 5, FALSE) * (1 - G3296))</f>
        <v>1853.77</v>
      </c>
      <c r="J3296" s="10"/>
    </row>
    <row r="3297" spans="1:10" ht="15.75" customHeight="1" x14ac:dyDescent="0.3">
      <c r="A3297" s="5" t="s">
        <v>4164</v>
      </c>
      <c r="B3297" s="11">
        <v>45697</v>
      </c>
      <c r="C3297" s="5" t="s">
        <v>665</v>
      </c>
      <c r="D3297" s="5" t="s">
        <v>285</v>
      </c>
      <c r="E3297" s="5" t="s">
        <v>29</v>
      </c>
      <c r="F3297" s="5">
        <v>2</v>
      </c>
      <c r="G3297" s="19">
        <v>0.15</v>
      </c>
      <c r="H3297" s="5" t="s">
        <v>776</v>
      </c>
      <c r="I3297" s="10">
        <f>IF(OR(D3297="", F3297=""), "", F3297 * VLOOKUP(D3297, Products!A:E, 5, FALSE) * (1 - G3297))</f>
        <v>660.04199999999992</v>
      </c>
      <c r="J3297" s="10"/>
    </row>
    <row r="3298" spans="1:10" ht="15.75" customHeight="1" x14ac:dyDescent="0.3">
      <c r="A3298" s="5" t="s">
        <v>4165</v>
      </c>
      <c r="B3298" s="11">
        <v>45327</v>
      </c>
      <c r="C3298" s="5" t="s">
        <v>443</v>
      </c>
      <c r="D3298" s="5" t="s">
        <v>249</v>
      </c>
      <c r="E3298" s="5" t="s">
        <v>25</v>
      </c>
      <c r="F3298" s="5">
        <v>3</v>
      </c>
      <c r="G3298" s="19">
        <v>0.1</v>
      </c>
      <c r="H3298" s="5" t="s">
        <v>697</v>
      </c>
      <c r="I3298" s="10">
        <f>IF(OR(D3298="", F3298=""), "", F3298 * VLOOKUP(D3298, Products!A:E, 5, FALSE) * (1 - G3298))</f>
        <v>4713.1469999999999</v>
      </c>
      <c r="J3298" s="10"/>
    </row>
    <row r="3299" spans="1:10" ht="15.75" customHeight="1" x14ac:dyDescent="0.3">
      <c r="A3299" s="5" t="s">
        <v>4166</v>
      </c>
      <c r="B3299" s="11">
        <v>45233</v>
      </c>
      <c r="C3299" s="5" t="s">
        <v>575</v>
      </c>
      <c r="D3299" s="5" t="s">
        <v>269</v>
      </c>
      <c r="E3299" s="5" t="s">
        <v>21</v>
      </c>
      <c r="F3299" s="5">
        <v>4</v>
      </c>
      <c r="G3299" s="19">
        <v>0</v>
      </c>
      <c r="H3299" s="5" t="s">
        <v>637</v>
      </c>
      <c r="I3299" s="10">
        <f>IF(OR(D3299="", F3299=""), "", F3299 * VLOOKUP(D3299, Products!A:E, 5, FALSE) * (1 - G3299))</f>
        <v>7516.32</v>
      </c>
      <c r="J3299" s="10"/>
    </row>
    <row r="3300" spans="1:10" ht="15.75" customHeight="1" x14ac:dyDescent="0.3">
      <c r="A3300" s="5" t="s">
        <v>4167</v>
      </c>
      <c r="B3300" s="11">
        <v>45833</v>
      </c>
      <c r="C3300" s="5" t="s">
        <v>503</v>
      </c>
      <c r="D3300" s="5" t="s">
        <v>249</v>
      </c>
      <c r="E3300" s="5" t="s">
        <v>29</v>
      </c>
      <c r="F3300" s="5">
        <v>2</v>
      </c>
      <c r="G3300" s="19">
        <v>0.15</v>
      </c>
      <c r="H3300" s="5" t="s">
        <v>697</v>
      </c>
      <c r="I3300" s="10">
        <f>IF(OR(D3300="", F3300=""), "", F3300 * VLOOKUP(D3300, Products!A:E, 5, FALSE) * (1 - G3300))</f>
        <v>2967.5369999999998</v>
      </c>
      <c r="J3300" s="10"/>
    </row>
    <row r="3301" spans="1:10" ht="15.75" customHeight="1" x14ac:dyDescent="0.3">
      <c r="A3301" s="5" t="s">
        <v>4168</v>
      </c>
      <c r="B3301" s="11">
        <v>45251</v>
      </c>
      <c r="C3301" s="5" t="s">
        <v>802</v>
      </c>
      <c r="D3301" s="5" t="s">
        <v>226</v>
      </c>
      <c r="E3301" s="5" t="s">
        <v>29</v>
      </c>
      <c r="F3301" s="5">
        <v>4</v>
      </c>
      <c r="G3301" s="19">
        <v>0.15</v>
      </c>
      <c r="H3301" s="5" t="s">
        <v>454</v>
      </c>
      <c r="I3301" s="10">
        <f>IF(OR(D3301="", F3301=""), "", F3301 * VLOOKUP(D3301, Products!A:E, 5, FALSE) * (1 - G3301))</f>
        <v>5104.9639999999999</v>
      </c>
      <c r="J3301" s="10"/>
    </row>
    <row r="3302" spans="1:10" ht="15.75" customHeight="1" x14ac:dyDescent="0.3">
      <c r="A3302" s="5" t="s">
        <v>4169</v>
      </c>
      <c r="B3302" s="11">
        <v>45775</v>
      </c>
      <c r="C3302" s="5" t="s">
        <v>317</v>
      </c>
      <c r="D3302" s="5" t="s">
        <v>265</v>
      </c>
      <c r="E3302" s="5" t="s">
        <v>33</v>
      </c>
      <c r="F3302" s="5">
        <v>2</v>
      </c>
      <c r="G3302" s="19">
        <v>0.15</v>
      </c>
      <c r="H3302" s="5" t="s">
        <v>697</v>
      </c>
      <c r="I3302" s="10">
        <f>IF(OR(D3302="", F3302=""), "", F3302 * VLOOKUP(D3302, Products!A:E, 5, FALSE) * (1 - G3302))</f>
        <v>959.5139999999999</v>
      </c>
      <c r="J3302" s="10"/>
    </row>
    <row r="3303" spans="1:10" ht="15.75" customHeight="1" x14ac:dyDescent="0.3">
      <c r="A3303" s="5" t="s">
        <v>4170</v>
      </c>
      <c r="B3303" s="11">
        <v>45407</v>
      </c>
      <c r="C3303" s="5" t="s">
        <v>100</v>
      </c>
      <c r="D3303" s="5" t="s">
        <v>212</v>
      </c>
      <c r="E3303" s="5" t="s">
        <v>25</v>
      </c>
      <c r="F3303" s="5">
        <v>4</v>
      </c>
      <c r="G3303" s="19">
        <v>0.15</v>
      </c>
      <c r="H3303" s="5" t="s">
        <v>697</v>
      </c>
      <c r="I3303" s="10">
        <f>IF(OR(D3303="", F3303=""), "", F3303 * VLOOKUP(D3303, Products!A:E, 5, FALSE) * (1 - G3303))</f>
        <v>6116.4979999999996</v>
      </c>
      <c r="J3303" s="10"/>
    </row>
    <row r="3304" spans="1:10" ht="15.75" customHeight="1" x14ac:dyDescent="0.3">
      <c r="A3304" s="5" t="s">
        <v>4171</v>
      </c>
      <c r="B3304" s="11">
        <v>45837</v>
      </c>
      <c r="C3304" s="5" t="s">
        <v>635</v>
      </c>
      <c r="D3304" s="5" t="s">
        <v>89</v>
      </c>
      <c r="E3304" s="5" t="s">
        <v>37</v>
      </c>
      <c r="F3304" s="5">
        <v>2</v>
      </c>
      <c r="G3304" s="19">
        <v>0</v>
      </c>
      <c r="H3304" s="5" t="s">
        <v>454</v>
      </c>
      <c r="I3304" s="10">
        <f>IF(OR(D3304="", F3304=""), "", F3304 * VLOOKUP(D3304, Products!A:E, 5, FALSE) * (1 - G3304))</f>
        <v>2269.6</v>
      </c>
      <c r="J3304" s="10"/>
    </row>
    <row r="3305" spans="1:10" ht="15.75" customHeight="1" x14ac:dyDescent="0.3">
      <c r="A3305" s="5" t="s">
        <v>4172</v>
      </c>
      <c r="B3305" s="11">
        <v>45799</v>
      </c>
      <c r="C3305" s="5" t="s">
        <v>829</v>
      </c>
      <c r="D3305" s="5" t="s">
        <v>249</v>
      </c>
      <c r="E3305" s="5" t="s">
        <v>29</v>
      </c>
      <c r="F3305" s="5">
        <v>5</v>
      </c>
      <c r="G3305" s="19">
        <v>0.1</v>
      </c>
      <c r="H3305" s="5" t="s">
        <v>776</v>
      </c>
      <c r="I3305" s="10">
        <f>IF(OR(D3305="", F3305=""), "", F3305 * VLOOKUP(D3305, Products!A:E, 5, FALSE) * (1 - G3305))</f>
        <v>7855.2449999999999</v>
      </c>
      <c r="J3305" s="10"/>
    </row>
    <row r="3306" spans="1:10" ht="15.75" customHeight="1" x14ac:dyDescent="0.3">
      <c r="A3306" s="5" t="s">
        <v>4173</v>
      </c>
      <c r="B3306" s="11">
        <v>45196</v>
      </c>
      <c r="C3306" s="5" t="s">
        <v>429</v>
      </c>
      <c r="D3306" s="5" t="s">
        <v>74</v>
      </c>
      <c r="E3306" s="5" t="s">
        <v>37</v>
      </c>
      <c r="F3306" s="5">
        <v>3</v>
      </c>
      <c r="G3306" s="19">
        <v>0.15</v>
      </c>
      <c r="H3306" s="5" t="s">
        <v>776</v>
      </c>
      <c r="I3306" s="10">
        <f>IF(OR(D3306="", F3306=""), "", F3306 * VLOOKUP(D3306, Products!A:E, 5, FALSE) * (1 - G3306))</f>
        <v>3045.0059999999999</v>
      </c>
      <c r="J3306" s="10"/>
    </row>
    <row r="3307" spans="1:10" ht="15.75" customHeight="1" x14ac:dyDescent="0.3">
      <c r="A3307" s="5" t="s">
        <v>4174</v>
      </c>
      <c r="B3307" s="11">
        <v>45851</v>
      </c>
      <c r="C3307" s="5" t="s">
        <v>177</v>
      </c>
      <c r="D3307" s="5" t="s">
        <v>193</v>
      </c>
      <c r="E3307" s="5" t="s">
        <v>37</v>
      </c>
      <c r="F3307" s="5">
        <v>1</v>
      </c>
      <c r="G3307" s="19">
        <v>0.05</v>
      </c>
      <c r="H3307" s="5" t="s">
        <v>454</v>
      </c>
      <c r="I3307" s="10">
        <f>IF(OR(D3307="", F3307=""), "", F3307 * VLOOKUP(D3307, Products!A:E, 5, FALSE) * (1 - G3307))</f>
        <v>27.777999999999999</v>
      </c>
      <c r="J3307" s="10"/>
    </row>
    <row r="3308" spans="1:10" ht="15.75" customHeight="1" x14ac:dyDescent="0.3">
      <c r="A3308" s="5" t="s">
        <v>4175</v>
      </c>
      <c r="B3308" s="11">
        <v>45456</v>
      </c>
      <c r="C3308" s="5" t="s">
        <v>409</v>
      </c>
      <c r="D3308" s="5" t="s">
        <v>193</v>
      </c>
      <c r="E3308" s="5" t="s">
        <v>25</v>
      </c>
      <c r="F3308" s="5">
        <v>5</v>
      </c>
      <c r="G3308" s="19">
        <v>0.05</v>
      </c>
      <c r="H3308" s="5" t="s">
        <v>637</v>
      </c>
      <c r="I3308" s="10">
        <f>IF(OR(D3308="", F3308=""), "", F3308 * VLOOKUP(D3308, Products!A:E, 5, FALSE) * (1 - G3308))</f>
        <v>138.88999999999999</v>
      </c>
      <c r="J3308" s="10"/>
    </row>
    <row r="3309" spans="1:10" ht="15.75" customHeight="1" x14ac:dyDescent="0.3">
      <c r="A3309" s="5" t="s">
        <v>4176</v>
      </c>
      <c r="B3309" s="11">
        <v>45613</v>
      </c>
      <c r="C3309" s="5" t="s">
        <v>669</v>
      </c>
      <c r="D3309" s="5" t="s">
        <v>212</v>
      </c>
      <c r="E3309" s="5" t="s">
        <v>21</v>
      </c>
      <c r="F3309" s="5">
        <v>2</v>
      </c>
      <c r="G3309" s="19">
        <v>0</v>
      </c>
      <c r="H3309" s="5" t="s">
        <v>454</v>
      </c>
      <c r="I3309" s="10">
        <f>IF(OR(D3309="", F3309=""), "", F3309 * VLOOKUP(D3309, Products!A:E, 5, FALSE) * (1 - G3309))</f>
        <v>3597.94</v>
      </c>
      <c r="J3309" s="10"/>
    </row>
    <row r="3310" spans="1:10" ht="15.75" customHeight="1" x14ac:dyDescent="0.3">
      <c r="A3310" s="5" t="s">
        <v>4177</v>
      </c>
      <c r="B3310" s="11">
        <v>45666</v>
      </c>
      <c r="C3310" s="5" t="s">
        <v>869</v>
      </c>
      <c r="D3310" s="5" t="s">
        <v>262</v>
      </c>
      <c r="E3310" s="5" t="s">
        <v>37</v>
      </c>
      <c r="F3310" s="5">
        <v>4</v>
      </c>
      <c r="G3310" s="19">
        <v>0.1</v>
      </c>
      <c r="H3310" s="5" t="s">
        <v>776</v>
      </c>
      <c r="I3310" s="10">
        <f>IF(OR(D3310="", F3310=""), "", F3310 * VLOOKUP(D3310, Products!A:E, 5, FALSE) * (1 - G3310))</f>
        <v>1633.0320000000002</v>
      </c>
      <c r="J3310" s="10"/>
    </row>
    <row r="3311" spans="1:10" ht="15.75" customHeight="1" x14ac:dyDescent="0.3">
      <c r="A3311" s="5" t="s">
        <v>4178</v>
      </c>
      <c r="B3311" s="11">
        <v>45860</v>
      </c>
      <c r="C3311" s="5" t="s">
        <v>624</v>
      </c>
      <c r="D3311" s="5" t="s">
        <v>262</v>
      </c>
      <c r="E3311" s="5" t="s">
        <v>25</v>
      </c>
      <c r="F3311" s="5">
        <v>2</v>
      </c>
      <c r="G3311" s="19">
        <v>0</v>
      </c>
      <c r="H3311" s="5" t="s">
        <v>454</v>
      </c>
      <c r="I3311" s="10">
        <f>IF(OR(D3311="", F3311=""), "", F3311 * VLOOKUP(D3311, Products!A:E, 5, FALSE) * (1 - G3311))</f>
        <v>907.24</v>
      </c>
      <c r="J3311" s="10"/>
    </row>
    <row r="3312" spans="1:10" ht="15.75" customHeight="1" x14ac:dyDescent="0.3">
      <c r="A3312" s="5" t="s">
        <v>4179</v>
      </c>
      <c r="B3312" s="11">
        <v>45568</v>
      </c>
      <c r="C3312" s="5" t="s">
        <v>829</v>
      </c>
      <c r="D3312" s="5" t="s">
        <v>237</v>
      </c>
      <c r="E3312" s="5" t="s">
        <v>33</v>
      </c>
      <c r="F3312" s="5">
        <v>3</v>
      </c>
      <c r="G3312" s="19">
        <v>0.1</v>
      </c>
      <c r="H3312" s="5" t="s">
        <v>697</v>
      </c>
      <c r="I3312" s="10">
        <f>IF(OR(D3312="", F3312=""), "", F3312 * VLOOKUP(D3312, Products!A:E, 5, FALSE) * (1 - G3312))</f>
        <v>990.71100000000001</v>
      </c>
      <c r="J3312" s="10"/>
    </row>
    <row r="3313" spans="1:10" ht="15.75" customHeight="1" x14ac:dyDescent="0.3">
      <c r="A3313" s="5" t="s">
        <v>4180</v>
      </c>
      <c r="B3313" s="11">
        <v>45786</v>
      </c>
      <c r="C3313" s="5" t="s">
        <v>750</v>
      </c>
      <c r="D3313" s="5" t="s">
        <v>265</v>
      </c>
      <c r="E3313" s="5" t="s">
        <v>33</v>
      </c>
      <c r="F3313" s="5">
        <v>5</v>
      </c>
      <c r="G3313" s="19">
        <v>0.1</v>
      </c>
      <c r="H3313" s="5" t="s">
        <v>776</v>
      </c>
      <c r="I3313" s="10">
        <f>IF(OR(D3313="", F3313=""), "", F3313 * VLOOKUP(D3313, Products!A:E, 5, FALSE) * (1 - G3313))</f>
        <v>2539.89</v>
      </c>
      <c r="J3313" s="10"/>
    </row>
    <row r="3314" spans="1:10" ht="15.75" customHeight="1" x14ac:dyDescent="0.3">
      <c r="A3314" s="5" t="s">
        <v>4181</v>
      </c>
      <c r="B3314" s="11">
        <v>45231</v>
      </c>
      <c r="C3314" s="5" t="s">
        <v>532</v>
      </c>
      <c r="D3314" s="5" t="s">
        <v>217</v>
      </c>
      <c r="E3314" s="5" t="s">
        <v>33</v>
      </c>
      <c r="F3314" s="5">
        <v>5</v>
      </c>
      <c r="G3314" s="19">
        <v>0.05</v>
      </c>
      <c r="H3314" s="5" t="s">
        <v>697</v>
      </c>
      <c r="I3314" s="10">
        <f>IF(OR(D3314="", F3314=""), "", F3314 * VLOOKUP(D3314, Products!A:E, 5, FALSE) * (1 - G3314))</f>
        <v>2033.2375</v>
      </c>
      <c r="J3314" s="10"/>
    </row>
    <row r="3315" spans="1:10" ht="15.75" customHeight="1" x14ac:dyDescent="0.3">
      <c r="A3315" s="5" t="s">
        <v>4182</v>
      </c>
      <c r="B3315" s="11">
        <v>45514</v>
      </c>
      <c r="C3315" s="5" t="s">
        <v>481</v>
      </c>
      <c r="D3315" s="5" t="s">
        <v>61</v>
      </c>
      <c r="E3315" s="5" t="s">
        <v>21</v>
      </c>
      <c r="F3315" s="5">
        <v>3</v>
      </c>
      <c r="G3315" s="19">
        <v>0.1</v>
      </c>
      <c r="H3315" s="5" t="s">
        <v>637</v>
      </c>
      <c r="I3315" s="10">
        <f>IF(OR(D3315="", F3315=""), "", F3315 * VLOOKUP(D3315, Products!A:E, 5, FALSE) * (1 - G3315))</f>
        <v>858.73500000000013</v>
      </c>
      <c r="J3315" s="10"/>
    </row>
    <row r="3316" spans="1:10" ht="15.75" customHeight="1" x14ac:dyDescent="0.3">
      <c r="A3316" s="5" t="s">
        <v>4183</v>
      </c>
      <c r="B3316" s="11">
        <v>45876</v>
      </c>
      <c r="C3316" s="5" t="s">
        <v>862</v>
      </c>
      <c r="D3316" s="5" t="s">
        <v>103</v>
      </c>
      <c r="E3316" s="5" t="s">
        <v>25</v>
      </c>
      <c r="F3316" s="5">
        <v>5</v>
      </c>
      <c r="G3316" s="19">
        <v>0.1</v>
      </c>
      <c r="H3316" s="5" t="s">
        <v>637</v>
      </c>
      <c r="I3316" s="10">
        <f>IF(OR(D3316="", F3316=""), "", F3316 * VLOOKUP(D3316, Products!A:E, 5, FALSE) * (1 - G3316))</f>
        <v>1217.0250000000001</v>
      </c>
      <c r="J3316" s="10"/>
    </row>
    <row r="3317" spans="1:10" ht="15.75" customHeight="1" x14ac:dyDescent="0.3">
      <c r="A3317" s="5" t="s">
        <v>4184</v>
      </c>
      <c r="B3317" s="11">
        <v>45184</v>
      </c>
      <c r="C3317" s="5" t="s">
        <v>387</v>
      </c>
      <c r="D3317" s="5" t="s">
        <v>82</v>
      </c>
      <c r="E3317" s="5" t="s">
        <v>33</v>
      </c>
      <c r="F3317" s="5">
        <v>5</v>
      </c>
      <c r="G3317" s="19">
        <v>0</v>
      </c>
      <c r="H3317" s="5" t="s">
        <v>776</v>
      </c>
      <c r="I3317" s="10">
        <f>IF(OR(D3317="", F3317=""), "", F3317 * VLOOKUP(D3317, Products!A:E, 5, FALSE) * (1 - G3317))</f>
        <v>5965.45</v>
      </c>
      <c r="J3317" s="10"/>
    </row>
    <row r="3318" spans="1:10" ht="15.75" customHeight="1" x14ac:dyDescent="0.3">
      <c r="A3318" s="5" t="s">
        <v>4185</v>
      </c>
      <c r="B3318" s="11">
        <v>45467</v>
      </c>
      <c r="C3318" s="5" t="s">
        <v>235</v>
      </c>
      <c r="D3318" s="5" t="s">
        <v>212</v>
      </c>
      <c r="E3318" s="5" t="s">
        <v>37</v>
      </c>
      <c r="F3318" s="5">
        <v>2</v>
      </c>
      <c r="G3318" s="19">
        <v>0.05</v>
      </c>
      <c r="H3318" s="5" t="s">
        <v>637</v>
      </c>
      <c r="I3318" s="10">
        <f>IF(OR(D3318="", F3318=""), "", F3318 * VLOOKUP(D3318, Products!A:E, 5, FALSE) * (1 - G3318))</f>
        <v>3418.0429999999997</v>
      </c>
      <c r="J3318" s="10"/>
    </row>
    <row r="3319" spans="1:10" ht="15.75" customHeight="1" x14ac:dyDescent="0.3">
      <c r="A3319" s="5" t="s">
        <v>4186</v>
      </c>
      <c r="B3319" s="11">
        <v>45347</v>
      </c>
      <c r="C3319" s="5" t="s">
        <v>149</v>
      </c>
      <c r="D3319" s="5" t="s">
        <v>232</v>
      </c>
      <c r="E3319" s="5" t="s">
        <v>25</v>
      </c>
      <c r="F3319" s="5">
        <v>4</v>
      </c>
      <c r="G3319" s="19">
        <v>0.15</v>
      </c>
      <c r="H3319" s="5" t="s">
        <v>776</v>
      </c>
      <c r="I3319" s="10">
        <f>IF(OR(D3319="", F3319=""), "", F3319 * VLOOKUP(D3319, Products!A:E, 5, FALSE) * (1 - G3319))</f>
        <v>6639.01</v>
      </c>
      <c r="J3319" s="10"/>
    </row>
    <row r="3320" spans="1:10" ht="15.75" customHeight="1" x14ac:dyDescent="0.3">
      <c r="A3320" s="5" t="s">
        <v>4187</v>
      </c>
      <c r="B3320" s="11">
        <v>45217</v>
      </c>
      <c r="C3320" s="5" t="s">
        <v>235</v>
      </c>
      <c r="D3320" s="5" t="s">
        <v>285</v>
      </c>
      <c r="E3320" s="5" t="s">
        <v>37</v>
      </c>
      <c r="F3320" s="5">
        <v>4</v>
      </c>
      <c r="G3320" s="19">
        <v>0.05</v>
      </c>
      <c r="H3320" s="5" t="s">
        <v>697</v>
      </c>
      <c r="I3320" s="10">
        <f>IF(OR(D3320="", F3320=""), "", F3320 * VLOOKUP(D3320, Products!A:E, 5, FALSE) * (1 - G3320))</f>
        <v>1475.3879999999999</v>
      </c>
      <c r="J3320" s="10"/>
    </row>
    <row r="3321" spans="1:10" ht="15.75" customHeight="1" x14ac:dyDescent="0.3">
      <c r="A3321" s="5" t="s">
        <v>4188</v>
      </c>
      <c r="B3321" s="11">
        <v>45453</v>
      </c>
      <c r="C3321" s="5" t="s">
        <v>842</v>
      </c>
      <c r="D3321" s="5" t="s">
        <v>280</v>
      </c>
      <c r="E3321" s="5" t="s">
        <v>25</v>
      </c>
      <c r="F3321" s="5">
        <v>2</v>
      </c>
      <c r="G3321" s="19">
        <v>0.1</v>
      </c>
      <c r="H3321" s="5" t="s">
        <v>776</v>
      </c>
      <c r="I3321" s="10">
        <f>IF(OR(D3321="", F3321=""), "", F3321 * VLOOKUP(D3321, Products!A:E, 5, FALSE) * (1 - G3321))</f>
        <v>2189.4479999999999</v>
      </c>
      <c r="J3321" s="10"/>
    </row>
    <row r="3322" spans="1:10" ht="15.75" customHeight="1" x14ac:dyDescent="0.3">
      <c r="A3322" s="5" t="s">
        <v>4189</v>
      </c>
      <c r="B3322" s="11">
        <v>45224</v>
      </c>
      <c r="C3322" s="5" t="s">
        <v>137</v>
      </c>
      <c r="D3322" s="5" t="s">
        <v>265</v>
      </c>
      <c r="E3322" s="5" t="s">
        <v>29</v>
      </c>
      <c r="F3322" s="5">
        <v>1</v>
      </c>
      <c r="G3322" s="19">
        <v>0.15</v>
      </c>
      <c r="H3322" s="5" t="s">
        <v>776</v>
      </c>
      <c r="I3322" s="10">
        <f>IF(OR(D3322="", F3322=""), "", F3322 * VLOOKUP(D3322, Products!A:E, 5, FALSE) * (1 - G3322))</f>
        <v>479.75699999999995</v>
      </c>
      <c r="J3322" s="10"/>
    </row>
    <row r="3323" spans="1:10" ht="15.75" customHeight="1" x14ac:dyDescent="0.3">
      <c r="A3323" s="5" t="s">
        <v>4190</v>
      </c>
      <c r="B3323" s="11">
        <v>45885</v>
      </c>
      <c r="C3323" s="5" t="s">
        <v>437</v>
      </c>
      <c r="D3323" s="5" t="s">
        <v>147</v>
      </c>
      <c r="E3323" s="5" t="s">
        <v>37</v>
      </c>
      <c r="F3323" s="5">
        <v>4</v>
      </c>
      <c r="G3323" s="19">
        <v>0.05</v>
      </c>
      <c r="H3323" s="5" t="s">
        <v>776</v>
      </c>
      <c r="I3323" s="10">
        <f>IF(OR(D3323="", F3323=""), "", F3323 * VLOOKUP(D3323, Products!A:E, 5, FALSE) * (1 - G3323))</f>
        <v>7138.1859999999997</v>
      </c>
      <c r="J3323" s="10"/>
    </row>
    <row r="3324" spans="1:10" ht="15.75" customHeight="1" x14ac:dyDescent="0.3">
      <c r="A3324" s="5" t="s">
        <v>4191</v>
      </c>
      <c r="B3324" s="11">
        <v>45322</v>
      </c>
      <c r="C3324" s="5" t="s">
        <v>495</v>
      </c>
      <c r="D3324" s="5" t="s">
        <v>221</v>
      </c>
      <c r="E3324" s="5" t="s">
        <v>25</v>
      </c>
      <c r="F3324" s="5">
        <v>5</v>
      </c>
      <c r="G3324" s="19">
        <v>0</v>
      </c>
      <c r="H3324" s="5" t="s">
        <v>776</v>
      </c>
      <c r="I3324" s="10">
        <f>IF(OR(D3324="", F3324=""), "", F3324 * VLOOKUP(D3324, Products!A:E, 5, FALSE) * (1 - G3324))</f>
        <v>7812.1500000000005</v>
      </c>
      <c r="J3324" s="10"/>
    </row>
    <row r="3325" spans="1:10" ht="15.75" customHeight="1" x14ac:dyDescent="0.3">
      <c r="A3325" s="5" t="s">
        <v>4192</v>
      </c>
      <c r="B3325" s="11">
        <v>45544</v>
      </c>
      <c r="C3325" s="5" t="s">
        <v>409</v>
      </c>
      <c r="D3325" s="5" t="s">
        <v>147</v>
      </c>
      <c r="E3325" s="5" t="s">
        <v>37</v>
      </c>
      <c r="F3325" s="5">
        <v>5</v>
      </c>
      <c r="G3325" s="19">
        <v>0.05</v>
      </c>
      <c r="H3325" s="5" t="s">
        <v>776</v>
      </c>
      <c r="I3325" s="10">
        <f>IF(OR(D3325="", F3325=""), "", F3325 * VLOOKUP(D3325, Products!A:E, 5, FALSE) * (1 - G3325))</f>
        <v>8922.7325000000001</v>
      </c>
      <c r="J3325" s="10"/>
    </row>
    <row r="3326" spans="1:10" ht="15.75" customHeight="1" x14ac:dyDescent="0.3">
      <c r="A3326" s="5" t="s">
        <v>4193</v>
      </c>
      <c r="B3326" s="11">
        <v>45858</v>
      </c>
      <c r="C3326" s="5" t="s">
        <v>618</v>
      </c>
      <c r="D3326" s="5" t="s">
        <v>285</v>
      </c>
      <c r="E3326" s="5" t="s">
        <v>29</v>
      </c>
      <c r="F3326" s="5">
        <v>5</v>
      </c>
      <c r="G3326" s="19">
        <v>0.05</v>
      </c>
      <c r="H3326" s="5" t="s">
        <v>776</v>
      </c>
      <c r="I3326" s="10">
        <f>IF(OR(D3326="", F3326=""), "", F3326 * VLOOKUP(D3326, Products!A:E, 5, FALSE) * (1 - G3326))</f>
        <v>1844.2349999999999</v>
      </c>
      <c r="J3326" s="10"/>
    </row>
    <row r="3327" spans="1:10" ht="15.75" customHeight="1" x14ac:dyDescent="0.3">
      <c r="A3327" s="5" t="s">
        <v>4194</v>
      </c>
      <c r="B3327" s="11">
        <v>45236</v>
      </c>
      <c r="C3327" s="5" t="s">
        <v>631</v>
      </c>
      <c r="D3327" s="5" t="s">
        <v>47</v>
      </c>
      <c r="E3327" s="5" t="s">
        <v>25</v>
      </c>
      <c r="F3327" s="5">
        <v>4</v>
      </c>
      <c r="G3327" s="19">
        <v>0.1</v>
      </c>
      <c r="H3327" s="5" t="s">
        <v>776</v>
      </c>
      <c r="I3327" s="10">
        <f>IF(OR(D3327="", F3327=""), "", F3327 * VLOOKUP(D3327, Products!A:E, 5, FALSE) * (1 - G3327))</f>
        <v>2947.5360000000001</v>
      </c>
      <c r="J3327" s="10"/>
    </row>
    <row r="3328" spans="1:10" ht="15.75" customHeight="1" x14ac:dyDescent="0.3">
      <c r="A3328" s="5" t="s">
        <v>4195</v>
      </c>
      <c r="B3328" s="11">
        <v>45755</v>
      </c>
      <c r="C3328" s="5" t="s">
        <v>209</v>
      </c>
      <c r="D3328" s="5" t="s">
        <v>276</v>
      </c>
      <c r="E3328" s="5" t="s">
        <v>37</v>
      </c>
      <c r="F3328" s="5">
        <v>5</v>
      </c>
      <c r="G3328" s="19">
        <v>0.05</v>
      </c>
      <c r="H3328" s="5" t="s">
        <v>454</v>
      </c>
      <c r="I3328" s="10">
        <f>IF(OR(D3328="", F3328=""), "", F3328 * VLOOKUP(D3328, Products!A:E, 5, FALSE) * (1 - G3328))</f>
        <v>5686.6050000000005</v>
      </c>
      <c r="J3328" s="10"/>
    </row>
    <row r="3329" spans="1:10" ht="15.75" customHeight="1" x14ac:dyDescent="0.3">
      <c r="A3329" s="5" t="s">
        <v>4196</v>
      </c>
      <c r="B3329" s="11">
        <v>45631</v>
      </c>
      <c r="C3329" s="5" t="s">
        <v>16</v>
      </c>
      <c r="D3329" s="5" t="s">
        <v>74</v>
      </c>
      <c r="E3329" s="5" t="s">
        <v>33</v>
      </c>
      <c r="F3329" s="5">
        <v>3</v>
      </c>
      <c r="G3329" s="19">
        <v>0.1</v>
      </c>
      <c r="H3329" s="5" t="s">
        <v>637</v>
      </c>
      <c r="I3329" s="10">
        <f>IF(OR(D3329="", F3329=""), "", F3329 * VLOOKUP(D3329, Products!A:E, 5, FALSE) * (1 - G3329))</f>
        <v>3224.1239999999998</v>
      </c>
      <c r="J3329" s="10"/>
    </row>
    <row r="3330" spans="1:10" ht="15.75" customHeight="1" x14ac:dyDescent="0.3">
      <c r="A3330" s="5" t="s">
        <v>4197</v>
      </c>
      <c r="B3330" s="11">
        <v>45892</v>
      </c>
      <c r="C3330" s="5" t="s">
        <v>691</v>
      </c>
      <c r="D3330" s="5" t="s">
        <v>140</v>
      </c>
      <c r="E3330" s="5" t="s">
        <v>25</v>
      </c>
      <c r="F3330" s="5">
        <v>1</v>
      </c>
      <c r="G3330" s="19">
        <v>0</v>
      </c>
      <c r="H3330" s="5" t="s">
        <v>776</v>
      </c>
      <c r="I3330" s="10">
        <f>IF(OR(D3330="", F3330=""), "", F3330 * VLOOKUP(D3330, Products!A:E, 5, FALSE) * (1 - G3330))</f>
        <v>25.57</v>
      </c>
      <c r="J3330" s="10"/>
    </row>
    <row r="3331" spans="1:10" ht="15.75" customHeight="1" x14ac:dyDescent="0.3">
      <c r="A3331" s="5" t="s">
        <v>4198</v>
      </c>
      <c r="B3331" s="11">
        <v>45343</v>
      </c>
      <c r="C3331" s="5" t="s">
        <v>602</v>
      </c>
      <c r="D3331" s="5" t="s">
        <v>269</v>
      </c>
      <c r="E3331" s="5" t="s">
        <v>29</v>
      </c>
      <c r="F3331" s="5">
        <v>2</v>
      </c>
      <c r="G3331" s="19">
        <v>0.05</v>
      </c>
      <c r="H3331" s="5" t="s">
        <v>697</v>
      </c>
      <c r="I3331" s="10">
        <f>IF(OR(D3331="", F3331=""), "", F3331 * VLOOKUP(D3331, Products!A:E, 5, FALSE) * (1 - G3331))</f>
        <v>3570.2519999999995</v>
      </c>
      <c r="J3331" s="10"/>
    </row>
    <row r="3332" spans="1:10" ht="15.75" customHeight="1" x14ac:dyDescent="0.3">
      <c r="A3332" s="5" t="s">
        <v>4199</v>
      </c>
      <c r="B3332" s="11">
        <v>45391</v>
      </c>
      <c r="C3332" s="5" t="s">
        <v>389</v>
      </c>
      <c r="D3332" s="5" t="s">
        <v>232</v>
      </c>
      <c r="E3332" s="5" t="s">
        <v>21</v>
      </c>
      <c r="F3332" s="5">
        <v>2</v>
      </c>
      <c r="G3332" s="19">
        <v>0.05</v>
      </c>
      <c r="H3332" s="5" t="s">
        <v>697</v>
      </c>
      <c r="I3332" s="10">
        <f>IF(OR(D3332="", F3332=""), "", F3332 * VLOOKUP(D3332, Products!A:E, 5, FALSE) * (1 - G3332))</f>
        <v>3710.0349999999999</v>
      </c>
      <c r="J3332" s="10"/>
    </row>
    <row r="3333" spans="1:10" ht="15.75" customHeight="1" x14ac:dyDescent="0.3">
      <c r="A3333" s="5" t="s">
        <v>4200</v>
      </c>
      <c r="B3333" s="11">
        <v>45295</v>
      </c>
      <c r="C3333" s="5" t="s">
        <v>353</v>
      </c>
      <c r="D3333" s="5" t="s">
        <v>128</v>
      </c>
      <c r="E3333" s="5" t="s">
        <v>25</v>
      </c>
      <c r="F3333" s="5">
        <v>3</v>
      </c>
      <c r="G3333" s="19">
        <v>0.15</v>
      </c>
      <c r="H3333" s="5" t="s">
        <v>776</v>
      </c>
      <c r="I3333" s="10">
        <f>IF(OR(D3333="", F3333=""), "", F3333 * VLOOKUP(D3333, Products!A:E, 5, FALSE) * (1 - G3333))</f>
        <v>825.99599999999998</v>
      </c>
      <c r="J3333" s="10"/>
    </row>
    <row r="3334" spans="1:10" ht="15.75" customHeight="1" x14ac:dyDescent="0.3">
      <c r="A3334" s="5" t="s">
        <v>4201</v>
      </c>
      <c r="B3334" s="11">
        <v>45594</v>
      </c>
      <c r="C3334" s="5" t="s">
        <v>779</v>
      </c>
      <c r="D3334" s="5" t="s">
        <v>272</v>
      </c>
      <c r="E3334" s="5" t="s">
        <v>33</v>
      </c>
      <c r="F3334" s="5">
        <v>2</v>
      </c>
      <c r="G3334" s="19">
        <v>0.05</v>
      </c>
      <c r="H3334" s="5" t="s">
        <v>776</v>
      </c>
      <c r="I3334" s="10">
        <f>IF(OR(D3334="", F3334=""), "", F3334 * VLOOKUP(D3334, Products!A:E, 5, FALSE) * (1 - G3334))</f>
        <v>2214.2029999999995</v>
      </c>
      <c r="J3334" s="10"/>
    </row>
    <row r="3335" spans="1:10" ht="15.75" customHeight="1" x14ac:dyDescent="0.3">
      <c r="A3335" s="5" t="s">
        <v>4202</v>
      </c>
      <c r="B3335" s="11">
        <v>45482</v>
      </c>
      <c r="C3335" s="5" t="s">
        <v>255</v>
      </c>
      <c r="D3335" s="5" t="s">
        <v>262</v>
      </c>
      <c r="E3335" s="5" t="s">
        <v>25</v>
      </c>
      <c r="F3335" s="5">
        <v>3</v>
      </c>
      <c r="G3335" s="19">
        <v>0.1</v>
      </c>
      <c r="H3335" s="5" t="s">
        <v>637</v>
      </c>
      <c r="I3335" s="10">
        <f>IF(OR(D3335="", F3335=""), "", F3335 * VLOOKUP(D3335, Products!A:E, 5, FALSE) * (1 - G3335))</f>
        <v>1224.7740000000001</v>
      </c>
      <c r="J3335" s="10"/>
    </row>
    <row r="3336" spans="1:10" ht="15.75" customHeight="1" x14ac:dyDescent="0.3">
      <c r="A3336" s="5" t="s">
        <v>4203</v>
      </c>
      <c r="B3336" s="11">
        <v>45751</v>
      </c>
      <c r="C3336" s="5" t="s">
        <v>308</v>
      </c>
      <c r="D3336" s="5" t="s">
        <v>70</v>
      </c>
      <c r="E3336" s="5" t="s">
        <v>21</v>
      </c>
      <c r="F3336" s="5">
        <v>2</v>
      </c>
      <c r="G3336" s="19">
        <v>0.15</v>
      </c>
      <c r="H3336" s="5" t="s">
        <v>637</v>
      </c>
      <c r="I3336" s="10">
        <f>IF(OR(D3336="", F3336=""), "", F3336 * VLOOKUP(D3336, Products!A:E, 5, FALSE) * (1 - G3336))</f>
        <v>209.423</v>
      </c>
      <c r="J3336" s="10"/>
    </row>
    <row r="3337" spans="1:10" ht="15.75" customHeight="1" x14ac:dyDescent="0.3">
      <c r="A3337" s="5" t="s">
        <v>4204</v>
      </c>
      <c r="B3337" s="11">
        <v>45356</v>
      </c>
      <c r="C3337" s="5" t="s">
        <v>69</v>
      </c>
      <c r="D3337" s="5" t="s">
        <v>262</v>
      </c>
      <c r="E3337" s="5" t="s">
        <v>25</v>
      </c>
      <c r="F3337" s="5">
        <v>3</v>
      </c>
      <c r="G3337" s="19">
        <v>0</v>
      </c>
      <c r="H3337" s="5" t="s">
        <v>697</v>
      </c>
      <c r="I3337" s="10">
        <f>IF(OR(D3337="", F3337=""), "", F3337 * VLOOKUP(D3337, Products!A:E, 5, FALSE) * (1 - G3337))</f>
        <v>1360.8600000000001</v>
      </c>
      <c r="J3337" s="10"/>
    </row>
    <row r="3338" spans="1:10" ht="15.75" customHeight="1" x14ac:dyDescent="0.3">
      <c r="A3338" s="5" t="s">
        <v>4205</v>
      </c>
      <c r="B3338" s="11">
        <v>45885</v>
      </c>
      <c r="C3338" s="5" t="s">
        <v>800</v>
      </c>
      <c r="D3338" s="5" t="s">
        <v>82</v>
      </c>
      <c r="E3338" s="5" t="s">
        <v>33</v>
      </c>
      <c r="F3338" s="5">
        <v>1</v>
      </c>
      <c r="G3338" s="19">
        <v>0</v>
      </c>
      <c r="H3338" s="5" t="s">
        <v>697</v>
      </c>
      <c r="I3338" s="10">
        <f>IF(OR(D3338="", F3338=""), "", F3338 * VLOOKUP(D3338, Products!A:E, 5, FALSE) * (1 - G3338))</f>
        <v>1193.0899999999999</v>
      </c>
      <c r="J3338" s="10"/>
    </row>
    <row r="3339" spans="1:10" ht="15.75" customHeight="1" x14ac:dyDescent="0.3">
      <c r="A3339" s="5" t="s">
        <v>4206</v>
      </c>
      <c r="B3339" s="11">
        <v>45445</v>
      </c>
      <c r="C3339" s="5" t="s">
        <v>368</v>
      </c>
      <c r="D3339" s="5" t="s">
        <v>153</v>
      </c>
      <c r="E3339" s="5" t="s">
        <v>21</v>
      </c>
      <c r="F3339" s="5">
        <v>2</v>
      </c>
      <c r="G3339" s="19">
        <v>0.15</v>
      </c>
      <c r="H3339" s="5" t="s">
        <v>776</v>
      </c>
      <c r="I3339" s="10">
        <f>IF(OR(D3339="", F3339=""), "", F3339 * VLOOKUP(D3339, Products!A:E, 5, FALSE) * (1 - G3339))</f>
        <v>2528.5970000000002</v>
      </c>
      <c r="J3339" s="10"/>
    </row>
    <row r="3340" spans="1:10" ht="15.75" customHeight="1" x14ac:dyDescent="0.3">
      <c r="A3340" s="5" t="s">
        <v>4207</v>
      </c>
      <c r="B3340" s="11">
        <v>45656</v>
      </c>
      <c r="C3340" s="5" t="s">
        <v>583</v>
      </c>
      <c r="D3340" s="5" t="s">
        <v>232</v>
      </c>
      <c r="E3340" s="5" t="s">
        <v>25</v>
      </c>
      <c r="F3340" s="5">
        <v>2</v>
      </c>
      <c r="G3340" s="19">
        <v>0.1</v>
      </c>
      <c r="H3340" s="5" t="s">
        <v>454</v>
      </c>
      <c r="I3340" s="10">
        <f>IF(OR(D3340="", F3340=""), "", F3340 * VLOOKUP(D3340, Products!A:E, 5, FALSE) * (1 - G3340))</f>
        <v>3514.7700000000004</v>
      </c>
      <c r="J3340" s="10"/>
    </row>
    <row r="3341" spans="1:10" ht="15.75" customHeight="1" x14ac:dyDescent="0.3">
      <c r="A3341" s="5" t="s">
        <v>4208</v>
      </c>
      <c r="B3341" s="11">
        <v>45468</v>
      </c>
      <c r="C3341" s="5" t="s">
        <v>597</v>
      </c>
      <c r="D3341" s="5" t="s">
        <v>162</v>
      </c>
      <c r="E3341" s="5" t="s">
        <v>25</v>
      </c>
      <c r="F3341" s="5">
        <v>5</v>
      </c>
      <c r="G3341" s="19">
        <v>0.05</v>
      </c>
      <c r="H3341" s="5" t="s">
        <v>637</v>
      </c>
      <c r="I3341" s="10">
        <f>IF(OR(D3341="", F3341=""), "", F3341 * VLOOKUP(D3341, Products!A:E, 5, FALSE) * (1 - G3341))</f>
        <v>2038.4624999999999</v>
      </c>
      <c r="J3341" s="10"/>
    </row>
    <row r="3342" spans="1:10" ht="15.75" customHeight="1" x14ac:dyDescent="0.3">
      <c r="A3342" s="5" t="s">
        <v>4209</v>
      </c>
      <c r="B3342" s="11">
        <v>45715</v>
      </c>
      <c r="C3342" s="5" t="s">
        <v>571</v>
      </c>
      <c r="D3342" s="5" t="s">
        <v>265</v>
      </c>
      <c r="E3342" s="5" t="s">
        <v>25</v>
      </c>
      <c r="F3342" s="5">
        <v>5</v>
      </c>
      <c r="G3342" s="19">
        <v>0.15</v>
      </c>
      <c r="H3342" s="5" t="s">
        <v>454</v>
      </c>
      <c r="I3342" s="10">
        <f>IF(OR(D3342="", F3342=""), "", F3342 * VLOOKUP(D3342, Products!A:E, 5, FALSE) * (1 - G3342))</f>
        <v>2398.7849999999999</v>
      </c>
      <c r="J3342" s="10"/>
    </row>
    <row r="3343" spans="1:10" ht="15.75" customHeight="1" x14ac:dyDescent="0.3">
      <c r="A3343" s="5" t="s">
        <v>4210</v>
      </c>
      <c r="B3343" s="11">
        <v>45379</v>
      </c>
      <c r="C3343" s="5" t="s">
        <v>470</v>
      </c>
      <c r="D3343" s="5" t="s">
        <v>89</v>
      </c>
      <c r="E3343" s="5" t="s">
        <v>29</v>
      </c>
      <c r="F3343" s="5">
        <v>5</v>
      </c>
      <c r="G3343" s="19">
        <v>0.05</v>
      </c>
      <c r="H3343" s="5" t="s">
        <v>776</v>
      </c>
      <c r="I3343" s="10">
        <f>IF(OR(D3343="", F3343=""), "", F3343 * VLOOKUP(D3343, Products!A:E, 5, FALSE) * (1 - G3343))</f>
        <v>5390.3</v>
      </c>
      <c r="J3343" s="10"/>
    </row>
    <row r="3344" spans="1:10" ht="15.75" customHeight="1" x14ac:dyDescent="0.3">
      <c r="A3344" s="5" t="s">
        <v>4211</v>
      </c>
      <c r="B3344" s="11">
        <v>45769</v>
      </c>
      <c r="C3344" s="5" t="s">
        <v>353</v>
      </c>
      <c r="D3344" s="5" t="s">
        <v>269</v>
      </c>
      <c r="E3344" s="5" t="s">
        <v>33</v>
      </c>
      <c r="F3344" s="5">
        <v>3</v>
      </c>
      <c r="G3344" s="19">
        <v>0.15</v>
      </c>
      <c r="H3344" s="5" t="s">
        <v>637</v>
      </c>
      <c r="I3344" s="10">
        <f>IF(OR(D3344="", F3344=""), "", F3344 * VLOOKUP(D3344, Products!A:E, 5, FALSE) * (1 - G3344))</f>
        <v>4791.6539999999995</v>
      </c>
      <c r="J3344" s="10"/>
    </row>
    <row r="3345" spans="1:10" ht="15.75" customHeight="1" x14ac:dyDescent="0.3">
      <c r="A3345" s="5" t="s">
        <v>4212</v>
      </c>
      <c r="B3345" s="11">
        <v>45490</v>
      </c>
      <c r="C3345" s="5" t="s">
        <v>215</v>
      </c>
      <c r="D3345" s="5" t="s">
        <v>243</v>
      </c>
      <c r="E3345" s="5" t="s">
        <v>37</v>
      </c>
      <c r="F3345" s="5">
        <v>1</v>
      </c>
      <c r="G3345" s="19">
        <v>0.05</v>
      </c>
      <c r="H3345" s="5" t="s">
        <v>776</v>
      </c>
      <c r="I3345" s="10">
        <f>IF(OR(D3345="", F3345=""), "", F3345 * VLOOKUP(D3345, Products!A:E, 5, FALSE) * (1 - G3345))</f>
        <v>513.89300000000003</v>
      </c>
      <c r="J3345" s="10"/>
    </row>
    <row r="3346" spans="1:10" ht="15.75" customHeight="1" x14ac:dyDescent="0.3">
      <c r="A3346" s="5" t="s">
        <v>4213</v>
      </c>
      <c r="B3346" s="11">
        <v>45273</v>
      </c>
      <c r="C3346" s="5" t="s">
        <v>387</v>
      </c>
      <c r="D3346" s="5" t="s">
        <v>89</v>
      </c>
      <c r="E3346" s="5" t="s">
        <v>37</v>
      </c>
      <c r="F3346" s="5">
        <v>1</v>
      </c>
      <c r="G3346" s="19">
        <v>0.15</v>
      </c>
      <c r="H3346" s="5" t="s">
        <v>637</v>
      </c>
      <c r="I3346" s="10">
        <f>IF(OR(D3346="", F3346=""), "", F3346 * VLOOKUP(D3346, Products!A:E, 5, FALSE) * (1 - G3346))</f>
        <v>964.57999999999993</v>
      </c>
      <c r="J3346" s="10"/>
    </row>
    <row r="3347" spans="1:10" ht="15.75" customHeight="1" x14ac:dyDescent="0.3">
      <c r="A3347" s="5" t="s">
        <v>4214</v>
      </c>
      <c r="B3347" s="11">
        <v>45463</v>
      </c>
      <c r="C3347" s="5" t="s">
        <v>770</v>
      </c>
      <c r="D3347" s="5" t="s">
        <v>140</v>
      </c>
      <c r="E3347" s="5" t="s">
        <v>37</v>
      </c>
      <c r="F3347" s="5">
        <v>2</v>
      </c>
      <c r="G3347" s="19">
        <v>0</v>
      </c>
      <c r="H3347" s="5" t="s">
        <v>697</v>
      </c>
      <c r="I3347" s="10">
        <f>IF(OR(D3347="", F3347=""), "", F3347 * VLOOKUP(D3347, Products!A:E, 5, FALSE) * (1 - G3347))</f>
        <v>51.14</v>
      </c>
      <c r="J3347" s="10"/>
    </row>
    <row r="3348" spans="1:10" ht="15.75" customHeight="1" x14ac:dyDescent="0.3">
      <c r="A3348" s="5" t="s">
        <v>4215</v>
      </c>
      <c r="B3348" s="11">
        <v>45536</v>
      </c>
      <c r="C3348" s="5" t="s">
        <v>674</v>
      </c>
      <c r="D3348" s="5" t="s">
        <v>74</v>
      </c>
      <c r="E3348" s="5" t="s">
        <v>25</v>
      </c>
      <c r="F3348" s="5">
        <v>2</v>
      </c>
      <c r="G3348" s="19">
        <v>0.05</v>
      </c>
      <c r="H3348" s="5" t="s">
        <v>776</v>
      </c>
      <c r="I3348" s="10">
        <f>IF(OR(D3348="", F3348=""), "", F3348 * VLOOKUP(D3348, Products!A:E, 5, FALSE) * (1 - G3348))</f>
        <v>2268.8279999999995</v>
      </c>
      <c r="J3348" s="10"/>
    </row>
    <row r="3349" spans="1:10" ht="15.75" customHeight="1" x14ac:dyDescent="0.3">
      <c r="A3349" s="5" t="s">
        <v>4216</v>
      </c>
      <c r="B3349" s="11">
        <v>45594</v>
      </c>
      <c r="C3349" s="5" t="s">
        <v>649</v>
      </c>
      <c r="D3349" s="5" t="s">
        <v>212</v>
      </c>
      <c r="E3349" s="5" t="s">
        <v>37</v>
      </c>
      <c r="F3349" s="5">
        <v>5</v>
      </c>
      <c r="G3349" s="19">
        <v>0</v>
      </c>
      <c r="H3349" s="5" t="s">
        <v>697</v>
      </c>
      <c r="I3349" s="10">
        <f>IF(OR(D3349="", F3349=""), "", F3349 * VLOOKUP(D3349, Products!A:E, 5, FALSE) * (1 - G3349))</f>
        <v>8994.85</v>
      </c>
      <c r="J3349" s="10"/>
    </row>
    <row r="3350" spans="1:10" ht="15.75" customHeight="1" x14ac:dyDescent="0.3">
      <c r="A3350" s="5" t="s">
        <v>4217</v>
      </c>
      <c r="B3350" s="11">
        <v>45670</v>
      </c>
      <c r="C3350" s="5" t="s">
        <v>674</v>
      </c>
      <c r="D3350" s="5" t="s">
        <v>95</v>
      </c>
      <c r="E3350" s="5" t="s">
        <v>37</v>
      </c>
      <c r="F3350" s="5">
        <v>1</v>
      </c>
      <c r="G3350" s="19">
        <v>0.1</v>
      </c>
      <c r="H3350" s="5" t="s">
        <v>776</v>
      </c>
      <c r="I3350" s="10">
        <f>IF(OR(D3350="", F3350=""), "", F3350 * VLOOKUP(D3350, Products!A:E, 5, FALSE) * (1 - G3350))</f>
        <v>1208.4750000000001</v>
      </c>
      <c r="J3350" s="10"/>
    </row>
    <row r="3351" spans="1:10" ht="15.75" customHeight="1" x14ac:dyDescent="0.3">
      <c r="A3351" s="5" t="s">
        <v>4218</v>
      </c>
      <c r="B3351" s="11">
        <v>45402</v>
      </c>
      <c r="C3351" s="5" t="s">
        <v>416</v>
      </c>
      <c r="D3351" s="5" t="s">
        <v>276</v>
      </c>
      <c r="E3351" s="5" t="s">
        <v>29</v>
      </c>
      <c r="F3351" s="5">
        <v>3</v>
      </c>
      <c r="G3351" s="19">
        <v>0.05</v>
      </c>
      <c r="H3351" s="5" t="s">
        <v>697</v>
      </c>
      <c r="I3351" s="10">
        <f>IF(OR(D3351="", F3351=""), "", F3351 * VLOOKUP(D3351, Products!A:E, 5, FALSE) * (1 - G3351))</f>
        <v>3411.9629999999997</v>
      </c>
      <c r="J3351" s="10"/>
    </row>
    <row r="3352" spans="1:10" ht="15.75" customHeight="1" x14ac:dyDescent="0.3">
      <c r="A3352" s="5" t="s">
        <v>4219</v>
      </c>
      <c r="B3352" s="11">
        <v>45396</v>
      </c>
      <c r="C3352" s="5" t="s">
        <v>149</v>
      </c>
      <c r="D3352" s="5" t="s">
        <v>269</v>
      </c>
      <c r="E3352" s="5" t="s">
        <v>33</v>
      </c>
      <c r="F3352" s="5">
        <v>4</v>
      </c>
      <c r="G3352" s="19">
        <v>0.05</v>
      </c>
      <c r="H3352" s="5" t="s">
        <v>697</v>
      </c>
      <c r="I3352" s="10">
        <f>IF(OR(D3352="", F3352=""), "", F3352 * VLOOKUP(D3352, Products!A:E, 5, FALSE) * (1 - G3352))</f>
        <v>7140.503999999999</v>
      </c>
      <c r="J3352" s="10"/>
    </row>
    <row r="3353" spans="1:10" ht="15.75" customHeight="1" x14ac:dyDescent="0.3">
      <c r="A3353" s="5" t="s">
        <v>4220</v>
      </c>
      <c r="B3353" s="11">
        <v>45205</v>
      </c>
      <c r="C3353" s="5" t="s">
        <v>376</v>
      </c>
      <c r="D3353" s="5" t="s">
        <v>65</v>
      </c>
      <c r="E3353" s="5" t="s">
        <v>21</v>
      </c>
      <c r="F3353" s="5">
        <v>5</v>
      </c>
      <c r="G3353" s="19">
        <v>0.05</v>
      </c>
      <c r="H3353" s="5" t="s">
        <v>637</v>
      </c>
      <c r="I3353" s="10">
        <f>IF(OR(D3353="", F3353=""), "", F3353 * VLOOKUP(D3353, Products!A:E, 5, FALSE) * (1 - G3353))</f>
        <v>7002.0699999999988</v>
      </c>
      <c r="J3353" s="10"/>
    </row>
    <row r="3354" spans="1:10" ht="15.75" customHeight="1" x14ac:dyDescent="0.3">
      <c r="A3354" s="5" t="s">
        <v>4221</v>
      </c>
      <c r="B3354" s="11">
        <v>45390</v>
      </c>
      <c r="C3354" s="5" t="s">
        <v>185</v>
      </c>
      <c r="D3354" s="5" t="s">
        <v>140</v>
      </c>
      <c r="E3354" s="5" t="s">
        <v>33</v>
      </c>
      <c r="F3354" s="5">
        <v>5</v>
      </c>
      <c r="G3354" s="19">
        <v>0</v>
      </c>
      <c r="H3354" s="5" t="s">
        <v>454</v>
      </c>
      <c r="I3354" s="10">
        <f>IF(OR(D3354="", F3354=""), "", F3354 * VLOOKUP(D3354, Products!A:E, 5, FALSE) * (1 - G3354))</f>
        <v>127.85</v>
      </c>
      <c r="J3354" s="10"/>
    </row>
    <row r="3355" spans="1:10" ht="15.75" customHeight="1" x14ac:dyDescent="0.3">
      <c r="A3355" s="5" t="s">
        <v>4222</v>
      </c>
      <c r="B3355" s="11">
        <v>45652</v>
      </c>
      <c r="C3355" s="5" t="s">
        <v>604</v>
      </c>
      <c r="D3355" s="5" t="s">
        <v>188</v>
      </c>
      <c r="E3355" s="5" t="s">
        <v>25</v>
      </c>
      <c r="F3355" s="5">
        <v>3</v>
      </c>
      <c r="G3355" s="19">
        <v>0.1</v>
      </c>
      <c r="H3355" s="5" t="s">
        <v>776</v>
      </c>
      <c r="I3355" s="10">
        <f>IF(OR(D3355="", F3355=""), "", F3355 * VLOOKUP(D3355, Products!A:E, 5, FALSE) * (1 - G3355))</f>
        <v>4009.6349999999998</v>
      </c>
      <c r="J3355" s="10"/>
    </row>
    <row r="3356" spans="1:10" ht="15.75" customHeight="1" x14ac:dyDescent="0.3">
      <c r="A3356" s="5" t="s">
        <v>4223</v>
      </c>
      <c r="B3356" s="11">
        <v>45595</v>
      </c>
      <c r="C3356" s="5" t="s">
        <v>129</v>
      </c>
      <c r="D3356" s="5" t="s">
        <v>200</v>
      </c>
      <c r="E3356" s="5" t="s">
        <v>21</v>
      </c>
      <c r="F3356" s="5">
        <v>1</v>
      </c>
      <c r="G3356" s="19">
        <v>0</v>
      </c>
      <c r="H3356" s="5" t="s">
        <v>776</v>
      </c>
      <c r="I3356" s="10">
        <f>IF(OR(D3356="", F3356=""), "", F3356 * VLOOKUP(D3356, Products!A:E, 5, FALSE) * (1 - G3356))</f>
        <v>1095.72</v>
      </c>
      <c r="J3356" s="10"/>
    </row>
    <row r="3357" spans="1:10" ht="15.75" customHeight="1" x14ac:dyDescent="0.3">
      <c r="A3357" s="5" t="s">
        <v>4224</v>
      </c>
      <c r="B3357" s="11">
        <v>45594</v>
      </c>
      <c r="C3357" s="5" t="s">
        <v>203</v>
      </c>
      <c r="D3357" s="5" t="s">
        <v>65</v>
      </c>
      <c r="E3357" s="5" t="s">
        <v>29</v>
      </c>
      <c r="F3357" s="5">
        <v>2</v>
      </c>
      <c r="G3357" s="19">
        <v>0</v>
      </c>
      <c r="H3357" s="5" t="s">
        <v>776</v>
      </c>
      <c r="I3357" s="10">
        <f>IF(OR(D3357="", F3357=""), "", F3357 * VLOOKUP(D3357, Products!A:E, 5, FALSE) * (1 - G3357))</f>
        <v>2948.24</v>
      </c>
      <c r="J3357" s="10"/>
    </row>
    <row r="3358" spans="1:10" ht="15.75" customHeight="1" x14ac:dyDescent="0.3">
      <c r="A3358" s="5" t="s">
        <v>4225</v>
      </c>
      <c r="B3358" s="11">
        <v>45448</v>
      </c>
      <c r="C3358" s="5" t="s">
        <v>802</v>
      </c>
      <c r="D3358" s="5" t="s">
        <v>291</v>
      </c>
      <c r="E3358" s="5" t="s">
        <v>25</v>
      </c>
      <c r="F3358" s="5">
        <v>4</v>
      </c>
      <c r="G3358" s="19">
        <v>0</v>
      </c>
      <c r="H3358" s="5" t="s">
        <v>637</v>
      </c>
      <c r="I3358" s="10">
        <f>IF(OR(D3358="", F3358=""), "", F3358 * VLOOKUP(D3358, Products!A:E, 5, FALSE) * (1 - G3358))</f>
        <v>4178.5600000000004</v>
      </c>
      <c r="J3358" s="10"/>
    </row>
    <row r="3359" spans="1:10" ht="15.75" customHeight="1" x14ac:dyDescent="0.3">
      <c r="A3359" s="5" t="s">
        <v>4226</v>
      </c>
      <c r="B3359" s="11">
        <v>45649</v>
      </c>
      <c r="C3359" s="5" t="s">
        <v>674</v>
      </c>
      <c r="D3359" s="5" t="s">
        <v>262</v>
      </c>
      <c r="E3359" s="5" t="s">
        <v>29</v>
      </c>
      <c r="F3359" s="5">
        <v>1</v>
      </c>
      <c r="G3359" s="19">
        <v>0</v>
      </c>
      <c r="H3359" s="5" t="s">
        <v>697</v>
      </c>
      <c r="I3359" s="10">
        <f>IF(OR(D3359="", F3359=""), "", F3359 * VLOOKUP(D3359, Products!A:E, 5, FALSE) * (1 - G3359))</f>
        <v>453.62</v>
      </c>
      <c r="J3359" s="10"/>
    </row>
    <row r="3360" spans="1:10" ht="15.75" customHeight="1" x14ac:dyDescent="0.3">
      <c r="A3360" s="5" t="s">
        <v>4227</v>
      </c>
      <c r="B3360" s="11">
        <v>45681</v>
      </c>
      <c r="C3360" s="5" t="s">
        <v>507</v>
      </c>
      <c r="D3360" s="5" t="s">
        <v>65</v>
      </c>
      <c r="E3360" s="5" t="s">
        <v>29</v>
      </c>
      <c r="F3360" s="5">
        <v>4</v>
      </c>
      <c r="G3360" s="19">
        <v>0</v>
      </c>
      <c r="H3360" s="5" t="s">
        <v>454</v>
      </c>
      <c r="I3360" s="10">
        <f>IF(OR(D3360="", F3360=""), "", F3360 * VLOOKUP(D3360, Products!A:E, 5, FALSE) * (1 - G3360))</f>
        <v>5896.48</v>
      </c>
      <c r="J3360" s="10"/>
    </row>
    <row r="3361" spans="1:10" ht="15.75" customHeight="1" x14ac:dyDescent="0.3">
      <c r="A3361" s="5" t="s">
        <v>4228</v>
      </c>
      <c r="B3361" s="11">
        <v>45244</v>
      </c>
      <c r="C3361" s="5" t="s">
        <v>799</v>
      </c>
      <c r="D3361" s="5" t="s">
        <v>193</v>
      </c>
      <c r="E3361" s="5" t="s">
        <v>29</v>
      </c>
      <c r="F3361" s="5">
        <v>3</v>
      </c>
      <c r="G3361" s="19">
        <v>0.05</v>
      </c>
      <c r="H3361" s="5" t="s">
        <v>776</v>
      </c>
      <c r="I3361" s="10">
        <f>IF(OR(D3361="", F3361=""), "", F3361 * VLOOKUP(D3361, Products!A:E, 5, FALSE) * (1 - G3361))</f>
        <v>83.333999999999989</v>
      </c>
      <c r="J3361" s="10"/>
    </row>
    <row r="3362" spans="1:10" ht="15.75" customHeight="1" x14ac:dyDescent="0.3">
      <c r="A3362" s="5" t="s">
        <v>4229</v>
      </c>
      <c r="B3362" s="11">
        <v>45758</v>
      </c>
      <c r="C3362" s="5" t="s">
        <v>680</v>
      </c>
      <c r="D3362" s="5" t="s">
        <v>47</v>
      </c>
      <c r="E3362" s="5" t="s">
        <v>25</v>
      </c>
      <c r="F3362" s="5">
        <v>5</v>
      </c>
      <c r="G3362" s="19">
        <v>0.15</v>
      </c>
      <c r="H3362" s="5" t="s">
        <v>454</v>
      </c>
      <c r="I3362" s="10">
        <f>IF(OR(D3362="", F3362=""), "", F3362 * VLOOKUP(D3362, Products!A:E, 5, FALSE) * (1 - G3362))</f>
        <v>3479.73</v>
      </c>
      <c r="J3362" s="10"/>
    </row>
    <row r="3363" spans="1:10" ht="15.75" customHeight="1" x14ac:dyDescent="0.3">
      <c r="A3363" s="5" t="s">
        <v>4230</v>
      </c>
      <c r="B3363" s="11">
        <v>45797</v>
      </c>
      <c r="C3363" s="5" t="s">
        <v>631</v>
      </c>
      <c r="D3363" s="5" t="s">
        <v>67</v>
      </c>
      <c r="E3363" s="5" t="s">
        <v>37</v>
      </c>
      <c r="F3363" s="5">
        <v>1</v>
      </c>
      <c r="G3363" s="19">
        <v>0.05</v>
      </c>
      <c r="H3363" s="5" t="s">
        <v>697</v>
      </c>
      <c r="I3363" s="10">
        <f>IF(OR(D3363="", F3363=""), "", F3363 * VLOOKUP(D3363, Products!A:E, 5, FALSE) * (1 - G3363))</f>
        <v>104.291</v>
      </c>
      <c r="J3363" s="10"/>
    </row>
    <row r="3364" spans="1:10" ht="15.75" customHeight="1" x14ac:dyDescent="0.3">
      <c r="A3364" s="5" t="s">
        <v>4231</v>
      </c>
      <c r="B3364" s="11">
        <v>45315</v>
      </c>
      <c r="C3364" s="5" t="s">
        <v>865</v>
      </c>
      <c r="D3364" s="5" t="s">
        <v>200</v>
      </c>
      <c r="E3364" s="5" t="s">
        <v>29</v>
      </c>
      <c r="F3364" s="5">
        <v>5</v>
      </c>
      <c r="G3364" s="19">
        <v>0</v>
      </c>
      <c r="H3364" s="5" t="s">
        <v>454</v>
      </c>
      <c r="I3364" s="10">
        <f>IF(OR(D3364="", F3364=""), "", F3364 * VLOOKUP(D3364, Products!A:E, 5, FALSE) * (1 - G3364))</f>
        <v>5478.6</v>
      </c>
      <c r="J3364" s="10"/>
    </row>
    <row r="3365" spans="1:10" ht="15.75" customHeight="1" x14ac:dyDescent="0.3">
      <c r="A3365" s="5" t="s">
        <v>4232</v>
      </c>
      <c r="B3365" s="11">
        <v>45626</v>
      </c>
      <c r="C3365" s="5" t="s">
        <v>532</v>
      </c>
      <c r="D3365" s="5" t="s">
        <v>249</v>
      </c>
      <c r="E3365" s="5" t="s">
        <v>33</v>
      </c>
      <c r="F3365" s="5">
        <v>1</v>
      </c>
      <c r="G3365" s="19">
        <v>0.15</v>
      </c>
      <c r="H3365" s="5" t="s">
        <v>637</v>
      </c>
      <c r="I3365" s="10">
        <f>IF(OR(D3365="", F3365=""), "", F3365 * VLOOKUP(D3365, Products!A:E, 5, FALSE) * (1 - G3365))</f>
        <v>1483.7684999999999</v>
      </c>
      <c r="J3365" s="10"/>
    </row>
    <row r="3366" spans="1:10" ht="15.75" customHeight="1" x14ac:dyDescent="0.3">
      <c r="A3366" s="5" t="s">
        <v>4233</v>
      </c>
      <c r="B3366" s="11">
        <v>45479</v>
      </c>
      <c r="C3366" s="5" t="s">
        <v>113</v>
      </c>
      <c r="D3366" s="5" t="s">
        <v>67</v>
      </c>
      <c r="E3366" s="5" t="s">
        <v>21</v>
      </c>
      <c r="F3366" s="5">
        <v>5</v>
      </c>
      <c r="G3366" s="19">
        <v>0</v>
      </c>
      <c r="H3366" s="5" t="s">
        <v>776</v>
      </c>
      <c r="I3366" s="10">
        <f>IF(OR(D3366="", F3366=""), "", F3366 * VLOOKUP(D3366, Products!A:E, 5, FALSE) * (1 - G3366))</f>
        <v>548.9</v>
      </c>
      <c r="J3366" s="10"/>
    </row>
    <row r="3367" spans="1:10" ht="15.75" customHeight="1" x14ac:dyDescent="0.3">
      <c r="A3367" s="5" t="s">
        <v>4234</v>
      </c>
      <c r="B3367" s="11">
        <v>45713</v>
      </c>
      <c r="C3367" s="5" t="s">
        <v>779</v>
      </c>
      <c r="D3367" s="5" t="s">
        <v>272</v>
      </c>
      <c r="E3367" s="5" t="s">
        <v>29</v>
      </c>
      <c r="F3367" s="5">
        <v>2</v>
      </c>
      <c r="G3367" s="19">
        <v>0.15</v>
      </c>
      <c r="H3367" s="5" t="s">
        <v>454</v>
      </c>
      <c r="I3367" s="10">
        <f>IF(OR(D3367="", F3367=""), "", F3367 * VLOOKUP(D3367, Products!A:E, 5, FALSE) * (1 - G3367))</f>
        <v>1981.1289999999997</v>
      </c>
      <c r="J3367" s="10"/>
    </row>
    <row r="3368" spans="1:10" ht="15.75" customHeight="1" x14ac:dyDescent="0.3">
      <c r="A3368" s="5" t="s">
        <v>4235</v>
      </c>
      <c r="B3368" s="11">
        <v>45430</v>
      </c>
      <c r="C3368" s="5" t="s">
        <v>755</v>
      </c>
      <c r="D3368" s="5" t="s">
        <v>109</v>
      </c>
      <c r="E3368" s="5" t="s">
        <v>29</v>
      </c>
      <c r="F3368" s="5">
        <v>1</v>
      </c>
      <c r="G3368" s="19">
        <v>0.1</v>
      </c>
      <c r="H3368" s="5" t="s">
        <v>454</v>
      </c>
      <c r="I3368" s="10">
        <f>IF(OR(D3368="", F3368=""), "", F3368 * VLOOKUP(D3368, Products!A:E, 5, FALSE) * (1 - G3368))</f>
        <v>1672.875</v>
      </c>
      <c r="J3368" s="10"/>
    </row>
    <row r="3369" spans="1:10" ht="15.75" customHeight="1" x14ac:dyDescent="0.3">
      <c r="A3369" s="5" t="s">
        <v>4236</v>
      </c>
      <c r="B3369" s="11">
        <v>45381</v>
      </c>
      <c r="C3369" s="5" t="s">
        <v>669</v>
      </c>
      <c r="D3369" s="5" t="s">
        <v>272</v>
      </c>
      <c r="E3369" s="5" t="s">
        <v>25</v>
      </c>
      <c r="F3369" s="5">
        <v>4</v>
      </c>
      <c r="G3369" s="19">
        <v>0.15</v>
      </c>
      <c r="H3369" s="5" t="s">
        <v>776</v>
      </c>
      <c r="I3369" s="10">
        <f>IF(OR(D3369="", F3369=""), "", F3369 * VLOOKUP(D3369, Products!A:E, 5, FALSE) * (1 - G3369))</f>
        <v>3962.2579999999994</v>
      </c>
      <c r="J3369" s="10"/>
    </row>
    <row r="3370" spans="1:10" ht="15.75" customHeight="1" x14ac:dyDescent="0.3">
      <c r="A3370" s="5" t="s">
        <v>4237</v>
      </c>
      <c r="B3370" s="11">
        <v>45591</v>
      </c>
      <c r="C3370" s="5" t="s">
        <v>393</v>
      </c>
      <c r="D3370" s="5" t="s">
        <v>119</v>
      </c>
      <c r="E3370" s="5" t="s">
        <v>33</v>
      </c>
      <c r="F3370" s="5">
        <v>2</v>
      </c>
      <c r="G3370" s="19">
        <v>0.1</v>
      </c>
      <c r="H3370" s="5" t="s">
        <v>697</v>
      </c>
      <c r="I3370" s="10">
        <f>IF(OR(D3370="", F3370=""), "", F3370 * VLOOKUP(D3370, Products!A:E, 5, FALSE) * (1 - G3370))</f>
        <v>1943.8020000000001</v>
      </c>
      <c r="J3370" s="10"/>
    </row>
    <row r="3371" spans="1:10" ht="15.75" customHeight="1" x14ac:dyDescent="0.3">
      <c r="A3371" s="5" t="s">
        <v>4238</v>
      </c>
      <c r="B3371" s="11">
        <v>45308</v>
      </c>
      <c r="C3371" s="5" t="s">
        <v>477</v>
      </c>
      <c r="D3371" s="5" t="s">
        <v>243</v>
      </c>
      <c r="E3371" s="5" t="s">
        <v>29</v>
      </c>
      <c r="F3371" s="5">
        <v>1</v>
      </c>
      <c r="G3371" s="19">
        <v>0.1</v>
      </c>
      <c r="H3371" s="5" t="s">
        <v>454</v>
      </c>
      <c r="I3371" s="10">
        <f>IF(OR(D3371="", F3371=""), "", F3371 * VLOOKUP(D3371, Products!A:E, 5, FALSE) * (1 - G3371))</f>
        <v>486.84600000000006</v>
      </c>
      <c r="J3371" s="10"/>
    </row>
    <row r="3372" spans="1:10" ht="15.75" customHeight="1" x14ac:dyDescent="0.3">
      <c r="A3372" s="5" t="s">
        <v>4239</v>
      </c>
      <c r="B3372" s="11">
        <v>45303</v>
      </c>
      <c r="C3372" s="5" t="s">
        <v>326</v>
      </c>
      <c r="D3372" s="5" t="s">
        <v>103</v>
      </c>
      <c r="E3372" s="5" t="s">
        <v>37</v>
      </c>
      <c r="F3372" s="5">
        <v>4</v>
      </c>
      <c r="G3372" s="19">
        <v>0</v>
      </c>
      <c r="H3372" s="5" t="s">
        <v>776</v>
      </c>
      <c r="I3372" s="10">
        <f>IF(OR(D3372="", F3372=""), "", F3372 * VLOOKUP(D3372, Products!A:E, 5, FALSE) * (1 - G3372))</f>
        <v>1081.8</v>
      </c>
      <c r="J3372" s="10"/>
    </row>
    <row r="3373" spans="1:10" ht="15.75" customHeight="1" x14ac:dyDescent="0.3">
      <c r="A3373" s="5" t="s">
        <v>4240</v>
      </c>
      <c r="B3373" s="11">
        <v>45729</v>
      </c>
      <c r="C3373" s="5" t="s">
        <v>750</v>
      </c>
      <c r="D3373" s="5" t="s">
        <v>180</v>
      </c>
      <c r="E3373" s="5" t="s">
        <v>33</v>
      </c>
      <c r="F3373" s="5">
        <v>1</v>
      </c>
      <c r="G3373" s="19">
        <v>0.15</v>
      </c>
      <c r="H3373" s="5" t="s">
        <v>697</v>
      </c>
      <c r="I3373" s="10">
        <f>IF(OR(D3373="", F3373=""), "", F3373 * VLOOKUP(D3373, Products!A:E, 5, FALSE) * (1 - G3373))</f>
        <v>572.71299999999997</v>
      </c>
      <c r="J3373" s="10"/>
    </row>
    <row r="3374" spans="1:10" ht="15.75" customHeight="1" x14ac:dyDescent="0.3">
      <c r="A3374" s="5" t="s">
        <v>4241</v>
      </c>
      <c r="B3374" s="11">
        <v>45333</v>
      </c>
      <c r="C3374" s="5" t="s">
        <v>397</v>
      </c>
      <c r="D3374" s="5" t="s">
        <v>95</v>
      </c>
      <c r="E3374" s="5" t="s">
        <v>33</v>
      </c>
      <c r="F3374" s="5">
        <v>5</v>
      </c>
      <c r="G3374" s="19">
        <v>0.15</v>
      </c>
      <c r="H3374" s="5" t="s">
        <v>454</v>
      </c>
      <c r="I3374" s="10">
        <f>IF(OR(D3374="", F3374=""), "", F3374 * VLOOKUP(D3374, Products!A:E, 5, FALSE) * (1 - G3374))</f>
        <v>5706.6875</v>
      </c>
      <c r="J3374" s="10"/>
    </row>
    <row r="3375" spans="1:10" ht="15.75" customHeight="1" x14ac:dyDescent="0.3">
      <c r="A3375" s="5" t="s">
        <v>4242</v>
      </c>
      <c r="B3375" s="11">
        <v>45433</v>
      </c>
      <c r="C3375" s="5" t="s">
        <v>100</v>
      </c>
      <c r="D3375" s="5" t="s">
        <v>175</v>
      </c>
      <c r="E3375" s="5" t="s">
        <v>37</v>
      </c>
      <c r="F3375" s="5">
        <v>5</v>
      </c>
      <c r="G3375" s="19">
        <v>0.05</v>
      </c>
      <c r="H3375" s="5" t="s">
        <v>697</v>
      </c>
      <c r="I3375" s="10">
        <f>IF(OR(D3375="", F3375=""), "", F3375 * VLOOKUP(D3375, Products!A:E, 5, FALSE) * (1 - G3375))</f>
        <v>6043.0924999999997</v>
      </c>
      <c r="J3375" s="10"/>
    </row>
    <row r="3376" spans="1:10" ht="15.75" customHeight="1" x14ac:dyDescent="0.3">
      <c r="A3376" s="5" t="s">
        <v>4243</v>
      </c>
      <c r="B3376" s="11">
        <v>45601</v>
      </c>
      <c r="C3376" s="5" t="s">
        <v>177</v>
      </c>
      <c r="D3376" s="5" t="s">
        <v>82</v>
      </c>
      <c r="E3376" s="5" t="s">
        <v>21</v>
      </c>
      <c r="F3376" s="5">
        <v>3</v>
      </c>
      <c r="G3376" s="19">
        <v>0</v>
      </c>
      <c r="H3376" s="5" t="s">
        <v>776</v>
      </c>
      <c r="I3376" s="10">
        <f>IF(OR(D3376="", F3376=""), "", F3376 * VLOOKUP(D3376, Products!A:E, 5, FALSE) * (1 - G3376))</f>
        <v>3579.2699999999995</v>
      </c>
      <c r="J3376" s="10"/>
    </row>
    <row r="3377" spans="1:10" ht="15.75" customHeight="1" x14ac:dyDescent="0.3">
      <c r="A3377" s="5" t="s">
        <v>4244</v>
      </c>
      <c r="B3377" s="11">
        <v>45328</v>
      </c>
      <c r="C3377" s="5" t="s">
        <v>543</v>
      </c>
      <c r="D3377" s="5" t="s">
        <v>89</v>
      </c>
      <c r="E3377" s="5" t="s">
        <v>29</v>
      </c>
      <c r="F3377" s="5">
        <v>5</v>
      </c>
      <c r="G3377" s="19">
        <v>0</v>
      </c>
      <c r="H3377" s="5" t="s">
        <v>776</v>
      </c>
      <c r="I3377" s="10">
        <f>IF(OR(D3377="", F3377=""), "", F3377 * VLOOKUP(D3377, Products!A:E, 5, FALSE) * (1 - G3377))</f>
        <v>5674</v>
      </c>
      <c r="J3377" s="10"/>
    </row>
    <row r="3378" spans="1:10" ht="15.75" customHeight="1" x14ac:dyDescent="0.3">
      <c r="A3378" s="5" t="s">
        <v>4245</v>
      </c>
      <c r="B3378" s="11">
        <v>45373</v>
      </c>
      <c r="C3378" s="5" t="s">
        <v>416</v>
      </c>
      <c r="D3378" s="5" t="s">
        <v>147</v>
      </c>
      <c r="E3378" s="5" t="s">
        <v>29</v>
      </c>
      <c r="F3378" s="5">
        <v>2</v>
      </c>
      <c r="G3378" s="19">
        <v>0.15</v>
      </c>
      <c r="H3378" s="5" t="s">
        <v>637</v>
      </c>
      <c r="I3378" s="10">
        <f>IF(OR(D3378="", F3378=""), "", F3378 * VLOOKUP(D3378, Products!A:E, 5, FALSE) * (1 - G3378))</f>
        <v>3193.3989999999999</v>
      </c>
      <c r="J3378" s="10"/>
    </row>
    <row r="3379" spans="1:10" ht="15.75" customHeight="1" x14ac:dyDescent="0.3">
      <c r="A3379" s="5" t="s">
        <v>4246</v>
      </c>
      <c r="B3379" s="11">
        <v>45535</v>
      </c>
      <c r="C3379" s="5" t="s">
        <v>405</v>
      </c>
      <c r="D3379" s="5" t="s">
        <v>70</v>
      </c>
      <c r="E3379" s="5" t="s">
        <v>37</v>
      </c>
      <c r="F3379" s="5">
        <v>2</v>
      </c>
      <c r="G3379" s="19">
        <v>0.15</v>
      </c>
      <c r="H3379" s="5" t="s">
        <v>697</v>
      </c>
      <c r="I3379" s="10">
        <f>IF(OR(D3379="", F3379=""), "", F3379 * VLOOKUP(D3379, Products!A:E, 5, FALSE) * (1 - G3379))</f>
        <v>209.423</v>
      </c>
      <c r="J3379" s="10"/>
    </row>
    <row r="3380" spans="1:10" ht="15.75" customHeight="1" x14ac:dyDescent="0.3">
      <c r="A3380" s="5" t="s">
        <v>4247</v>
      </c>
      <c r="B3380" s="11">
        <v>45599</v>
      </c>
      <c r="C3380" s="5" t="s">
        <v>669</v>
      </c>
      <c r="D3380" s="5" t="s">
        <v>285</v>
      </c>
      <c r="E3380" s="5" t="s">
        <v>21</v>
      </c>
      <c r="F3380" s="5">
        <v>4</v>
      </c>
      <c r="G3380" s="19">
        <v>0.1</v>
      </c>
      <c r="H3380" s="5" t="s">
        <v>697</v>
      </c>
      <c r="I3380" s="10">
        <f>IF(OR(D3380="", F3380=""), "", F3380 * VLOOKUP(D3380, Products!A:E, 5, FALSE) * (1 - G3380))</f>
        <v>1397.7360000000001</v>
      </c>
      <c r="J3380" s="10"/>
    </row>
    <row r="3381" spans="1:10" ht="15.75" customHeight="1" x14ac:dyDescent="0.3">
      <c r="A3381" s="5" t="s">
        <v>4248</v>
      </c>
      <c r="B3381" s="11">
        <v>45903</v>
      </c>
      <c r="C3381" s="5" t="s">
        <v>308</v>
      </c>
      <c r="D3381" s="5" t="s">
        <v>134</v>
      </c>
      <c r="E3381" s="5" t="s">
        <v>21</v>
      </c>
      <c r="F3381" s="5">
        <v>2</v>
      </c>
      <c r="G3381" s="19">
        <v>0.15</v>
      </c>
      <c r="H3381" s="5" t="s">
        <v>454</v>
      </c>
      <c r="I3381" s="10">
        <f>IF(OR(D3381="", F3381=""), "", F3381 * VLOOKUP(D3381, Products!A:E, 5, FALSE) * (1 - G3381))</f>
        <v>2086.308</v>
      </c>
      <c r="J3381" s="10"/>
    </row>
    <row r="3382" spans="1:10" ht="15.75" customHeight="1" x14ac:dyDescent="0.3">
      <c r="A3382" s="5" t="s">
        <v>4249</v>
      </c>
      <c r="B3382" s="11">
        <v>45794</v>
      </c>
      <c r="C3382" s="5" t="s">
        <v>833</v>
      </c>
      <c r="D3382" s="5" t="s">
        <v>103</v>
      </c>
      <c r="E3382" s="5" t="s">
        <v>25</v>
      </c>
      <c r="F3382" s="5">
        <v>5</v>
      </c>
      <c r="G3382" s="19">
        <v>0.1</v>
      </c>
      <c r="H3382" s="5" t="s">
        <v>637</v>
      </c>
      <c r="I3382" s="10">
        <f>IF(OR(D3382="", F3382=""), "", F3382 * VLOOKUP(D3382, Products!A:E, 5, FALSE) * (1 - G3382))</f>
        <v>1217.0250000000001</v>
      </c>
      <c r="J3382" s="10"/>
    </row>
    <row r="3383" spans="1:10" ht="15.75" customHeight="1" x14ac:dyDescent="0.3">
      <c r="A3383" s="5" t="s">
        <v>4250</v>
      </c>
      <c r="B3383" s="11">
        <v>45815</v>
      </c>
      <c r="C3383" s="5" t="s">
        <v>455</v>
      </c>
      <c r="D3383" s="5" t="s">
        <v>147</v>
      </c>
      <c r="E3383" s="5" t="s">
        <v>25</v>
      </c>
      <c r="F3383" s="5">
        <v>1</v>
      </c>
      <c r="G3383" s="19">
        <v>0.05</v>
      </c>
      <c r="H3383" s="5" t="s">
        <v>637</v>
      </c>
      <c r="I3383" s="10">
        <f>IF(OR(D3383="", F3383=""), "", F3383 * VLOOKUP(D3383, Products!A:E, 5, FALSE) * (1 - G3383))</f>
        <v>1784.5464999999999</v>
      </c>
      <c r="J3383" s="10"/>
    </row>
    <row r="3384" spans="1:10" ht="15.75" customHeight="1" x14ac:dyDescent="0.3">
      <c r="A3384" s="5" t="s">
        <v>4251</v>
      </c>
      <c r="B3384" s="11">
        <v>45405</v>
      </c>
      <c r="C3384" s="5" t="s">
        <v>859</v>
      </c>
      <c r="D3384" s="5" t="s">
        <v>237</v>
      </c>
      <c r="E3384" s="5" t="s">
        <v>25</v>
      </c>
      <c r="F3384" s="5">
        <v>3</v>
      </c>
      <c r="G3384" s="19">
        <v>0.15</v>
      </c>
      <c r="H3384" s="5" t="s">
        <v>697</v>
      </c>
      <c r="I3384" s="10">
        <f>IF(OR(D3384="", F3384=""), "", F3384 * VLOOKUP(D3384, Products!A:E, 5, FALSE) * (1 - G3384))</f>
        <v>935.67149999999992</v>
      </c>
      <c r="J3384" s="10"/>
    </row>
    <row r="3385" spans="1:10" ht="15.75" customHeight="1" x14ac:dyDescent="0.3">
      <c r="A3385" s="5" t="s">
        <v>4252</v>
      </c>
      <c r="B3385" s="11">
        <v>45369</v>
      </c>
      <c r="C3385" s="5" t="s">
        <v>235</v>
      </c>
      <c r="D3385" s="5" t="s">
        <v>262</v>
      </c>
      <c r="E3385" s="5" t="s">
        <v>29</v>
      </c>
      <c r="F3385" s="5">
        <v>3</v>
      </c>
      <c r="G3385" s="19">
        <v>0</v>
      </c>
      <c r="H3385" s="5" t="s">
        <v>637</v>
      </c>
      <c r="I3385" s="10">
        <f>IF(OR(D3385="", F3385=""), "", F3385 * VLOOKUP(D3385, Products!A:E, 5, FALSE) * (1 - G3385))</f>
        <v>1360.8600000000001</v>
      </c>
      <c r="J3385" s="10"/>
    </row>
    <row r="3386" spans="1:10" ht="15.75" customHeight="1" x14ac:dyDescent="0.3">
      <c r="A3386" s="5" t="s">
        <v>4253</v>
      </c>
      <c r="B3386" s="11">
        <v>45424</v>
      </c>
      <c r="C3386" s="5" t="s">
        <v>144</v>
      </c>
      <c r="D3386" s="5" t="s">
        <v>77</v>
      </c>
      <c r="E3386" s="5" t="s">
        <v>33</v>
      </c>
      <c r="F3386" s="5">
        <v>3</v>
      </c>
      <c r="G3386" s="19">
        <v>0.15</v>
      </c>
      <c r="H3386" s="5" t="s">
        <v>697</v>
      </c>
      <c r="I3386" s="10">
        <f>IF(OR(D3386="", F3386=""), "", F3386 * VLOOKUP(D3386, Products!A:E, 5, FALSE) * (1 - G3386))</f>
        <v>633.85350000000005</v>
      </c>
      <c r="J3386" s="10"/>
    </row>
    <row r="3387" spans="1:10" ht="15.75" customHeight="1" x14ac:dyDescent="0.3">
      <c r="A3387" s="5" t="s">
        <v>4254</v>
      </c>
      <c r="B3387" s="11">
        <v>45783</v>
      </c>
      <c r="C3387" s="5" t="s">
        <v>507</v>
      </c>
      <c r="D3387" s="5" t="s">
        <v>267</v>
      </c>
      <c r="E3387" s="5" t="s">
        <v>29</v>
      </c>
      <c r="F3387" s="5">
        <v>3</v>
      </c>
      <c r="G3387" s="19">
        <v>0</v>
      </c>
      <c r="H3387" s="5" t="s">
        <v>697</v>
      </c>
      <c r="I3387" s="10">
        <f>IF(OR(D3387="", F3387=""), "", F3387 * VLOOKUP(D3387, Products!A:E, 5, FALSE) * (1 - G3387))</f>
        <v>3859.6499999999996</v>
      </c>
      <c r="J3387" s="10"/>
    </row>
    <row r="3388" spans="1:10" ht="15.75" customHeight="1" x14ac:dyDescent="0.3">
      <c r="A3388" s="5" t="s">
        <v>4255</v>
      </c>
      <c r="B3388" s="11">
        <v>45721</v>
      </c>
      <c r="C3388" s="5" t="s">
        <v>554</v>
      </c>
      <c r="D3388" s="5" t="s">
        <v>147</v>
      </c>
      <c r="E3388" s="5" t="s">
        <v>25</v>
      </c>
      <c r="F3388" s="5">
        <v>3</v>
      </c>
      <c r="G3388" s="19">
        <v>0.1</v>
      </c>
      <c r="H3388" s="5" t="s">
        <v>697</v>
      </c>
      <c r="I3388" s="10">
        <f>IF(OR(D3388="", F3388=""), "", F3388 * VLOOKUP(D3388, Products!A:E, 5, FALSE) * (1 - G3388))</f>
        <v>5071.8689999999997</v>
      </c>
      <c r="J3388" s="10"/>
    </row>
    <row r="3389" spans="1:10" ht="15.75" customHeight="1" x14ac:dyDescent="0.3">
      <c r="A3389" s="5" t="s">
        <v>4256</v>
      </c>
      <c r="B3389" s="11">
        <v>45375</v>
      </c>
      <c r="C3389" s="5" t="s">
        <v>450</v>
      </c>
      <c r="D3389" s="5" t="s">
        <v>267</v>
      </c>
      <c r="E3389" s="5" t="s">
        <v>25</v>
      </c>
      <c r="F3389" s="5">
        <v>1</v>
      </c>
      <c r="G3389" s="19">
        <v>0</v>
      </c>
      <c r="H3389" s="5" t="s">
        <v>637</v>
      </c>
      <c r="I3389" s="10">
        <f>IF(OR(D3389="", F3389=""), "", F3389 * VLOOKUP(D3389, Products!A:E, 5, FALSE) * (1 - G3389))</f>
        <v>1286.55</v>
      </c>
      <c r="J3389" s="10"/>
    </row>
    <row r="3390" spans="1:10" ht="15.75" customHeight="1" x14ac:dyDescent="0.3">
      <c r="A3390" s="5" t="s">
        <v>4257</v>
      </c>
      <c r="B3390" s="11">
        <v>45404</v>
      </c>
      <c r="C3390" s="5" t="s">
        <v>528</v>
      </c>
      <c r="D3390" s="5" t="s">
        <v>70</v>
      </c>
      <c r="E3390" s="5" t="s">
        <v>29</v>
      </c>
      <c r="F3390" s="5">
        <v>4</v>
      </c>
      <c r="G3390" s="19">
        <v>0.1</v>
      </c>
      <c r="H3390" s="5" t="s">
        <v>454</v>
      </c>
      <c r="I3390" s="10">
        <f>IF(OR(D3390="", F3390=""), "", F3390 * VLOOKUP(D3390, Products!A:E, 5, FALSE) * (1 - G3390))</f>
        <v>443.48399999999998</v>
      </c>
      <c r="J3390" s="10"/>
    </row>
    <row r="3391" spans="1:10" ht="15.75" customHeight="1" x14ac:dyDescent="0.3">
      <c r="A3391" s="5" t="s">
        <v>4258</v>
      </c>
      <c r="B3391" s="11">
        <v>45645</v>
      </c>
      <c r="C3391" s="5" t="s">
        <v>652</v>
      </c>
      <c r="D3391" s="5" t="s">
        <v>134</v>
      </c>
      <c r="E3391" s="5" t="s">
        <v>37</v>
      </c>
      <c r="F3391" s="5">
        <v>5</v>
      </c>
      <c r="G3391" s="19">
        <v>0</v>
      </c>
      <c r="H3391" s="5" t="s">
        <v>697</v>
      </c>
      <c r="I3391" s="10">
        <f>IF(OR(D3391="", F3391=""), "", F3391 * VLOOKUP(D3391, Products!A:E, 5, FALSE) * (1 - G3391))</f>
        <v>6136.2</v>
      </c>
      <c r="J3391" s="10"/>
    </row>
    <row r="3392" spans="1:10" ht="15.75" customHeight="1" x14ac:dyDescent="0.3">
      <c r="A3392" s="5" t="s">
        <v>4259</v>
      </c>
      <c r="B3392" s="11">
        <v>45862</v>
      </c>
      <c r="C3392" s="5" t="s">
        <v>840</v>
      </c>
      <c r="D3392" s="5" t="s">
        <v>65</v>
      </c>
      <c r="E3392" s="5" t="s">
        <v>21</v>
      </c>
      <c r="F3392" s="5">
        <v>3</v>
      </c>
      <c r="G3392" s="19">
        <v>0.05</v>
      </c>
      <c r="H3392" s="5" t="s">
        <v>697</v>
      </c>
      <c r="I3392" s="10">
        <f>IF(OR(D3392="", F3392=""), "", F3392 * VLOOKUP(D3392, Products!A:E, 5, FALSE) * (1 - G3392))</f>
        <v>4201.2419999999993</v>
      </c>
      <c r="J3392" s="10"/>
    </row>
    <row r="3393" spans="1:10" ht="15.75" customHeight="1" x14ac:dyDescent="0.3">
      <c r="A3393" s="5" t="s">
        <v>4260</v>
      </c>
      <c r="B3393" s="11">
        <v>45206</v>
      </c>
      <c r="C3393" s="5" t="s">
        <v>433</v>
      </c>
      <c r="D3393" s="5" t="s">
        <v>200</v>
      </c>
      <c r="E3393" s="5" t="s">
        <v>29</v>
      </c>
      <c r="F3393" s="5">
        <v>2</v>
      </c>
      <c r="G3393" s="19">
        <v>0.15</v>
      </c>
      <c r="H3393" s="5" t="s">
        <v>776</v>
      </c>
      <c r="I3393" s="10">
        <f>IF(OR(D3393="", F3393=""), "", F3393 * VLOOKUP(D3393, Products!A:E, 5, FALSE) * (1 - G3393))</f>
        <v>1862.7239999999999</v>
      </c>
      <c r="J3393" s="10"/>
    </row>
    <row r="3394" spans="1:10" ht="15.75" customHeight="1" x14ac:dyDescent="0.3">
      <c r="A3394" s="5" t="s">
        <v>4261</v>
      </c>
      <c r="B3394" s="11">
        <v>45186</v>
      </c>
      <c r="C3394" s="5" t="s">
        <v>789</v>
      </c>
      <c r="D3394" s="5" t="s">
        <v>65</v>
      </c>
      <c r="E3394" s="5" t="s">
        <v>29</v>
      </c>
      <c r="F3394" s="5">
        <v>1</v>
      </c>
      <c r="G3394" s="19">
        <v>0.1</v>
      </c>
      <c r="H3394" s="5" t="s">
        <v>776</v>
      </c>
      <c r="I3394" s="10">
        <f>IF(OR(D3394="", F3394=""), "", F3394 * VLOOKUP(D3394, Products!A:E, 5, FALSE) * (1 - G3394))</f>
        <v>1326.7079999999999</v>
      </c>
      <c r="J3394" s="10"/>
    </row>
    <row r="3395" spans="1:10" ht="15.75" customHeight="1" x14ac:dyDescent="0.3">
      <c r="A3395" s="5" t="s">
        <v>4262</v>
      </c>
      <c r="B3395" s="11">
        <v>45812</v>
      </c>
      <c r="C3395" s="5" t="s">
        <v>447</v>
      </c>
      <c r="D3395" s="5" t="s">
        <v>285</v>
      </c>
      <c r="E3395" s="5" t="s">
        <v>25</v>
      </c>
      <c r="F3395" s="5">
        <v>2</v>
      </c>
      <c r="G3395" s="19">
        <v>0.05</v>
      </c>
      <c r="H3395" s="5" t="s">
        <v>697</v>
      </c>
      <c r="I3395" s="10">
        <f>IF(OR(D3395="", F3395=""), "", F3395 * VLOOKUP(D3395, Products!A:E, 5, FALSE) * (1 - G3395))</f>
        <v>737.69399999999996</v>
      </c>
      <c r="J3395" s="10"/>
    </row>
    <row r="3396" spans="1:10" ht="15.75" customHeight="1" x14ac:dyDescent="0.3">
      <c r="A3396" s="5" t="s">
        <v>4263</v>
      </c>
      <c r="B3396" s="11">
        <v>45680</v>
      </c>
      <c r="C3396" s="5" t="s">
        <v>865</v>
      </c>
      <c r="D3396" s="5" t="s">
        <v>50</v>
      </c>
      <c r="E3396" s="5" t="s">
        <v>29</v>
      </c>
      <c r="F3396" s="5">
        <v>2</v>
      </c>
      <c r="G3396" s="19">
        <v>0.1</v>
      </c>
      <c r="H3396" s="5" t="s">
        <v>454</v>
      </c>
      <c r="I3396" s="10">
        <f>IF(OR(D3396="", F3396=""), "", F3396 * VLOOKUP(D3396, Products!A:E, 5, FALSE) * (1 - G3396))</f>
        <v>607.73400000000004</v>
      </c>
      <c r="J3396" s="10"/>
    </row>
    <row r="3397" spans="1:10" ht="15.75" customHeight="1" x14ac:dyDescent="0.3">
      <c r="A3397" s="5" t="s">
        <v>4264</v>
      </c>
      <c r="B3397" s="11">
        <v>45330</v>
      </c>
      <c r="C3397" s="5" t="s">
        <v>819</v>
      </c>
      <c r="D3397" s="5" t="s">
        <v>119</v>
      </c>
      <c r="E3397" s="5" t="s">
        <v>21</v>
      </c>
      <c r="F3397" s="5">
        <v>4</v>
      </c>
      <c r="G3397" s="19">
        <v>0.05</v>
      </c>
      <c r="H3397" s="5" t="s">
        <v>697</v>
      </c>
      <c r="I3397" s="10">
        <f>IF(OR(D3397="", F3397=""), "", F3397 * VLOOKUP(D3397, Products!A:E, 5, FALSE) * (1 - G3397))</f>
        <v>4103.5820000000003</v>
      </c>
      <c r="J3397" s="10"/>
    </row>
    <row r="3398" spans="1:10" ht="15.75" customHeight="1" x14ac:dyDescent="0.3">
      <c r="A3398" s="5" t="s">
        <v>4265</v>
      </c>
      <c r="B3398" s="11">
        <v>45646</v>
      </c>
      <c r="C3398" s="5" t="s">
        <v>235</v>
      </c>
      <c r="D3398" s="5" t="s">
        <v>47</v>
      </c>
      <c r="E3398" s="5" t="s">
        <v>21</v>
      </c>
      <c r="F3398" s="5">
        <v>1</v>
      </c>
      <c r="G3398" s="19">
        <v>0.15</v>
      </c>
      <c r="H3398" s="5" t="s">
        <v>637</v>
      </c>
      <c r="I3398" s="10">
        <f>IF(OR(D3398="", F3398=""), "", F3398 * VLOOKUP(D3398, Products!A:E, 5, FALSE) * (1 - G3398))</f>
        <v>695.94600000000003</v>
      </c>
      <c r="J3398" s="10"/>
    </row>
    <row r="3399" spans="1:10" ht="15.75" customHeight="1" x14ac:dyDescent="0.3">
      <c r="A3399" s="5" t="s">
        <v>4266</v>
      </c>
      <c r="B3399" s="11">
        <v>45655</v>
      </c>
      <c r="C3399" s="5" t="s">
        <v>829</v>
      </c>
      <c r="D3399" s="5" t="s">
        <v>128</v>
      </c>
      <c r="E3399" s="5" t="s">
        <v>21</v>
      </c>
      <c r="F3399" s="5">
        <v>5</v>
      </c>
      <c r="G3399" s="19">
        <v>0</v>
      </c>
      <c r="H3399" s="5" t="s">
        <v>697</v>
      </c>
      <c r="I3399" s="10">
        <f>IF(OR(D3399="", F3399=""), "", F3399 * VLOOKUP(D3399, Products!A:E, 5, FALSE) * (1 - G3399))</f>
        <v>1619.6000000000001</v>
      </c>
      <c r="J3399" s="10"/>
    </row>
    <row r="3400" spans="1:10" ht="15.75" customHeight="1" x14ac:dyDescent="0.3">
      <c r="A3400" s="5" t="s">
        <v>4267</v>
      </c>
      <c r="B3400" s="11">
        <v>45240</v>
      </c>
      <c r="C3400" s="5" t="s">
        <v>397</v>
      </c>
      <c r="D3400" s="5" t="s">
        <v>47</v>
      </c>
      <c r="E3400" s="5" t="s">
        <v>37</v>
      </c>
      <c r="F3400" s="5">
        <v>1</v>
      </c>
      <c r="G3400" s="19">
        <v>0.05</v>
      </c>
      <c r="H3400" s="5" t="s">
        <v>637</v>
      </c>
      <c r="I3400" s="10">
        <f>IF(OR(D3400="", F3400=""), "", F3400 * VLOOKUP(D3400, Products!A:E, 5, FALSE) * (1 - G3400))</f>
        <v>777.822</v>
      </c>
      <c r="J3400" s="10"/>
    </row>
    <row r="3401" spans="1:10" ht="15.75" customHeight="1" x14ac:dyDescent="0.3">
      <c r="A3401" s="5" t="s">
        <v>4268</v>
      </c>
      <c r="B3401" s="11">
        <v>45551</v>
      </c>
      <c r="C3401" s="5" t="s">
        <v>372</v>
      </c>
      <c r="D3401" s="5" t="s">
        <v>249</v>
      </c>
      <c r="E3401" s="5" t="s">
        <v>25</v>
      </c>
      <c r="F3401" s="5">
        <v>4</v>
      </c>
      <c r="G3401" s="19">
        <v>0.1</v>
      </c>
      <c r="H3401" s="5" t="s">
        <v>697</v>
      </c>
      <c r="I3401" s="10">
        <f>IF(OR(D3401="", F3401=""), "", F3401 * VLOOKUP(D3401, Products!A:E, 5, FALSE) * (1 - G3401))</f>
        <v>6284.1959999999999</v>
      </c>
      <c r="J3401" s="10"/>
    </row>
    <row r="3402" spans="1:10" ht="15.75" customHeight="1" x14ac:dyDescent="0.3">
      <c r="A3402" s="5" t="s">
        <v>4269</v>
      </c>
      <c r="B3402" s="11">
        <v>45847</v>
      </c>
      <c r="C3402" s="5" t="s">
        <v>144</v>
      </c>
      <c r="D3402" s="5" t="s">
        <v>168</v>
      </c>
      <c r="E3402" s="5" t="s">
        <v>33</v>
      </c>
      <c r="F3402" s="5">
        <v>1</v>
      </c>
      <c r="G3402" s="19">
        <v>0</v>
      </c>
      <c r="H3402" s="5" t="s">
        <v>776</v>
      </c>
      <c r="I3402" s="10">
        <f>IF(OR(D3402="", F3402=""), "", F3402 * VLOOKUP(D3402, Products!A:E, 5, FALSE) * (1 - G3402))</f>
        <v>1015.76</v>
      </c>
      <c r="J3402" s="10"/>
    </row>
    <row r="3403" spans="1:10" ht="15.75" customHeight="1" x14ac:dyDescent="0.3">
      <c r="A3403" s="5" t="s">
        <v>4270</v>
      </c>
      <c r="B3403" s="11">
        <v>45447</v>
      </c>
      <c r="C3403" s="5" t="s">
        <v>799</v>
      </c>
      <c r="D3403" s="5" t="s">
        <v>243</v>
      </c>
      <c r="E3403" s="5" t="s">
        <v>37</v>
      </c>
      <c r="F3403" s="5">
        <v>5</v>
      </c>
      <c r="G3403" s="19">
        <v>0.15</v>
      </c>
      <c r="H3403" s="5" t="s">
        <v>454</v>
      </c>
      <c r="I3403" s="10">
        <f>IF(OR(D3403="", F3403=""), "", F3403 * VLOOKUP(D3403, Products!A:E, 5, FALSE) * (1 - G3403))</f>
        <v>2298.9950000000003</v>
      </c>
      <c r="J3403" s="10"/>
    </row>
    <row r="3404" spans="1:10" ht="15.75" customHeight="1" x14ac:dyDescent="0.3">
      <c r="A3404" s="5" t="s">
        <v>4271</v>
      </c>
      <c r="B3404" s="11">
        <v>45638</v>
      </c>
      <c r="C3404" s="5" t="s">
        <v>539</v>
      </c>
      <c r="D3404" s="5" t="s">
        <v>188</v>
      </c>
      <c r="E3404" s="5" t="s">
        <v>21</v>
      </c>
      <c r="F3404" s="5">
        <v>4</v>
      </c>
      <c r="G3404" s="19">
        <v>0.15</v>
      </c>
      <c r="H3404" s="5" t="s">
        <v>776</v>
      </c>
      <c r="I3404" s="10">
        <f>IF(OR(D3404="", F3404=""), "", F3404 * VLOOKUP(D3404, Products!A:E, 5, FALSE) * (1 - G3404))</f>
        <v>5049.17</v>
      </c>
      <c r="J3404" s="10"/>
    </row>
    <row r="3405" spans="1:10" ht="15.75" customHeight="1" x14ac:dyDescent="0.3">
      <c r="A3405" s="5" t="s">
        <v>4272</v>
      </c>
      <c r="B3405" s="11">
        <v>45879</v>
      </c>
      <c r="C3405" s="5" t="s">
        <v>81</v>
      </c>
      <c r="D3405" s="5" t="s">
        <v>89</v>
      </c>
      <c r="E3405" s="5" t="s">
        <v>25</v>
      </c>
      <c r="F3405" s="5">
        <v>2</v>
      </c>
      <c r="G3405" s="19">
        <v>0</v>
      </c>
      <c r="H3405" s="5" t="s">
        <v>776</v>
      </c>
      <c r="I3405" s="10">
        <f>IF(OR(D3405="", F3405=""), "", F3405 * VLOOKUP(D3405, Products!A:E, 5, FALSE) * (1 - G3405))</f>
        <v>2269.6</v>
      </c>
      <c r="J3405" s="10"/>
    </row>
    <row r="3406" spans="1:10" ht="15.75" customHeight="1" x14ac:dyDescent="0.3">
      <c r="A3406" s="5" t="s">
        <v>4273</v>
      </c>
      <c r="B3406" s="11">
        <v>45415</v>
      </c>
      <c r="C3406" s="5" t="s">
        <v>718</v>
      </c>
      <c r="D3406" s="5" t="s">
        <v>206</v>
      </c>
      <c r="E3406" s="5" t="s">
        <v>21</v>
      </c>
      <c r="F3406" s="5">
        <v>3</v>
      </c>
      <c r="G3406" s="19">
        <v>0.15</v>
      </c>
      <c r="H3406" s="5" t="s">
        <v>776</v>
      </c>
      <c r="I3406" s="10">
        <f>IF(OR(D3406="", F3406=""), "", F3406 * VLOOKUP(D3406, Products!A:E, 5, FALSE) * (1 - G3406))</f>
        <v>777.01049999999987</v>
      </c>
      <c r="J3406" s="10"/>
    </row>
    <row r="3407" spans="1:10" ht="15.75" customHeight="1" x14ac:dyDescent="0.3">
      <c r="A3407" s="5" t="s">
        <v>4274</v>
      </c>
      <c r="B3407" s="11">
        <v>45406</v>
      </c>
      <c r="C3407" s="5" t="s">
        <v>683</v>
      </c>
      <c r="D3407" s="5" t="s">
        <v>122</v>
      </c>
      <c r="E3407" s="5" t="s">
        <v>25</v>
      </c>
      <c r="F3407" s="5">
        <v>5</v>
      </c>
      <c r="G3407" s="19">
        <v>0</v>
      </c>
      <c r="H3407" s="5" t="s">
        <v>697</v>
      </c>
      <c r="I3407" s="10">
        <f>IF(OR(D3407="", F3407=""), "", F3407 * VLOOKUP(D3407, Products!A:E, 5, FALSE) * (1 - G3407))</f>
        <v>8814.6</v>
      </c>
      <c r="J3407" s="10"/>
    </row>
    <row r="3408" spans="1:10" ht="15.75" customHeight="1" x14ac:dyDescent="0.3">
      <c r="A3408" s="5" t="s">
        <v>4275</v>
      </c>
      <c r="B3408" s="11">
        <v>45846</v>
      </c>
      <c r="C3408" s="5" t="s">
        <v>802</v>
      </c>
      <c r="D3408" s="5" t="s">
        <v>119</v>
      </c>
      <c r="E3408" s="5" t="s">
        <v>33</v>
      </c>
      <c r="F3408" s="5">
        <v>3</v>
      </c>
      <c r="G3408" s="19">
        <v>0.15</v>
      </c>
      <c r="H3408" s="5" t="s">
        <v>637</v>
      </c>
      <c r="I3408" s="10">
        <f>IF(OR(D3408="", F3408=""), "", F3408 * VLOOKUP(D3408, Products!A:E, 5, FALSE) * (1 - G3408))</f>
        <v>2753.7195000000002</v>
      </c>
      <c r="J3408" s="10"/>
    </row>
    <row r="3409" spans="1:10" ht="15.75" customHeight="1" x14ac:dyDescent="0.3">
      <c r="A3409" s="5" t="s">
        <v>4276</v>
      </c>
      <c r="B3409" s="11">
        <v>45762</v>
      </c>
      <c r="C3409" s="5" t="s">
        <v>420</v>
      </c>
      <c r="D3409" s="5" t="s">
        <v>168</v>
      </c>
      <c r="E3409" s="5" t="s">
        <v>29</v>
      </c>
      <c r="F3409" s="5">
        <v>5</v>
      </c>
      <c r="G3409" s="19">
        <v>0</v>
      </c>
      <c r="H3409" s="5" t="s">
        <v>637</v>
      </c>
      <c r="I3409" s="10">
        <f>IF(OR(D3409="", F3409=""), "", F3409 * VLOOKUP(D3409, Products!A:E, 5, FALSE) * (1 - G3409))</f>
        <v>5078.8</v>
      </c>
      <c r="J3409" s="10"/>
    </row>
    <row r="3410" spans="1:10" ht="15.75" customHeight="1" x14ac:dyDescent="0.3">
      <c r="A3410" s="5" t="s">
        <v>4277</v>
      </c>
      <c r="B3410" s="11">
        <v>45906</v>
      </c>
      <c r="C3410" s="5" t="s">
        <v>16</v>
      </c>
      <c r="D3410" s="5" t="s">
        <v>122</v>
      </c>
      <c r="E3410" s="5" t="s">
        <v>37</v>
      </c>
      <c r="F3410" s="5">
        <v>2</v>
      </c>
      <c r="G3410" s="19">
        <v>0.15</v>
      </c>
      <c r="H3410" s="5" t="s">
        <v>454</v>
      </c>
      <c r="I3410" s="10">
        <f>IF(OR(D3410="", F3410=""), "", F3410 * VLOOKUP(D3410, Products!A:E, 5, FALSE) * (1 - G3410))</f>
        <v>2996.9639999999999</v>
      </c>
      <c r="J3410" s="10"/>
    </row>
    <row r="3411" spans="1:10" ht="15.75" customHeight="1" x14ac:dyDescent="0.3">
      <c r="A3411" s="5" t="s">
        <v>4278</v>
      </c>
      <c r="B3411" s="11">
        <v>45502</v>
      </c>
      <c r="C3411" s="5" t="s">
        <v>736</v>
      </c>
      <c r="D3411" s="5" t="s">
        <v>267</v>
      </c>
      <c r="E3411" s="5" t="s">
        <v>29</v>
      </c>
      <c r="F3411" s="5">
        <v>2</v>
      </c>
      <c r="G3411" s="19">
        <v>0</v>
      </c>
      <c r="H3411" s="5" t="s">
        <v>776</v>
      </c>
      <c r="I3411" s="10">
        <f>IF(OR(D3411="", F3411=""), "", F3411 * VLOOKUP(D3411, Products!A:E, 5, FALSE) * (1 - G3411))</f>
        <v>2573.1</v>
      </c>
      <c r="J3411" s="10"/>
    </row>
    <row r="3412" spans="1:10" ht="15.75" customHeight="1" x14ac:dyDescent="0.3">
      <c r="A3412" s="5" t="s">
        <v>4279</v>
      </c>
      <c r="B3412" s="11">
        <v>45618</v>
      </c>
      <c r="C3412" s="5" t="s">
        <v>466</v>
      </c>
      <c r="D3412" s="5" t="s">
        <v>280</v>
      </c>
      <c r="E3412" s="5" t="s">
        <v>37</v>
      </c>
      <c r="F3412" s="5">
        <v>1</v>
      </c>
      <c r="G3412" s="19">
        <v>0</v>
      </c>
      <c r="H3412" s="5" t="s">
        <v>454</v>
      </c>
      <c r="I3412" s="10">
        <f>IF(OR(D3412="", F3412=""), "", F3412 * VLOOKUP(D3412, Products!A:E, 5, FALSE) * (1 - G3412))</f>
        <v>1216.3599999999999</v>
      </c>
      <c r="J3412" s="10"/>
    </row>
    <row r="3413" spans="1:10" ht="15.75" customHeight="1" x14ac:dyDescent="0.3">
      <c r="A3413" s="5" t="s">
        <v>4280</v>
      </c>
      <c r="B3413" s="11">
        <v>45825</v>
      </c>
      <c r="C3413" s="5" t="s">
        <v>240</v>
      </c>
      <c r="D3413" s="5" t="s">
        <v>168</v>
      </c>
      <c r="E3413" s="5" t="s">
        <v>37</v>
      </c>
      <c r="F3413" s="5">
        <v>3</v>
      </c>
      <c r="G3413" s="19">
        <v>0.05</v>
      </c>
      <c r="H3413" s="5" t="s">
        <v>697</v>
      </c>
      <c r="I3413" s="10">
        <f>IF(OR(D3413="", F3413=""), "", F3413 * VLOOKUP(D3413, Products!A:E, 5, FALSE) * (1 - G3413))</f>
        <v>2894.9159999999997</v>
      </c>
      <c r="J3413" s="10"/>
    </row>
    <row r="3414" spans="1:10" ht="15.75" customHeight="1" x14ac:dyDescent="0.3">
      <c r="A3414" s="5" t="s">
        <v>4281</v>
      </c>
      <c r="B3414" s="11">
        <v>45906</v>
      </c>
      <c r="C3414" s="5" t="s">
        <v>546</v>
      </c>
      <c r="D3414" s="5" t="s">
        <v>175</v>
      </c>
      <c r="E3414" s="5" t="s">
        <v>37</v>
      </c>
      <c r="F3414" s="5">
        <v>4</v>
      </c>
      <c r="G3414" s="19">
        <v>0.1</v>
      </c>
      <c r="H3414" s="5" t="s">
        <v>776</v>
      </c>
      <c r="I3414" s="10">
        <f>IF(OR(D3414="", F3414=""), "", F3414 * VLOOKUP(D3414, Products!A:E, 5, FALSE) * (1 - G3414))</f>
        <v>4580.0280000000002</v>
      </c>
      <c r="J3414" s="10"/>
    </row>
    <row r="3415" spans="1:10" ht="15.75" customHeight="1" x14ac:dyDescent="0.3">
      <c r="A3415" s="5" t="s">
        <v>4282</v>
      </c>
      <c r="B3415" s="11">
        <v>45193</v>
      </c>
      <c r="C3415" s="5" t="s">
        <v>718</v>
      </c>
      <c r="D3415" s="5" t="s">
        <v>140</v>
      </c>
      <c r="E3415" s="5" t="s">
        <v>25</v>
      </c>
      <c r="F3415" s="5">
        <v>4</v>
      </c>
      <c r="G3415" s="19">
        <v>0.05</v>
      </c>
      <c r="H3415" s="5" t="s">
        <v>697</v>
      </c>
      <c r="I3415" s="10">
        <f>IF(OR(D3415="", F3415=""), "", F3415 * VLOOKUP(D3415, Products!A:E, 5, FALSE) * (1 - G3415))</f>
        <v>97.165999999999997</v>
      </c>
      <c r="J3415" s="10"/>
    </row>
    <row r="3416" spans="1:10" ht="15.75" customHeight="1" x14ac:dyDescent="0.3">
      <c r="A3416" s="5" t="s">
        <v>4283</v>
      </c>
      <c r="B3416" s="11">
        <v>45497</v>
      </c>
      <c r="C3416" s="5" t="s">
        <v>833</v>
      </c>
      <c r="D3416" s="5" t="s">
        <v>162</v>
      </c>
      <c r="E3416" s="5" t="s">
        <v>25</v>
      </c>
      <c r="F3416" s="5">
        <v>2</v>
      </c>
      <c r="G3416" s="19">
        <v>0.05</v>
      </c>
      <c r="H3416" s="5" t="s">
        <v>776</v>
      </c>
      <c r="I3416" s="10">
        <f>IF(OR(D3416="", F3416=""), "", F3416 * VLOOKUP(D3416, Products!A:E, 5, FALSE) * (1 - G3416))</f>
        <v>815.38499999999988</v>
      </c>
      <c r="J3416" s="10"/>
    </row>
    <row r="3417" spans="1:10" ht="15.75" customHeight="1" x14ac:dyDescent="0.3">
      <c r="A3417" s="5" t="s">
        <v>4284</v>
      </c>
      <c r="B3417" s="11">
        <v>45807</v>
      </c>
      <c r="C3417" s="5" t="s">
        <v>397</v>
      </c>
      <c r="D3417" s="5" t="s">
        <v>217</v>
      </c>
      <c r="E3417" s="5" t="s">
        <v>33</v>
      </c>
      <c r="F3417" s="5">
        <v>3</v>
      </c>
      <c r="G3417" s="19">
        <v>0.1</v>
      </c>
      <c r="H3417" s="5" t="s">
        <v>454</v>
      </c>
      <c r="I3417" s="10">
        <f>IF(OR(D3417="", F3417=""), "", F3417 * VLOOKUP(D3417, Products!A:E, 5, FALSE) * (1 - G3417))</f>
        <v>1155.7350000000001</v>
      </c>
      <c r="J3417" s="10"/>
    </row>
    <row r="3418" spans="1:10" ht="15.75" customHeight="1" x14ac:dyDescent="0.3">
      <c r="A3418" s="5" t="s">
        <v>4285</v>
      </c>
      <c r="B3418" s="11">
        <v>45702</v>
      </c>
      <c r="C3418" s="5" t="s">
        <v>567</v>
      </c>
      <c r="D3418" s="5" t="s">
        <v>168</v>
      </c>
      <c r="E3418" s="5" t="s">
        <v>21</v>
      </c>
      <c r="F3418" s="5">
        <v>1</v>
      </c>
      <c r="G3418" s="19">
        <v>0.1</v>
      </c>
      <c r="H3418" s="5" t="s">
        <v>776</v>
      </c>
      <c r="I3418" s="10">
        <f>IF(OR(D3418="", F3418=""), "", F3418 * VLOOKUP(D3418, Products!A:E, 5, FALSE) * (1 - G3418))</f>
        <v>914.18399999999997</v>
      </c>
      <c r="J3418" s="10"/>
    </row>
    <row r="3419" spans="1:10" ht="15.75" customHeight="1" x14ac:dyDescent="0.3">
      <c r="A3419" s="5" t="s">
        <v>4286</v>
      </c>
      <c r="B3419" s="11">
        <v>45298</v>
      </c>
      <c r="C3419" s="5" t="s">
        <v>808</v>
      </c>
      <c r="D3419" s="5" t="s">
        <v>280</v>
      </c>
      <c r="E3419" s="5" t="s">
        <v>29</v>
      </c>
      <c r="F3419" s="5">
        <v>2</v>
      </c>
      <c r="G3419" s="19">
        <v>0.15</v>
      </c>
      <c r="H3419" s="5" t="s">
        <v>776</v>
      </c>
      <c r="I3419" s="10">
        <f>IF(OR(D3419="", F3419=""), "", F3419 * VLOOKUP(D3419, Products!A:E, 5, FALSE) * (1 - G3419))</f>
        <v>2067.8119999999999</v>
      </c>
      <c r="J3419" s="10"/>
    </row>
    <row r="3420" spans="1:10" ht="15.75" customHeight="1" x14ac:dyDescent="0.3">
      <c r="A3420" s="5" t="s">
        <v>4287</v>
      </c>
      <c r="B3420" s="11">
        <v>45374</v>
      </c>
      <c r="C3420" s="5" t="s">
        <v>519</v>
      </c>
      <c r="D3420" s="5" t="s">
        <v>237</v>
      </c>
      <c r="E3420" s="5" t="s">
        <v>21</v>
      </c>
      <c r="F3420" s="5">
        <v>3</v>
      </c>
      <c r="G3420" s="19">
        <v>0.05</v>
      </c>
      <c r="H3420" s="5" t="s">
        <v>637</v>
      </c>
      <c r="I3420" s="10">
        <f>IF(OR(D3420="", F3420=""), "", F3420 * VLOOKUP(D3420, Products!A:E, 5, FALSE) * (1 - G3420))</f>
        <v>1045.7504999999999</v>
      </c>
      <c r="J3420" s="10"/>
    </row>
    <row r="3421" spans="1:10" ht="15.75" customHeight="1" x14ac:dyDescent="0.3">
      <c r="A3421" s="5" t="s">
        <v>4288</v>
      </c>
      <c r="B3421" s="11">
        <v>45720</v>
      </c>
      <c r="C3421" s="5" t="s">
        <v>546</v>
      </c>
      <c r="D3421" s="5" t="s">
        <v>147</v>
      </c>
      <c r="E3421" s="5" t="s">
        <v>33</v>
      </c>
      <c r="F3421" s="5">
        <v>4</v>
      </c>
      <c r="G3421" s="19">
        <v>0</v>
      </c>
      <c r="H3421" s="5" t="s">
        <v>776</v>
      </c>
      <c r="I3421" s="10">
        <f>IF(OR(D3421="", F3421=""), "", F3421 * VLOOKUP(D3421, Products!A:E, 5, FALSE) * (1 - G3421))</f>
        <v>7513.88</v>
      </c>
      <c r="J3421" s="10"/>
    </row>
    <row r="3422" spans="1:10" ht="15.75" customHeight="1" x14ac:dyDescent="0.3">
      <c r="A3422" s="5" t="s">
        <v>4289</v>
      </c>
      <c r="B3422" s="11">
        <v>45838</v>
      </c>
      <c r="C3422" s="5" t="s">
        <v>250</v>
      </c>
      <c r="D3422" s="5" t="s">
        <v>232</v>
      </c>
      <c r="E3422" s="5" t="s">
        <v>25</v>
      </c>
      <c r="F3422" s="5">
        <v>4</v>
      </c>
      <c r="G3422" s="19">
        <v>0</v>
      </c>
      <c r="H3422" s="5" t="s">
        <v>776</v>
      </c>
      <c r="I3422" s="10">
        <f>IF(OR(D3422="", F3422=""), "", F3422 * VLOOKUP(D3422, Products!A:E, 5, FALSE) * (1 - G3422))</f>
        <v>7810.6</v>
      </c>
      <c r="J3422" s="10"/>
    </row>
    <row r="3423" spans="1:10" ht="15.75" customHeight="1" x14ac:dyDescent="0.3">
      <c r="A3423" s="5" t="s">
        <v>4290</v>
      </c>
      <c r="B3423" s="11">
        <v>45450</v>
      </c>
      <c r="C3423" s="5" t="s">
        <v>350</v>
      </c>
      <c r="D3423" s="5" t="s">
        <v>74</v>
      </c>
      <c r="E3423" s="5" t="s">
        <v>21</v>
      </c>
      <c r="F3423" s="5">
        <v>5</v>
      </c>
      <c r="G3423" s="19">
        <v>0.05</v>
      </c>
      <c r="H3423" s="5" t="s">
        <v>454</v>
      </c>
      <c r="I3423" s="10">
        <f>IF(OR(D3423="", F3423=""), "", F3423 * VLOOKUP(D3423, Products!A:E, 5, FALSE) * (1 - G3423))</f>
        <v>5672.0699999999988</v>
      </c>
      <c r="J3423" s="10"/>
    </row>
    <row r="3424" spans="1:10" ht="15.75" customHeight="1" x14ac:dyDescent="0.3">
      <c r="A3424" s="5" t="s">
        <v>4291</v>
      </c>
      <c r="B3424" s="11">
        <v>45346</v>
      </c>
      <c r="C3424" s="5" t="s">
        <v>539</v>
      </c>
      <c r="D3424" s="5" t="s">
        <v>221</v>
      </c>
      <c r="E3424" s="5" t="s">
        <v>33</v>
      </c>
      <c r="F3424" s="5">
        <v>5</v>
      </c>
      <c r="G3424" s="19">
        <v>0</v>
      </c>
      <c r="H3424" s="5" t="s">
        <v>776</v>
      </c>
      <c r="I3424" s="10">
        <f>IF(OR(D3424="", F3424=""), "", F3424 * VLOOKUP(D3424, Products!A:E, 5, FALSE) * (1 - G3424))</f>
        <v>7812.1500000000005</v>
      </c>
      <c r="J3424" s="10"/>
    </row>
    <row r="3425" spans="1:10" ht="15.75" customHeight="1" x14ac:dyDescent="0.3">
      <c r="A3425" s="5" t="s">
        <v>4292</v>
      </c>
      <c r="B3425" s="11">
        <v>45212</v>
      </c>
      <c r="C3425" s="5" t="s">
        <v>536</v>
      </c>
      <c r="D3425" s="5" t="s">
        <v>153</v>
      </c>
      <c r="E3425" s="5" t="s">
        <v>25</v>
      </c>
      <c r="F3425" s="5">
        <v>4</v>
      </c>
      <c r="G3425" s="19">
        <v>0</v>
      </c>
      <c r="H3425" s="5" t="s">
        <v>454</v>
      </c>
      <c r="I3425" s="10">
        <f>IF(OR(D3425="", F3425=""), "", F3425 * VLOOKUP(D3425, Products!A:E, 5, FALSE) * (1 - G3425))</f>
        <v>5949.64</v>
      </c>
      <c r="J3425" s="10"/>
    </row>
    <row r="3426" spans="1:10" ht="15.75" customHeight="1" x14ac:dyDescent="0.3">
      <c r="A3426" s="5" t="s">
        <v>4293</v>
      </c>
      <c r="B3426" s="11">
        <v>45427</v>
      </c>
      <c r="C3426" s="5" t="s">
        <v>850</v>
      </c>
      <c r="D3426" s="5" t="s">
        <v>103</v>
      </c>
      <c r="E3426" s="5" t="s">
        <v>25</v>
      </c>
      <c r="F3426" s="5">
        <v>1</v>
      </c>
      <c r="G3426" s="19">
        <v>0.05</v>
      </c>
      <c r="H3426" s="5" t="s">
        <v>697</v>
      </c>
      <c r="I3426" s="10">
        <f>IF(OR(D3426="", F3426=""), "", F3426 * VLOOKUP(D3426, Products!A:E, 5, FALSE) * (1 - G3426))</f>
        <v>256.92749999999995</v>
      </c>
      <c r="J3426" s="10"/>
    </row>
    <row r="3427" spans="1:10" ht="15.75" customHeight="1" x14ac:dyDescent="0.3">
      <c r="A3427" s="5" t="s">
        <v>4294</v>
      </c>
      <c r="B3427" s="11">
        <v>45558</v>
      </c>
      <c r="C3427" s="5" t="s">
        <v>412</v>
      </c>
      <c r="D3427" s="5" t="s">
        <v>74</v>
      </c>
      <c r="E3427" s="5" t="s">
        <v>29</v>
      </c>
      <c r="F3427" s="5">
        <v>3</v>
      </c>
      <c r="G3427" s="19">
        <v>0</v>
      </c>
      <c r="H3427" s="5" t="s">
        <v>637</v>
      </c>
      <c r="I3427" s="10">
        <f>IF(OR(D3427="", F3427=""), "", F3427 * VLOOKUP(D3427, Products!A:E, 5, FALSE) * (1 - G3427))</f>
        <v>3582.3599999999997</v>
      </c>
      <c r="J3427" s="10"/>
    </row>
    <row r="3428" spans="1:10" ht="15.75" customHeight="1" x14ac:dyDescent="0.3">
      <c r="A3428" s="5" t="s">
        <v>4295</v>
      </c>
      <c r="B3428" s="11">
        <v>45905</v>
      </c>
      <c r="C3428" s="5" t="s">
        <v>649</v>
      </c>
      <c r="D3428" s="5" t="s">
        <v>267</v>
      </c>
      <c r="E3428" s="5" t="s">
        <v>37</v>
      </c>
      <c r="F3428" s="5">
        <v>2</v>
      </c>
      <c r="G3428" s="19">
        <v>0.15</v>
      </c>
      <c r="H3428" s="5" t="s">
        <v>776</v>
      </c>
      <c r="I3428" s="10">
        <f>IF(OR(D3428="", F3428=""), "", F3428 * VLOOKUP(D3428, Products!A:E, 5, FALSE) * (1 - G3428))</f>
        <v>2187.1349999999998</v>
      </c>
      <c r="J3428" s="10"/>
    </row>
    <row r="3429" spans="1:10" ht="15.75" customHeight="1" x14ac:dyDescent="0.3">
      <c r="A3429" s="5" t="s">
        <v>4296</v>
      </c>
      <c r="B3429" s="11">
        <v>45406</v>
      </c>
      <c r="C3429" s="5" t="s">
        <v>628</v>
      </c>
      <c r="D3429" s="5" t="s">
        <v>70</v>
      </c>
      <c r="E3429" s="5" t="s">
        <v>33</v>
      </c>
      <c r="F3429" s="5">
        <v>4</v>
      </c>
      <c r="G3429" s="19">
        <v>0.05</v>
      </c>
      <c r="H3429" s="5" t="s">
        <v>697</v>
      </c>
      <c r="I3429" s="10">
        <f>IF(OR(D3429="", F3429=""), "", F3429 * VLOOKUP(D3429, Products!A:E, 5, FALSE) * (1 - G3429))</f>
        <v>468.12199999999996</v>
      </c>
      <c r="J3429" s="10"/>
    </row>
    <row r="3430" spans="1:10" ht="15.75" customHeight="1" x14ac:dyDescent="0.3">
      <c r="A3430" s="5" t="s">
        <v>4297</v>
      </c>
      <c r="B3430" s="11">
        <v>45387</v>
      </c>
      <c r="C3430" s="5" t="s">
        <v>665</v>
      </c>
      <c r="D3430" s="5" t="s">
        <v>221</v>
      </c>
      <c r="E3430" s="5" t="s">
        <v>29</v>
      </c>
      <c r="F3430" s="5">
        <v>3</v>
      </c>
      <c r="G3430" s="19">
        <v>0</v>
      </c>
      <c r="H3430" s="5" t="s">
        <v>776</v>
      </c>
      <c r="I3430" s="10">
        <f>IF(OR(D3430="", F3430=""), "", F3430 * VLOOKUP(D3430, Products!A:E, 5, FALSE) * (1 - G3430))</f>
        <v>4687.29</v>
      </c>
      <c r="J3430" s="10"/>
    </row>
    <row r="3431" spans="1:10" ht="15.75" customHeight="1" x14ac:dyDescent="0.3">
      <c r="A3431" s="5" t="s">
        <v>4298</v>
      </c>
      <c r="B3431" s="11">
        <v>45513</v>
      </c>
      <c r="C3431" s="5" t="s">
        <v>397</v>
      </c>
      <c r="D3431" s="5" t="s">
        <v>200</v>
      </c>
      <c r="E3431" s="5" t="s">
        <v>29</v>
      </c>
      <c r="F3431" s="5">
        <v>5</v>
      </c>
      <c r="G3431" s="19">
        <v>0</v>
      </c>
      <c r="H3431" s="5" t="s">
        <v>637</v>
      </c>
      <c r="I3431" s="10">
        <f>IF(OR(D3431="", F3431=""), "", F3431 * VLOOKUP(D3431, Products!A:E, 5, FALSE) * (1 - G3431))</f>
        <v>5478.6</v>
      </c>
      <c r="J3431" s="10"/>
    </row>
    <row r="3432" spans="1:10" ht="15.75" customHeight="1" x14ac:dyDescent="0.3">
      <c r="A3432" s="5" t="s">
        <v>4299</v>
      </c>
      <c r="B3432" s="11">
        <v>45770</v>
      </c>
      <c r="C3432" s="5" t="s">
        <v>878</v>
      </c>
      <c r="D3432" s="5" t="s">
        <v>188</v>
      </c>
      <c r="E3432" s="5" t="s">
        <v>25</v>
      </c>
      <c r="F3432" s="5">
        <v>3</v>
      </c>
      <c r="G3432" s="19">
        <v>0.1</v>
      </c>
      <c r="H3432" s="5" t="s">
        <v>697</v>
      </c>
      <c r="I3432" s="10">
        <f>IF(OR(D3432="", F3432=""), "", F3432 * VLOOKUP(D3432, Products!A:E, 5, FALSE) * (1 - G3432))</f>
        <v>4009.6349999999998</v>
      </c>
      <c r="J3432" s="10"/>
    </row>
    <row r="3433" spans="1:10" ht="15.75" customHeight="1" x14ac:dyDescent="0.3">
      <c r="A3433" s="5" t="s">
        <v>4300</v>
      </c>
      <c r="B3433" s="11">
        <v>45490</v>
      </c>
      <c r="C3433" s="5" t="s">
        <v>620</v>
      </c>
      <c r="D3433" s="5" t="s">
        <v>57</v>
      </c>
      <c r="E3433" s="5" t="s">
        <v>37</v>
      </c>
      <c r="F3433" s="5">
        <v>5</v>
      </c>
      <c r="G3433" s="19">
        <v>0.05</v>
      </c>
      <c r="H3433" s="5" t="s">
        <v>637</v>
      </c>
      <c r="I3433" s="10">
        <f>IF(OR(D3433="", F3433=""), "", F3433 * VLOOKUP(D3433, Products!A:E, 5, FALSE) * (1 - G3433))</f>
        <v>6632.0450000000001</v>
      </c>
      <c r="J3433" s="10"/>
    </row>
    <row r="3434" spans="1:10" ht="15.75" customHeight="1" x14ac:dyDescent="0.3">
      <c r="A3434" s="5" t="s">
        <v>4301</v>
      </c>
      <c r="B3434" s="11">
        <v>45544</v>
      </c>
      <c r="C3434" s="5" t="s">
        <v>149</v>
      </c>
      <c r="D3434" s="5" t="s">
        <v>280</v>
      </c>
      <c r="E3434" s="5" t="s">
        <v>25</v>
      </c>
      <c r="F3434" s="5">
        <v>2</v>
      </c>
      <c r="G3434" s="19">
        <v>0.1</v>
      </c>
      <c r="H3434" s="5" t="s">
        <v>776</v>
      </c>
      <c r="I3434" s="10">
        <f>IF(OR(D3434="", F3434=""), "", F3434 * VLOOKUP(D3434, Products!A:E, 5, FALSE) * (1 - G3434))</f>
        <v>2189.4479999999999</v>
      </c>
      <c r="J3434" s="10"/>
    </row>
    <row r="3435" spans="1:10" ht="15.75" customHeight="1" x14ac:dyDescent="0.3">
      <c r="A3435" s="5" t="s">
        <v>4302</v>
      </c>
      <c r="B3435" s="11">
        <v>45405</v>
      </c>
      <c r="C3435" s="5" t="s">
        <v>159</v>
      </c>
      <c r="D3435" s="5" t="s">
        <v>217</v>
      </c>
      <c r="E3435" s="5" t="s">
        <v>21</v>
      </c>
      <c r="F3435" s="5">
        <v>3</v>
      </c>
      <c r="G3435" s="19">
        <v>0.15</v>
      </c>
      <c r="H3435" s="5" t="s">
        <v>776</v>
      </c>
      <c r="I3435" s="10">
        <f>IF(OR(D3435="", F3435=""), "", F3435 * VLOOKUP(D3435, Products!A:E, 5, FALSE) * (1 - G3435))</f>
        <v>1091.5275000000001</v>
      </c>
      <c r="J3435" s="10"/>
    </row>
    <row r="3436" spans="1:10" ht="15.75" customHeight="1" x14ac:dyDescent="0.3">
      <c r="A3436" s="5" t="s">
        <v>4303</v>
      </c>
      <c r="B3436" s="11">
        <v>45265</v>
      </c>
      <c r="C3436" s="5" t="s">
        <v>733</v>
      </c>
      <c r="D3436" s="5" t="s">
        <v>82</v>
      </c>
      <c r="E3436" s="5" t="s">
        <v>21</v>
      </c>
      <c r="F3436" s="5">
        <v>5</v>
      </c>
      <c r="G3436" s="19">
        <v>0.1</v>
      </c>
      <c r="H3436" s="5" t="s">
        <v>776</v>
      </c>
      <c r="I3436" s="10">
        <f>IF(OR(D3436="", F3436=""), "", F3436 * VLOOKUP(D3436, Products!A:E, 5, FALSE) * (1 - G3436))</f>
        <v>5368.9049999999997</v>
      </c>
      <c r="J3436" s="10"/>
    </row>
    <row r="3437" spans="1:10" ht="15.75" customHeight="1" x14ac:dyDescent="0.3">
      <c r="A3437" s="5" t="s">
        <v>4304</v>
      </c>
      <c r="B3437" s="11">
        <v>45846</v>
      </c>
      <c r="C3437" s="5" t="s">
        <v>447</v>
      </c>
      <c r="D3437" s="5" t="s">
        <v>285</v>
      </c>
      <c r="E3437" s="5" t="s">
        <v>29</v>
      </c>
      <c r="F3437" s="5">
        <v>5</v>
      </c>
      <c r="G3437" s="19">
        <v>0.05</v>
      </c>
      <c r="H3437" s="5" t="s">
        <v>776</v>
      </c>
      <c r="I3437" s="10">
        <f>IF(OR(D3437="", F3437=""), "", F3437 * VLOOKUP(D3437, Products!A:E, 5, FALSE) * (1 - G3437))</f>
        <v>1844.2349999999999</v>
      </c>
      <c r="J3437" s="10"/>
    </row>
    <row r="3438" spans="1:10" ht="15.75" customHeight="1" x14ac:dyDescent="0.3">
      <c r="A3438" s="5" t="s">
        <v>4305</v>
      </c>
      <c r="B3438" s="11">
        <v>45820</v>
      </c>
      <c r="C3438" s="5" t="s">
        <v>823</v>
      </c>
      <c r="D3438" s="5" t="s">
        <v>280</v>
      </c>
      <c r="E3438" s="5" t="s">
        <v>33</v>
      </c>
      <c r="F3438" s="5">
        <v>3</v>
      </c>
      <c r="G3438" s="19">
        <v>0.05</v>
      </c>
      <c r="H3438" s="5" t="s">
        <v>637</v>
      </c>
      <c r="I3438" s="10">
        <f>IF(OR(D3438="", F3438=""), "", F3438 * VLOOKUP(D3438, Products!A:E, 5, FALSE) * (1 - G3438))</f>
        <v>3466.6259999999997</v>
      </c>
      <c r="J3438" s="10"/>
    </row>
    <row r="3439" spans="1:10" ht="15.75" customHeight="1" x14ac:dyDescent="0.3">
      <c r="A3439" s="5" t="s">
        <v>4306</v>
      </c>
      <c r="B3439" s="11">
        <v>45677</v>
      </c>
      <c r="C3439" s="5" t="s">
        <v>859</v>
      </c>
      <c r="D3439" s="5" t="s">
        <v>50</v>
      </c>
      <c r="E3439" s="5" t="s">
        <v>37</v>
      </c>
      <c r="F3439" s="5">
        <v>5</v>
      </c>
      <c r="G3439" s="19">
        <v>0.15</v>
      </c>
      <c r="H3439" s="5" t="s">
        <v>637</v>
      </c>
      <c r="I3439" s="10">
        <f>IF(OR(D3439="", F3439=""), "", F3439 * VLOOKUP(D3439, Products!A:E, 5, FALSE) * (1 - G3439))</f>
        <v>1434.9275</v>
      </c>
      <c r="J3439" s="10"/>
    </row>
    <row r="3440" spans="1:10" ht="15.75" customHeight="1" x14ac:dyDescent="0.3">
      <c r="A3440" s="5" t="s">
        <v>4307</v>
      </c>
      <c r="B3440" s="11">
        <v>45791</v>
      </c>
      <c r="C3440" s="5" t="s">
        <v>878</v>
      </c>
      <c r="D3440" s="5" t="s">
        <v>153</v>
      </c>
      <c r="E3440" s="5" t="s">
        <v>29</v>
      </c>
      <c r="F3440" s="5">
        <v>5</v>
      </c>
      <c r="G3440" s="19">
        <v>0.15</v>
      </c>
      <c r="H3440" s="5" t="s">
        <v>776</v>
      </c>
      <c r="I3440" s="10">
        <f>IF(OR(D3440="", F3440=""), "", F3440 * VLOOKUP(D3440, Products!A:E, 5, FALSE) * (1 - G3440))</f>
        <v>6321.4925000000003</v>
      </c>
      <c r="J3440" s="10"/>
    </row>
    <row r="3441" spans="1:10" ht="15.75" customHeight="1" x14ac:dyDescent="0.3">
      <c r="A3441" s="5" t="s">
        <v>4308</v>
      </c>
      <c r="B3441" s="11">
        <v>45295</v>
      </c>
      <c r="C3441" s="5" t="s">
        <v>661</v>
      </c>
      <c r="D3441" s="5" t="s">
        <v>226</v>
      </c>
      <c r="E3441" s="5" t="s">
        <v>29</v>
      </c>
      <c r="F3441" s="5">
        <v>2</v>
      </c>
      <c r="G3441" s="19">
        <v>0.1</v>
      </c>
      <c r="H3441" s="5" t="s">
        <v>637</v>
      </c>
      <c r="I3441" s="10">
        <f>IF(OR(D3441="", F3441=""), "", F3441 * VLOOKUP(D3441, Products!A:E, 5, FALSE) * (1 - G3441))</f>
        <v>2702.6280000000002</v>
      </c>
      <c r="J3441" s="10"/>
    </row>
    <row r="3442" spans="1:10" ht="15.75" customHeight="1" x14ac:dyDescent="0.3">
      <c r="A3442" s="5" t="s">
        <v>4309</v>
      </c>
      <c r="B3442" s="11">
        <v>45499</v>
      </c>
      <c r="C3442" s="5" t="s">
        <v>758</v>
      </c>
      <c r="D3442" s="5" t="s">
        <v>221</v>
      </c>
      <c r="E3442" s="5" t="s">
        <v>37</v>
      </c>
      <c r="F3442" s="5">
        <v>2</v>
      </c>
      <c r="G3442" s="19">
        <v>0.05</v>
      </c>
      <c r="H3442" s="5" t="s">
        <v>454</v>
      </c>
      <c r="I3442" s="10">
        <f>IF(OR(D3442="", F3442=""), "", F3442 * VLOOKUP(D3442, Products!A:E, 5, FALSE) * (1 - G3442))</f>
        <v>2968.6170000000002</v>
      </c>
      <c r="J3442" s="10"/>
    </row>
    <row r="3443" spans="1:10" ht="15.75" customHeight="1" x14ac:dyDescent="0.3">
      <c r="A3443" s="5" t="s">
        <v>4310</v>
      </c>
      <c r="B3443" s="11">
        <v>45816</v>
      </c>
      <c r="C3443" s="5" t="s">
        <v>699</v>
      </c>
      <c r="D3443" s="5" t="s">
        <v>61</v>
      </c>
      <c r="E3443" s="5" t="s">
        <v>21</v>
      </c>
      <c r="F3443" s="5">
        <v>3</v>
      </c>
      <c r="G3443" s="19">
        <v>0</v>
      </c>
      <c r="H3443" s="5" t="s">
        <v>454</v>
      </c>
      <c r="I3443" s="10">
        <f>IF(OR(D3443="", F3443=""), "", F3443 * VLOOKUP(D3443, Products!A:E, 5, FALSE) * (1 - G3443))</f>
        <v>954.15000000000009</v>
      </c>
      <c r="J3443" s="10"/>
    </row>
    <row r="3444" spans="1:10" ht="15.75" customHeight="1" x14ac:dyDescent="0.3">
      <c r="A3444" s="5" t="s">
        <v>4311</v>
      </c>
      <c r="B3444" s="11">
        <v>45395</v>
      </c>
      <c r="C3444" s="5" t="s">
        <v>703</v>
      </c>
      <c r="D3444" s="5" t="s">
        <v>153</v>
      </c>
      <c r="E3444" s="5" t="s">
        <v>37</v>
      </c>
      <c r="F3444" s="5">
        <v>2</v>
      </c>
      <c r="G3444" s="19">
        <v>0.05</v>
      </c>
      <c r="H3444" s="5" t="s">
        <v>697</v>
      </c>
      <c r="I3444" s="10">
        <f>IF(OR(D3444="", F3444=""), "", F3444 * VLOOKUP(D3444, Products!A:E, 5, FALSE) * (1 - G3444))</f>
        <v>2826.0790000000002</v>
      </c>
      <c r="J3444" s="10"/>
    </row>
    <row r="3445" spans="1:10" ht="15.75" customHeight="1" x14ac:dyDescent="0.3">
      <c r="A3445" s="5" t="s">
        <v>4312</v>
      </c>
      <c r="B3445" s="11">
        <v>45635</v>
      </c>
      <c r="C3445" s="5" t="s">
        <v>240</v>
      </c>
      <c r="D3445" s="5" t="s">
        <v>103</v>
      </c>
      <c r="E3445" s="5" t="s">
        <v>25</v>
      </c>
      <c r="F3445" s="5">
        <v>2</v>
      </c>
      <c r="G3445" s="19">
        <v>0.1</v>
      </c>
      <c r="H3445" s="5" t="s">
        <v>697</v>
      </c>
      <c r="I3445" s="10">
        <f>IF(OR(D3445="", F3445=""), "", F3445 * VLOOKUP(D3445, Products!A:E, 5, FALSE) * (1 - G3445))</f>
        <v>486.81</v>
      </c>
      <c r="J3445" s="10"/>
    </row>
    <row r="3446" spans="1:10" ht="15.75" customHeight="1" x14ac:dyDescent="0.3">
      <c r="A3446" s="5" t="s">
        <v>4313</v>
      </c>
      <c r="B3446" s="11">
        <v>45765</v>
      </c>
      <c r="C3446" s="5" t="s">
        <v>876</v>
      </c>
      <c r="D3446" s="5" t="s">
        <v>243</v>
      </c>
      <c r="E3446" s="5" t="s">
        <v>33</v>
      </c>
      <c r="F3446" s="5">
        <v>4</v>
      </c>
      <c r="G3446" s="19">
        <v>0</v>
      </c>
      <c r="H3446" s="5" t="s">
        <v>637</v>
      </c>
      <c r="I3446" s="10">
        <f>IF(OR(D3446="", F3446=""), "", F3446 * VLOOKUP(D3446, Products!A:E, 5, FALSE) * (1 - G3446))</f>
        <v>2163.7600000000002</v>
      </c>
      <c r="J3446" s="10"/>
    </row>
    <row r="3447" spans="1:10" ht="15.75" customHeight="1" x14ac:dyDescent="0.3">
      <c r="A3447" s="5" t="s">
        <v>4314</v>
      </c>
      <c r="B3447" s="11">
        <v>45814</v>
      </c>
      <c r="C3447" s="5" t="s">
        <v>402</v>
      </c>
      <c r="D3447" s="5" t="s">
        <v>109</v>
      </c>
      <c r="E3447" s="5" t="s">
        <v>21</v>
      </c>
      <c r="F3447" s="5">
        <v>5</v>
      </c>
      <c r="G3447" s="19">
        <v>0.15</v>
      </c>
      <c r="H3447" s="5" t="s">
        <v>697</v>
      </c>
      <c r="I3447" s="10">
        <f>IF(OR(D3447="", F3447=""), "", F3447 * VLOOKUP(D3447, Products!A:E, 5, FALSE) * (1 - G3447))</f>
        <v>7899.6875</v>
      </c>
      <c r="J3447" s="10"/>
    </row>
    <row r="3448" spans="1:10" ht="15.75" customHeight="1" x14ac:dyDescent="0.3">
      <c r="A3448" s="5" t="s">
        <v>4315</v>
      </c>
      <c r="B3448" s="11">
        <v>45834</v>
      </c>
      <c r="C3448" s="5" t="s">
        <v>546</v>
      </c>
      <c r="D3448" s="5" t="s">
        <v>256</v>
      </c>
      <c r="E3448" s="5" t="s">
        <v>21</v>
      </c>
      <c r="F3448" s="5">
        <v>4</v>
      </c>
      <c r="G3448" s="19">
        <v>0.15</v>
      </c>
      <c r="H3448" s="5" t="s">
        <v>776</v>
      </c>
      <c r="I3448" s="10">
        <f>IF(OR(D3448="", F3448=""), "", F3448 * VLOOKUP(D3448, Products!A:E, 5, FALSE) * (1 - G3448))</f>
        <v>5559.0339999999997</v>
      </c>
      <c r="J3448" s="10"/>
    </row>
    <row r="3449" spans="1:10" ht="15.75" customHeight="1" x14ac:dyDescent="0.3">
      <c r="A3449" s="5" t="s">
        <v>4316</v>
      </c>
      <c r="B3449" s="11">
        <v>45716</v>
      </c>
      <c r="C3449" s="5" t="s">
        <v>762</v>
      </c>
      <c r="D3449" s="5" t="s">
        <v>193</v>
      </c>
      <c r="E3449" s="5" t="s">
        <v>33</v>
      </c>
      <c r="F3449" s="5">
        <v>2</v>
      </c>
      <c r="G3449" s="19">
        <v>0.05</v>
      </c>
      <c r="H3449" s="5" t="s">
        <v>454</v>
      </c>
      <c r="I3449" s="10">
        <f>IF(OR(D3449="", F3449=""), "", F3449 * VLOOKUP(D3449, Products!A:E, 5, FALSE) * (1 - G3449))</f>
        <v>55.555999999999997</v>
      </c>
      <c r="J3449" s="10"/>
    </row>
    <row r="3450" spans="1:10" ht="15.75" customHeight="1" x14ac:dyDescent="0.3">
      <c r="A3450" s="5" t="s">
        <v>4317</v>
      </c>
      <c r="B3450" s="11">
        <v>45702</v>
      </c>
      <c r="C3450" s="5" t="s">
        <v>695</v>
      </c>
      <c r="D3450" s="5" t="s">
        <v>243</v>
      </c>
      <c r="E3450" s="5" t="s">
        <v>25</v>
      </c>
      <c r="F3450" s="5">
        <v>5</v>
      </c>
      <c r="G3450" s="19">
        <v>0.05</v>
      </c>
      <c r="H3450" s="5" t="s">
        <v>454</v>
      </c>
      <c r="I3450" s="10">
        <f>IF(OR(D3450="", F3450=""), "", F3450 * VLOOKUP(D3450, Products!A:E, 5, FALSE) * (1 - G3450))</f>
        <v>2569.4650000000001</v>
      </c>
      <c r="J3450" s="10"/>
    </row>
    <row r="3451" spans="1:10" ht="15.75" customHeight="1" x14ac:dyDescent="0.3">
      <c r="A3451" s="5" t="s">
        <v>4318</v>
      </c>
      <c r="B3451" s="11">
        <v>45334</v>
      </c>
      <c r="C3451" s="5" t="s">
        <v>786</v>
      </c>
      <c r="D3451" s="5" t="s">
        <v>249</v>
      </c>
      <c r="E3451" s="5" t="s">
        <v>37</v>
      </c>
      <c r="F3451" s="5">
        <v>3</v>
      </c>
      <c r="G3451" s="19">
        <v>0.05</v>
      </c>
      <c r="H3451" s="5" t="s">
        <v>697</v>
      </c>
      <c r="I3451" s="10">
        <f>IF(OR(D3451="", F3451=""), "", F3451 * VLOOKUP(D3451, Products!A:E, 5, FALSE) * (1 - G3451))</f>
        <v>4974.9884999999995</v>
      </c>
      <c r="J3451" s="10"/>
    </row>
    <row r="3452" spans="1:10" ht="15.75" customHeight="1" x14ac:dyDescent="0.3">
      <c r="A3452" s="5" t="s">
        <v>4319</v>
      </c>
      <c r="B3452" s="11">
        <v>45192</v>
      </c>
      <c r="C3452" s="5" t="s">
        <v>773</v>
      </c>
      <c r="D3452" s="5" t="s">
        <v>103</v>
      </c>
      <c r="E3452" s="5" t="s">
        <v>37</v>
      </c>
      <c r="F3452" s="5">
        <v>1</v>
      </c>
      <c r="G3452" s="19">
        <v>0.1</v>
      </c>
      <c r="H3452" s="5" t="s">
        <v>776</v>
      </c>
      <c r="I3452" s="10">
        <f>IF(OR(D3452="", F3452=""), "", F3452 * VLOOKUP(D3452, Products!A:E, 5, FALSE) * (1 - G3452))</f>
        <v>243.405</v>
      </c>
      <c r="J3452" s="10"/>
    </row>
    <row r="3453" spans="1:10" ht="15.75" customHeight="1" x14ac:dyDescent="0.3">
      <c r="A3453" s="5" t="s">
        <v>4320</v>
      </c>
      <c r="B3453" s="11">
        <v>45371</v>
      </c>
      <c r="C3453" s="5" t="s">
        <v>499</v>
      </c>
      <c r="D3453" s="5" t="s">
        <v>103</v>
      </c>
      <c r="E3453" s="5" t="s">
        <v>33</v>
      </c>
      <c r="F3453" s="5">
        <v>1</v>
      </c>
      <c r="G3453" s="19">
        <v>0.05</v>
      </c>
      <c r="H3453" s="5" t="s">
        <v>637</v>
      </c>
      <c r="I3453" s="10">
        <f>IF(OR(D3453="", F3453=""), "", F3453 * VLOOKUP(D3453, Products!A:E, 5, FALSE) * (1 - G3453))</f>
        <v>256.92749999999995</v>
      </c>
      <c r="J3453" s="10"/>
    </row>
    <row r="3454" spans="1:10" ht="15.75" customHeight="1" x14ac:dyDescent="0.3">
      <c r="A3454" s="5" t="s">
        <v>4321</v>
      </c>
      <c r="B3454" s="11">
        <v>45785</v>
      </c>
      <c r="C3454" s="5" t="s">
        <v>495</v>
      </c>
      <c r="D3454" s="5" t="s">
        <v>291</v>
      </c>
      <c r="E3454" s="5" t="s">
        <v>21</v>
      </c>
      <c r="F3454" s="5">
        <v>5</v>
      </c>
      <c r="G3454" s="19">
        <v>0.05</v>
      </c>
      <c r="H3454" s="5" t="s">
        <v>637</v>
      </c>
      <c r="I3454" s="10">
        <f>IF(OR(D3454="", F3454=""), "", F3454 * VLOOKUP(D3454, Products!A:E, 5, FALSE) * (1 - G3454))</f>
        <v>4962.0400000000009</v>
      </c>
      <c r="J3454" s="10"/>
    </row>
    <row r="3455" spans="1:10" ht="15.75" customHeight="1" x14ac:dyDescent="0.3">
      <c r="A3455" s="5" t="s">
        <v>4322</v>
      </c>
      <c r="B3455" s="11">
        <v>45537</v>
      </c>
      <c r="C3455" s="5" t="s">
        <v>722</v>
      </c>
      <c r="D3455" s="5" t="s">
        <v>265</v>
      </c>
      <c r="E3455" s="5" t="s">
        <v>29</v>
      </c>
      <c r="F3455" s="5">
        <v>5</v>
      </c>
      <c r="G3455" s="19">
        <v>0.05</v>
      </c>
      <c r="H3455" s="5" t="s">
        <v>637</v>
      </c>
      <c r="I3455" s="10">
        <f>IF(OR(D3455="", F3455=""), "", F3455 * VLOOKUP(D3455, Products!A:E, 5, FALSE) * (1 - G3455))</f>
        <v>2680.9949999999999</v>
      </c>
      <c r="J3455" s="10"/>
    </row>
    <row r="3456" spans="1:10" ht="15.75" customHeight="1" x14ac:dyDescent="0.3">
      <c r="A3456" s="5" t="s">
        <v>4323</v>
      </c>
      <c r="B3456" s="11">
        <v>45476</v>
      </c>
      <c r="C3456" s="5" t="s">
        <v>779</v>
      </c>
      <c r="D3456" s="5" t="s">
        <v>276</v>
      </c>
      <c r="E3456" s="5" t="s">
        <v>29</v>
      </c>
      <c r="F3456" s="5">
        <v>1</v>
      </c>
      <c r="G3456" s="19">
        <v>0.15</v>
      </c>
      <c r="H3456" s="5" t="s">
        <v>637</v>
      </c>
      <c r="I3456" s="10">
        <f>IF(OR(D3456="", F3456=""), "", F3456 * VLOOKUP(D3456, Products!A:E, 5, FALSE) * (1 - G3456))</f>
        <v>1017.6030000000001</v>
      </c>
      <c r="J3456" s="10"/>
    </row>
    <row r="3457" spans="1:10" ht="15.75" customHeight="1" x14ac:dyDescent="0.3">
      <c r="A3457" s="5" t="s">
        <v>4324</v>
      </c>
      <c r="B3457" s="11">
        <v>45201</v>
      </c>
      <c r="C3457" s="5" t="s">
        <v>499</v>
      </c>
      <c r="D3457" s="5" t="s">
        <v>267</v>
      </c>
      <c r="E3457" s="5" t="s">
        <v>33</v>
      </c>
      <c r="F3457" s="5">
        <v>1</v>
      </c>
      <c r="G3457" s="19">
        <v>0.05</v>
      </c>
      <c r="H3457" s="5" t="s">
        <v>776</v>
      </c>
      <c r="I3457" s="10">
        <f>IF(OR(D3457="", F3457=""), "", F3457 * VLOOKUP(D3457, Products!A:E, 5, FALSE) * (1 - G3457))</f>
        <v>1222.2224999999999</v>
      </c>
      <c r="J3457" s="10"/>
    </row>
    <row r="3458" spans="1:10" ht="15.75" customHeight="1" x14ac:dyDescent="0.3">
      <c r="A3458" s="5" t="s">
        <v>4325</v>
      </c>
      <c r="B3458" s="11">
        <v>45591</v>
      </c>
      <c r="C3458" s="5" t="s">
        <v>695</v>
      </c>
      <c r="D3458" s="5" t="s">
        <v>221</v>
      </c>
      <c r="E3458" s="5" t="s">
        <v>33</v>
      </c>
      <c r="F3458" s="5">
        <v>4</v>
      </c>
      <c r="G3458" s="19">
        <v>0</v>
      </c>
      <c r="H3458" s="5" t="s">
        <v>697</v>
      </c>
      <c r="I3458" s="10">
        <f>IF(OR(D3458="", F3458=""), "", F3458 * VLOOKUP(D3458, Products!A:E, 5, FALSE) * (1 - G3458))</f>
        <v>6249.72</v>
      </c>
      <c r="J3458" s="10"/>
    </row>
    <row r="3459" spans="1:10" ht="15.75" customHeight="1" x14ac:dyDescent="0.3">
      <c r="A3459" s="5" t="s">
        <v>4326</v>
      </c>
      <c r="B3459" s="11">
        <v>45439</v>
      </c>
      <c r="C3459" s="5" t="s">
        <v>869</v>
      </c>
      <c r="D3459" s="5" t="s">
        <v>89</v>
      </c>
      <c r="E3459" s="5" t="s">
        <v>25</v>
      </c>
      <c r="F3459" s="5">
        <v>5</v>
      </c>
      <c r="G3459" s="19">
        <v>0.1</v>
      </c>
      <c r="H3459" s="5" t="s">
        <v>454</v>
      </c>
      <c r="I3459" s="10">
        <f>IF(OR(D3459="", F3459=""), "", F3459 * VLOOKUP(D3459, Products!A:E, 5, FALSE) * (1 - G3459))</f>
        <v>5106.6000000000004</v>
      </c>
      <c r="J3459" s="10"/>
    </row>
    <row r="3460" spans="1:10" ht="15.75" customHeight="1" x14ac:dyDescent="0.3">
      <c r="A3460" s="5" t="s">
        <v>4327</v>
      </c>
      <c r="B3460" s="11">
        <v>45868</v>
      </c>
      <c r="C3460" s="5" t="s">
        <v>799</v>
      </c>
      <c r="D3460" s="5" t="s">
        <v>212</v>
      </c>
      <c r="E3460" s="5" t="s">
        <v>21</v>
      </c>
      <c r="F3460" s="5">
        <v>3</v>
      </c>
      <c r="G3460" s="19">
        <v>0.05</v>
      </c>
      <c r="H3460" s="5" t="s">
        <v>454</v>
      </c>
      <c r="I3460" s="10">
        <f>IF(OR(D3460="", F3460=""), "", F3460 * VLOOKUP(D3460, Products!A:E, 5, FALSE) * (1 - G3460))</f>
        <v>5127.0644999999995</v>
      </c>
      <c r="J3460" s="10"/>
    </row>
    <row r="3461" spans="1:10" ht="15.75" customHeight="1" x14ac:dyDescent="0.3">
      <c r="A3461" s="5" t="s">
        <v>4328</v>
      </c>
      <c r="B3461" s="11">
        <v>45277</v>
      </c>
      <c r="C3461" s="5" t="s">
        <v>550</v>
      </c>
      <c r="D3461" s="5" t="s">
        <v>74</v>
      </c>
      <c r="E3461" s="5" t="s">
        <v>37</v>
      </c>
      <c r="F3461" s="5">
        <v>2</v>
      </c>
      <c r="G3461" s="19">
        <v>0.05</v>
      </c>
      <c r="H3461" s="5" t="s">
        <v>454</v>
      </c>
      <c r="I3461" s="10">
        <f>IF(OR(D3461="", F3461=""), "", F3461 * VLOOKUP(D3461, Products!A:E, 5, FALSE) * (1 - G3461))</f>
        <v>2268.8279999999995</v>
      </c>
      <c r="J3461" s="10"/>
    </row>
    <row r="3462" spans="1:10" ht="15.75" customHeight="1" x14ac:dyDescent="0.3">
      <c r="A3462" s="5" t="s">
        <v>4329</v>
      </c>
      <c r="B3462" s="11">
        <v>45290</v>
      </c>
      <c r="C3462" s="5" t="s">
        <v>649</v>
      </c>
      <c r="D3462" s="5" t="s">
        <v>188</v>
      </c>
      <c r="E3462" s="5" t="s">
        <v>29</v>
      </c>
      <c r="F3462" s="5">
        <v>1</v>
      </c>
      <c r="G3462" s="19">
        <v>0</v>
      </c>
      <c r="H3462" s="5" t="s">
        <v>697</v>
      </c>
      <c r="I3462" s="10">
        <f>IF(OR(D3462="", F3462=""), "", F3462 * VLOOKUP(D3462, Products!A:E, 5, FALSE) * (1 - G3462))</f>
        <v>1485.05</v>
      </c>
      <c r="J3462" s="10"/>
    </row>
    <row r="3463" spans="1:10" ht="15.75" customHeight="1" x14ac:dyDescent="0.3">
      <c r="A3463" s="5" t="s">
        <v>4330</v>
      </c>
      <c r="B3463" s="11">
        <v>45870</v>
      </c>
      <c r="C3463" s="5" t="s">
        <v>620</v>
      </c>
      <c r="D3463" s="5" t="s">
        <v>285</v>
      </c>
      <c r="E3463" s="5" t="s">
        <v>25</v>
      </c>
      <c r="F3463" s="5">
        <v>1</v>
      </c>
      <c r="G3463" s="19">
        <v>0</v>
      </c>
      <c r="H3463" s="5" t="s">
        <v>637</v>
      </c>
      <c r="I3463" s="10">
        <f>IF(OR(D3463="", F3463=""), "", F3463 * VLOOKUP(D3463, Products!A:E, 5, FALSE) * (1 - G3463))</f>
        <v>388.26</v>
      </c>
      <c r="J3463" s="10"/>
    </row>
    <row r="3464" spans="1:10" ht="15.75" customHeight="1" x14ac:dyDescent="0.3">
      <c r="A3464" s="5" t="s">
        <v>4331</v>
      </c>
      <c r="B3464" s="11">
        <v>45768</v>
      </c>
      <c r="C3464" s="5" t="s">
        <v>727</v>
      </c>
      <c r="D3464" s="5" t="s">
        <v>147</v>
      </c>
      <c r="E3464" s="5" t="s">
        <v>33</v>
      </c>
      <c r="F3464" s="5">
        <v>4</v>
      </c>
      <c r="G3464" s="19">
        <v>0</v>
      </c>
      <c r="H3464" s="5" t="s">
        <v>776</v>
      </c>
      <c r="I3464" s="10">
        <f>IF(OR(D3464="", F3464=""), "", F3464 * VLOOKUP(D3464, Products!A:E, 5, FALSE) * (1 - G3464))</f>
        <v>7513.88</v>
      </c>
      <c r="J3464" s="10"/>
    </row>
    <row r="3465" spans="1:10" ht="15.75" customHeight="1" x14ac:dyDescent="0.3">
      <c r="A3465" s="5" t="s">
        <v>4332</v>
      </c>
      <c r="B3465" s="11">
        <v>45594</v>
      </c>
      <c r="C3465" s="5" t="s">
        <v>250</v>
      </c>
      <c r="D3465" s="5" t="s">
        <v>115</v>
      </c>
      <c r="E3465" s="5" t="s">
        <v>33</v>
      </c>
      <c r="F3465" s="5">
        <v>5</v>
      </c>
      <c r="G3465" s="19">
        <v>0.05</v>
      </c>
      <c r="H3465" s="5" t="s">
        <v>776</v>
      </c>
      <c r="I3465" s="10">
        <f>IF(OR(D3465="", F3465=""), "", F3465 * VLOOKUP(D3465, Products!A:E, 5, FALSE) * (1 - G3465))</f>
        <v>5919.0224999999991</v>
      </c>
      <c r="J3465" s="10"/>
    </row>
    <row r="3466" spans="1:10" ht="15.75" customHeight="1" x14ac:dyDescent="0.3">
      <c r="A3466" s="5" t="s">
        <v>4333</v>
      </c>
      <c r="B3466" s="11">
        <v>45341</v>
      </c>
      <c r="C3466" s="5" t="s">
        <v>197</v>
      </c>
      <c r="D3466" s="5" t="s">
        <v>237</v>
      </c>
      <c r="E3466" s="5" t="s">
        <v>25</v>
      </c>
      <c r="F3466" s="5">
        <v>5</v>
      </c>
      <c r="G3466" s="19">
        <v>0.1</v>
      </c>
      <c r="H3466" s="5" t="s">
        <v>776</v>
      </c>
      <c r="I3466" s="10">
        <f>IF(OR(D3466="", F3466=""), "", F3466 * VLOOKUP(D3466, Products!A:E, 5, FALSE) * (1 - G3466))</f>
        <v>1651.1850000000002</v>
      </c>
      <c r="J3466" s="10"/>
    </row>
    <row r="3467" spans="1:10" ht="15.75" customHeight="1" x14ac:dyDescent="0.3">
      <c r="A3467" s="5" t="s">
        <v>4334</v>
      </c>
      <c r="B3467" s="11">
        <v>45883</v>
      </c>
      <c r="C3467" s="5" t="s">
        <v>155</v>
      </c>
      <c r="D3467" s="5" t="s">
        <v>103</v>
      </c>
      <c r="E3467" s="5" t="s">
        <v>21</v>
      </c>
      <c r="F3467" s="5">
        <v>4</v>
      </c>
      <c r="G3467" s="19">
        <v>0</v>
      </c>
      <c r="H3467" s="5" t="s">
        <v>454</v>
      </c>
      <c r="I3467" s="10">
        <f>IF(OR(D3467="", F3467=""), "", F3467 * VLOOKUP(D3467, Products!A:E, 5, FALSE) * (1 - G3467))</f>
        <v>1081.8</v>
      </c>
      <c r="J3467" s="10"/>
    </row>
    <row r="3468" spans="1:10" ht="15.75" customHeight="1" x14ac:dyDescent="0.3">
      <c r="A3468" s="5" t="s">
        <v>4335</v>
      </c>
      <c r="B3468" s="11">
        <v>45247</v>
      </c>
      <c r="C3468" s="5" t="s">
        <v>197</v>
      </c>
      <c r="D3468" s="5" t="s">
        <v>115</v>
      </c>
      <c r="E3468" s="5" t="s">
        <v>29</v>
      </c>
      <c r="F3468" s="5">
        <v>5</v>
      </c>
      <c r="G3468" s="19">
        <v>0</v>
      </c>
      <c r="H3468" s="5" t="s">
        <v>454</v>
      </c>
      <c r="I3468" s="10">
        <f>IF(OR(D3468="", F3468=""), "", F3468 * VLOOKUP(D3468, Products!A:E, 5, FALSE) * (1 - G3468))</f>
        <v>6230.5499999999993</v>
      </c>
      <c r="J3468" s="10"/>
    </row>
    <row r="3469" spans="1:10" ht="15.75" customHeight="1" x14ac:dyDescent="0.3">
      <c r="A3469" s="5" t="s">
        <v>4336</v>
      </c>
      <c r="B3469" s="11">
        <v>45253</v>
      </c>
      <c r="C3469" s="5" t="s">
        <v>159</v>
      </c>
      <c r="D3469" s="5" t="s">
        <v>61</v>
      </c>
      <c r="E3469" s="5" t="s">
        <v>33</v>
      </c>
      <c r="F3469" s="5">
        <v>4</v>
      </c>
      <c r="G3469" s="19">
        <v>0.05</v>
      </c>
      <c r="H3469" s="5" t="s">
        <v>697</v>
      </c>
      <c r="I3469" s="10">
        <f>IF(OR(D3469="", F3469=""), "", F3469 * VLOOKUP(D3469, Products!A:E, 5, FALSE) * (1 - G3469))</f>
        <v>1208.5899999999999</v>
      </c>
      <c r="J3469" s="10"/>
    </row>
    <row r="3470" spans="1:10" ht="15.75" customHeight="1" x14ac:dyDescent="0.3">
      <c r="A3470" s="5" t="s">
        <v>4337</v>
      </c>
      <c r="B3470" s="11">
        <v>45308</v>
      </c>
      <c r="C3470" s="5" t="s">
        <v>715</v>
      </c>
      <c r="D3470" s="5" t="s">
        <v>217</v>
      </c>
      <c r="E3470" s="5" t="s">
        <v>33</v>
      </c>
      <c r="F3470" s="5">
        <v>4</v>
      </c>
      <c r="G3470" s="19">
        <v>0.05</v>
      </c>
      <c r="H3470" s="5" t="s">
        <v>776</v>
      </c>
      <c r="I3470" s="10">
        <f>IF(OR(D3470="", F3470=""), "", F3470 * VLOOKUP(D3470, Products!A:E, 5, FALSE) * (1 - G3470))</f>
        <v>1626.59</v>
      </c>
      <c r="J3470" s="10"/>
    </row>
    <row r="3471" spans="1:10" ht="15.75" customHeight="1" x14ac:dyDescent="0.3">
      <c r="A3471" s="5" t="s">
        <v>4338</v>
      </c>
      <c r="B3471" s="11">
        <v>45388</v>
      </c>
      <c r="C3471" s="5" t="s">
        <v>837</v>
      </c>
      <c r="D3471" s="5" t="s">
        <v>267</v>
      </c>
      <c r="E3471" s="5" t="s">
        <v>29</v>
      </c>
      <c r="F3471" s="5">
        <v>2</v>
      </c>
      <c r="G3471" s="19">
        <v>0.1</v>
      </c>
      <c r="H3471" s="5" t="s">
        <v>454</v>
      </c>
      <c r="I3471" s="10">
        <f>IF(OR(D3471="", F3471=""), "", F3471 * VLOOKUP(D3471, Products!A:E, 5, FALSE) * (1 - G3471))</f>
        <v>2315.79</v>
      </c>
      <c r="J3471" s="10"/>
    </row>
    <row r="3472" spans="1:10" ht="15.75" customHeight="1" x14ac:dyDescent="0.3">
      <c r="A3472" s="5" t="s">
        <v>4339</v>
      </c>
      <c r="B3472" s="11">
        <v>45504</v>
      </c>
      <c r="C3472" s="5" t="s">
        <v>100</v>
      </c>
      <c r="D3472" s="5" t="s">
        <v>217</v>
      </c>
      <c r="E3472" s="5" t="s">
        <v>33</v>
      </c>
      <c r="F3472" s="5">
        <v>4</v>
      </c>
      <c r="G3472" s="19">
        <v>0.15</v>
      </c>
      <c r="H3472" s="5" t="s">
        <v>454</v>
      </c>
      <c r="I3472" s="10">
        <f>IF(OR(D3472="", F3472=""), "", F3472 * VLOOKUP(D3472, Products!A:E, 5, FALSE) * (1 - G3472))</f>
        <v>1455.37</v>
      </c>
      <c r="J3472" s="10"/>
    </row>
    <row r="3473" spans="1:10" ht="15.75" customHeight="1" x14ac:dyDescent="0.3">
      <c r="A3473" s="5" t="s">
        <v>4340</v>
      </c>
      <c r="B3473" s="11">
        <v>45909</v>
      </c>
      <c r="C3473" s="5" t="s">
        <v>543</v>
      </c>
      <c r="D3473" s="5" t="s">
        <v>147</v>
      </c>
      <c r="E3473" s="5" t="s">
        <v>25</v>
      </c>
      <c r="F3473" s="5">
        <v>1</v>
      </c>
      <c r="G3473" s="19">
        <v>0.15</v>
      </c>
      <c r="H3473" s="5" t="s">
        <v>697</v>
      </c>
      <c r="I3473" s="10">
        <f>IF(OR(D3473="", F3473=""), "", F3473 * VLOOKUP(D3473, Products!A:E, 5, FALSE) * (1 - G3473))</f>
        <v>1596.6994999999999</v>
      </c>
      <c r="J3473" s="10"/>
    </row>
    <row r="3474" spans="1:10" ht="15.75" customHeight="1" x14ac:dyDescent="0.3">
      <c r="A3474" s="5" t="s">
        <v>4341</v>
      </c>
      <c r="B3474" s="11">
        <v>45364</v>
      </c>
      <c r="C3474" s="5" t="s">
        <v>833</v>
      </c>
      <c r="D3474" s="5" t="s">
        <v>89</v>
      </c>
      <c r="E3474" s="5" t="s">
        <v>33</v>
      </c>
      <c r="F3474" s="5">
        <v>4</v>
      </c>
      <c r="G3474" s="19">
        <v>0.05</v>
      </c>
      <c r="H3474" s="5" t="s">
        <v>697</v>
      </c>
      <c r="I3474" s="10">
        <f>IF(OR(D3474="", F3474=""), "", F3474 * VLOOKUP(D3474, Products!A:E, 5, FALSE) * (1 - G3474))</f>
        <v>4312.24</v>
      </c>
      <c r="J3474" s="10"/>
    </row>
    <row r="3475" spans="1:10" ht="15.75" customHeight="1" x14ac:dyDescent="0.3">
      <c r="A3475" s="5" t="s">
        <v>4342</v>
      </c>
      <c r="B3475" s="11">
        <v>45485</v>
      </c>
      <c r="C3475" s="5" t="s">
        <v>499</v>
      </c>
      <c r="D3475" s="5" t="s">
        <v>226</v>
      </c>
      <c r="E3475" s="5" t="s">
        <v>21</v>
      </c>
      <c r="F3475" s="5">
        <v>5</v>
      </c>
      <c r="G3475" s="19">
        <v>0</v>
      </c>
      <c r="H3475" s="5" t="s">
        <v>637</v>
      </c>
      <c r="I3475" s="10">
        <f>IF(OR(D3475="", F3475=""), "", F3475 * VLOOKUP(D3475, Products!A:E, 5, FALSE) * (1 - G3475))</f>
        <v>7507.3</v>
      </c>
      <c r="J3475" s="10"/>
    </row>
    <row r="3476" spans="1:10" ht="15.75" customHeight="1" x14ac:dyDescent="0.3">
      <c r="A3476" s="5" t="s">
        <v>4343</v>
      </c>
      <c r="B3476" s="11">
        <v>45361</v>
      </c>
      <c r="C3476" s="5" t="s">
        <v>833</v>
      </c>
      <c r="D3476" s="5" t="s">
        <v>221</v>
      </c>
      <c r="E3476" s="5" t="s">
        <v>33</v>
      </c>
      <c r="F3476" s="5">
        <v>4</v>
      </c>
      <c r="G3476" s="19">
        <v>0</v>
      </c>
      <c r="H3476" s="5" t="s">
        <v>697</v>
      </c>
      <c r="I3476" s="10">
        <f>IF(OR(D3476="", F3476=""), "", F3476 * VLOOKUP(D3476, Products!A:E, 5, FALSE) * (1 - G3476))</f>
        <v>6249.72</v>
      </c>
      <c r="J3476" s="10"/>
    </row>
    <row r="3477" spans="1:10" ht="15.75" customHeight="1" x14ac:dyDescent="0.3">
      <c r="A3477" s="5" t="s">
        <v>4344</v>
      </c>
      <c r="B3477" s="11">
        <v>45867</v>
      </c>
      <c r="C3477" s="5" t="s">
        <v>699</v>
      </c>
      <c r="D3477" s="5" t="s">
        <v>65</v>
      </c>
      <c r="E3477" s="5" t="s">
        <v>37</v>
      </c>
      <c r="F3477" s="5">
        <v>1</v>
      </c>
      <c r="G3477" s="19">
        <v>0.1</v>
      </c>
      <c r="H3477" s="5" t="s">
        <v>776</v>
      </c>
      <c r="I3477" s="10">
        <f>IF(OR(D3477="", F3477=""), "", F3477 * VLOOKUP(D3477, Products!A:E, 5, FALSE) * (1 - G3477))</f>
        <v>1326.7079999999999</v>
      </c>
      <c r="J3477" s="10"/>
    </row>
    <row r="3478" spans="1:10" ht="15.75" customHeight="1" x14ac:dyDescent="0.3">
      <c r="A3478" s="5" t="s">
        <v>4345</v>
      </c>
      <c r="B3478" s="11">
        <v>45821</v>
      </c>
      <c r="C3478" s="5" t="s">
        <v>546</v>
      </c>
      <c r="D3478" s="5" t="s">
        <v>280</v>
      </c>
      <c r="E3478" s="5" t="s">
        <v>37</v>
      </c>
      <c r="F3478" s="5">
        <v>5</v>
      </c>
      <c r="G3478" s="19">
        <v>0.1</v>
      </c>
      <c r="H3478" s="5" t="s">
        <v>776</v>
      </c>
      <c r="I3478" s="10">
        <f>IF(OR(D3478="", F3478=""), "", F3478 * VLOOKUP(D3478, Products!A:E, 5, FALSE) * (1 - G3478))</f>
        <v>5473.62</v>
      </c>
      <c r="J3478" s="10"/>
    </row>
    <row r="3479" spans="1:10" ht="15.75" customHeight="1" x14ac:dyDescent="0.3">
      <c r="A3479" s="5" t="s">
        <v>4346</v>
      </c>
      <c r="B3479" s="11">
        <v>45447</v>
      </c>
      <c r="C3479" s="5" t="s">
        <v>350</v>
      </c>
      <c r="D3479" s="5" t="s">
        <v>291</v>
      </c>
      <c r="E3479" s="5" t="s">
        <v>25</v>
      </c>
      <c r="F3479" s="5">
        <v>2</v>
      </c>
      <c r="G3479" s="19">
        <v>0.15</v>
      </c>
      <c r="H3479" s="5" t="s">
        <v>697</v>
      </c>
      <c r="I3479" s="10">
        <f>IF(OR(D3479="", F3479=""), "", F3479 * VLOOKUP(D3479, Products!A:E, 5, FALSE) * (1 - G3479))</f>
        <v>1775.8880000000001</v>
      </c>
      <c r="J3479" s="10"/>
    </row>
    <row r="3480" spans="1:10" ht="15.75" customHeight="1" x14ac:dyDescent="0.3">
      <c r="A3480" s="5" t="s">
        <v>4347</v>
      </c>
      <c r="B3480" s="11">
        <v>45215</v>
      </c>
      <c r="C3480" s="5" t="s">
        <v>209</v>
      </c>
      <c r="D3480" s="5" t="s">
        <v>188</v>
      </c>
      <c r="E3480" s="5" t="s">
        <v>25</v>
      </c>
      <c r="F3480" s="5">
        <v>3</v>
      </c>
      <c r="G3480" s="19">
        <v>0.1</v>
      </c>
      <c r="H3480" s="5" t="s">
        <v>697</v>
      </c>
      <c r="I3480" s="10">
        <f>IF(OR(D3480="", F3480=""), "", F3480 * VLOOKUP(D3480, Products!A:E, 5, FALSE) * (1 - G3480))</f>
        <v>4009.6349999999998</v>
      </c>
      <c r="J3480" s="10"/>
    </row>
    <row r="3481" spans="1:10" ht="15.75" customHeight="1" x14ac:dyDescent="0.3">
      <c r="A3481" s="5" t="s">
        <v>4348</v>
      </c>
      <c r="B3481" s="11">
        <v>45666</v>
      </c>
      <c r="C3481" s="5" t="s">
        <v>357</v>
      </c>
      <c r="D3481" s="5" t="s">
        <v>206</v>
      </c>
      <c r="E3481" s="5" t="s">
        <v>29</v>
      </c>
      <c r="F3481" s="5">
        <v>4</v>
      </c>
      <c r="G3481" s="19">
        <v>0</v>
      </c>
      <c r="H3481" s="5" t="s">
        <v>637</v>
      </c>
      <c r="I3481" s="10">
        <f>IF(OR(D3481="", F3481=""), "", F3481 * VLOOKUP(D3481, Products!A:E, 5, FALSE) * (1 - G3481))</f>
        <v>1218.8399999999999</v>
      </c>
      <c r="J3481" s="10"/>
    </row>
    <row r="3482" spans="1:10" ht="15.75" customHeight="1" x14ac:dyDescent="0.3">
      <c r="A3482" s="5" t="s">
        <v>4349</v>
      </c>
      <c r="B3482" s="11">
        <v>45427</v>
      </c>
      <c r="C3482" s="5" t="s">
        <v>680</v>
      </c>
      <c r="D3482" s="5" t="s">
        <v>291</v>
      </c>
      <c r="E3482" s="5" t="s">
        <v>21</v>
      </c>
      <c r="F3482" s="5">
        <v>4</v>
      </c>
      <c r="G3482" s="19">
        <v>0</v>
      </c>
      <c r="H3482" s="5" t="s">
        <v>697</v>
      </c>
      <c r="I3482" s="10">
        <f>IF(OR(D3482="", F3482=""), "", F3482 * VLOOKUP(D3482, Products!A:E, 5, FALSE) * (1 - G3482))</f>
        <v>4178.5600000000004</v>
      </c>
      <c r="J3482" s="10"/>
    </row>
    <row r="3483" spans="1:10" ht="15.75" customHeight="1" x14ac:dyDescent="0.3">
      <c r="A3483" s="5" t="s">
        <v>4350</v>
      </c>
      <c r="B3483" s="11">
        <v>45183</v>
      </c>
      <c r="C3483" s="5" t="s">
        <v>322</v>
      </c>
      <c r="D3483" s="5" t="s">
        <v>54</v>
      </c>
      <c r="E3483" s="5" t="s">
        <v>21</v>
      </c>
      <c r="F3483" s="5">
        <v>1</v>
      </c>
      <c r="G3483" s="19">
        <v>0.05</v>
      </c>
      <c r="H3483" s="5" t="s">
        <v>776</v>
      </c>
      <c r="I3483" s="10">
        <f>IF(OR(D3483="", F3483=""), "", F3483 * VLOOKUP(D3483, Products!A:E, 5, FALSE) * (1 - G3483))</f>
        <v>1761.0815</v>
      </c>
      <c r="J3483" s="10"/>
    </row>
    <row r="3484" spans="1:10" ht="15.75" customHeight="1" x14ac:dyDescent="0.3">
      <c r="A3484" s="5" t="s">
        <v>4351</v>
      </c>
      <c r="B3484" s="11">
        <v>45709</v>
      </c>
      <c r="C3484" s="5" t="s">
        <v>532</v>
      </c>
      <c r="D3484" s="5" t="s">
        <v>237</v>
      </c>
      <c r="E3484" s="5" t="s">
        <v>21</v>
      </c>
      <c r="F3484" s="5">
        <v>2</v>
      </c>
      <c r="G3484" s="19">
        <v>0.15</v>
      </c>
      <c r="H3484" s="5" t="s">
        <v>697</v>
      </c>
      <c r="I3484" s="10">
        <f>IF(OR(D3484="", F3484=""), "", F3484 * VLOOKUP(D3484, Products!A:E, 5, FALSE) * (1 - G3484))</f>
        <v>623.78099999999995</v>
      </c>
      <c r="J3484" s="10"/>
    </row>
    <row r="3485" spans="1:10" ht="15.75" customHeight="1" x14ac:dyDescent="0.3">
      <c r="A3485" s="5" t="s">
        <v>4352</v>
      </c>
      <c r="B3485" s="11">
        <v>45410</v>
      </c>
      <c r="C3485" s="5" t="s">
        <v>652</v>
      </c>
      <c r="D3485" s="5" t="s">
        <v>61</v>
      </c>
      <c r="E3485" s="5" t="s">
        <v>29</v>
      </c>
      <c r="F3485" s="5">
        <v>2</v>
      </c>
      <c r="G3485" s="19">
        <v>0.15</v>
      </c>
      <c r="H3485" s="5" t="s">
        <v>637</v>
      </c>
      <c r="I3485" s="10">
        <f>IF(OR(D3485="", F3485=""), "", F3485 * VLOOKUP(D3485, Products!A:E, 5, FALSE) * (1 - G3485))</f>
        <v>540.68500000000006</v>
      </c>
      <c r="J3485" s="10"/>
    </row>
    <row r="3486" spans="1:10" ht="15.75" customHeight="1" x14ac:dyDescent="0.3">
      <c r="A3486" s="5" t="s">
        <v>4353</v>
      </c>
      <c r="B3486" s="11">
        <v>45236</v>
      </c>
      <c r="C3486" s="5" t="s">
        <v>680</v>
      </c>
      <c r="D3486" s="5" t="s">
        <v>109</v>
      </c>
      <c r="E3486" s="5" t="s">
        <v>37</v>
      </c>
      <c r="F3486" s="5">
        <v>3</v>
      </c>
      <c r="G3486" s="19">
        <v>0.15</v>
      </c>
      <c r="H3486" s="5" t="s">
        <v>776</v>
      </c>
      <c r="I3486" s="10">
        <f>IF(OR(D3486="", F3486=""), "", F3486 * VLOOKUP(D3486, Products!A:E, 5, FALSE) * (1 - G3486))</f>
        <v>4739.8125</v>
      </c>
      <c r="J3486" s="10"/>
    </row>
    <row r="3487" spans="1:10" ht="15.75" customHeight="1" x14ac:dyDescent="0.3">
      <c r="A3487" s="5" t="s">
        <v>4354</v>
      </c>
      <c r="B3487" s="11">
        <v>45271</v>
      </c>
      <c r="C3487" s="5" t="s">
        <v>346</v>
      </c>
      <c r="D3487" s="5" t="s">
        <v>212</v>
      </c>
      <c r="E3487" s="5" t="s">
        <v>25</v>
      </c>
      <c r="F3487" s="5">
        <v>4</v>
      </c>
      <c r="G3487" s="19">
        <v>0</v>
      </c>
      <c r="H3487" s="5" t="s">
        <v>454</v>
      </c>
      <c r="I3487" s="10">
        <f>IF(OR(D3487="", F3487=""), "", F3487 * VLOOKUP(D3487, Products!A:E, 5, FALSE) * (1 - G3487))</f>
        <v>7195.88</v>
      </c>
      <c r="J3487" s="10"/>
    </row>
    <row r="3488" spans="1:10" ht="15.75" customHeight="1" x14ac:dyDescent="0.3">
      <c r="A3488" s="5" t="s">
        <v>4355</v>
      </c>
      <c r="B3488" s="11">
        <v>45380</v>
      </c>
      <c r="C3488" s="5" t="s">
        <v>462</v>
      </c>
      <c r="D3488" s="5" t="s">
        <v>206</v>
      </c>
      <c r="E3488" s="5" t="s">
        <v>29</v>
      </c>
      <c r="F3488" s="5">
        <v>5</v>
      </c>
      <c r="G3488" s="19">
        <v>0</v>
      </c>
      <c r="H3488" s="5" t="s">
        <v>697</v>
      </c>
      <c r="I3488" s="10">
        <f>IF(OR(D3488="", F3488=""), "", F3488 * VLOOKUP(D3488, Products!A:E, 5, FALSE) * (1 - G3488))</f>
        <v>1523.55</v>
      </c>
      <c r="J3488" s="10"/>
    </row>
    <row r="3489" spans="1:10" ht="15.75" customHeight="1" x14ac:dyDescent="0.3">
      <c r="A3489" s="5" t="s">
        <v>4356</v>
      </c>
      <c r="B3489" s="11">
        <v>45437</v>
      </c>
      <c r="C3489" s="5" t="s">
        <v>711</v>
      </c>
      <c r="D3489" s="5" t="s">
        <v>70</v>
      </c>
      <c r="E3489" s="5" t="s">
        <v>29</v>
      </c>
      <c r="F3489" s="5">
        <v>1</v>
      </c>
      <c r="G3489" s="19">
        <v>0.05</v>
      </c>
      <c r="H3489" s="5" t="s">
        <v>637</v>
      </c>
      <c r="I3489" s="10">
        <f>IF(OR(D3489="", F3489=""), "", F3489 * VLOOKUP(D3489, Products!A:E, 5, FALSE) * (1 - G3489))</f>
        <v>117.03049999999999</v>
      </c>
      <c r="J3489" s="10"/>
    </row>
    <row r="3490" spans="1:10" ht="15.75" customHeight="1" x14ac:dyDescent="0.3">
      <c r="A3490" s="5" t="s">
        <v>4357</v>
      </c>
      <c r="B3490" s="11">
        <v>45289</v>
      </c>
      <c r="C3490" s="5" t="s">
        <v>450</v>
      </c>
      <c r="D3490" s="5" t="s">
        <v>128</v>
      </c>
      <c r="E3490" s="5" t="s">
        <v>37</v>
      </c>
      <c r="F3490" s="5">
        <v>1</v>
      </c>
      <c r="G3490" s="19">
        <v>0</v>
      </c>
      <c r="H3490" s="5" t="s">
        <v>637</v>
      </c>
      <c r="I3490" s="10">
        <f>IF(OR(D3490="", F3490=""), "", F3490 * VLOOKUP(D3490, Products!A:E, 5, FALSE) * (1 - G3490))</f>
        <v>323.92</v>
      </c>
      <c r="J3490" s="10"/>
    </row>
    <row r="3491" spans="1:10" ht="15.75" customHeight="1" x14ac:dyDescent="0.3">
      <c r="A3491" s="5" t="s">
        <v>4358</v>
      </c>
      <c r="B3491" s="11">
        <v>45376</v>
      </c>
      <c r="C3491" s="5" t="s">
        <v>433</v>
      </c>
      <c r="D3491" s="5" t="s">
        <v>285</v>
      </c>
      <c r="E3491" s="5" t="s">
        <v>29</v>
      </c>
      <c r="F3491" s="5">
        <v>1</v>
      </c>
      <c r="G3491" s="19">
        <v>0.05</v>
      </c>
      <c r="H3491" s="5" t="s">
        <v>637</v>
      </c>
      <c r="I3491" s="10">
        <f>IF(OR(D3491="", F3491=""), "", F3491 * VLOOKUP(D3491, Products!A:E, 5, FALSE) * (1 - G3491))</f>
        <v>368.84699999999998</v>
      </c>
      <c r="J3491" s="10"/>
    </row>
    <row r="3492" spans="1:10" ht="15.75" customHeight="1" x14ac:dyDescent="0.3">
      <c r="A3492" s="5" t="s">
        <v>4359</v>
      </c>
      <c r="B3492" s="11">
        <v>45488</v>
      </c>
      <c r="C3492" s="5" t="s">
        <v>361</v>
      </c>
      <c r="D3492" s="5" t="s">
        <v>232</v>
      </c>
      <c r="E3492" s="5" t="s">
        <v>29</v>
      </c>
      <c r="F3492" s="5">
        <v>1</v>
      </c>
      <c r="G3492" s="19">
        <v>0.15</v>
      </c>
      <c r="H3492" s="5" t="s">
        <v>637</v>
      </c>
      <c r="I3492" s="10">
        <f>IF(OR(D3492="", F3492=""), "", F3492 * VLOOKUP(D3492, Products!A:E, 5, FALSE) * (1 - G3492))</f>
        <v>1659.7525000000001</v>
      </c>
      <c r="J3492" s="10"/>
    </row>
    <row r="3493" spans="1:10" ht="15.75" customHeight="1" x14ac:dyDescent="0.3">
      <c r="A3493" s="5" t="s">
        <v>4360</v>
      </c>
      <c r="B3493" s="11">
        <v>45366</v>
      </c>
      <c r="C3493" s="5" t="s">
        <v>671</v>
      </c>
      <c r="D3493" s="5" t="s">
        <v>285</v>
      </c>
      <c r="E3493" s="5" t="s">
        <v>21</v>
      </c>
      <c r="F3493" s="5">
        <v>2</v>
      </c>
      <c r="G3493" s="19">
        <v>0.15</v>
      </c>
      <c r="H3493" s="5" t="s">
        <v>637</v>
      </c>
      <c r="I3493" s="10">
        <f>IF(OR(D3493="", F3493=""), "", F3493 * VLOOKUP(D3493, Products!A:E, 5, FALSE) * (1 - G3493))</f>
        <v>660.04199999999992</v>
      </c>
      <c r="J3493" s="10"/>
    </row>
    <row r="3494" spans="1:10" ht="15.75" customHeight="1" x14ac:dyDescent="0.3">
      <c r="A3494" s="5" t="s">
        <v>4361</v>
      </c>
      <c r="B3494" s="11">
        <v>45403</v>
      </c>
      <c r="C3494" s="5" t="s">
        <v>602</v>
      </c>
      <c r="D3494" s="5" t="s">
        <v>212</v>
      </c>
      <c r="E3494" s="5" t="s">
        <v>37</v>
      </c>
      <c r="F3494" s="5">
        <v>2</v>
      </c>
      <c r="G3494" s="19">
        <v>0.05</v>
      </c>
      <c r="H3494" s="5" t="s">
        <v>776</v>
      </c>
      <c r="I3494" s="10">
        <f>IF(OR(D3494="", F3494=""), "", F3494 * VLOOKUP(D3494, Products!A:E, 5, FALSE) * (1 - G3494))</f>
        <v>3418.0429999999997</v>
      </c>
      <c r="J3494" s="10"/>
    </row>
    <row r="3495" spans="1:10" ht="15.75" customHeight="1" x14ac:dyDescent="0.3">
      <c r="A3495" s="5" t="s">
        <v>4362</v>
      </c>
      <c r="B3495" s="11">
        <v>45268</v>
      </c>
      <c r="C3495" s="5" t="s">
        <v>91</v>
      </c>
      <c r="D3495" s="5" t="s">
        <v>119</v>
      </c>
      <c r="E3495" s="5" t="s">
        <v>25</v>
      </c>
      <c r="F3495" s="5">
        <v>1</v>
      </c>
      <c r="G3495" s="19">
        <v>0.15</v>
      </c>
      <c r="H3495" s="5" t="s">
        <v>697</v>
      </c>
      <c r="I3495" s="10">
        <f>IF(OR(D3495="", F3495=""), "", F3495 * VLOOKUP(D3495, Products!A:E, 5, FALSE) * (1 - G3495))</f>
        <v>917.90650000000005</v>
      </c>
      <c r="J3495" s="10"/>
    </row>
    <row r="3496" spans="1:10" ht="15.75" customHeight="1" x14ac:dyDescent="0.3">
      <c r="A3496" s="5" t="s">
        <v>4363</v>
      </c>
      <c r="B3496" s="11">
        <v>45750</v>
      </c>
      <c r="C3496" s="5" t="s">
        <v>235</v>
      </c>
      <c r="D3496" s="5" t="s">
        <v>249</v>
      </c>
      <c r="E3496" s="5" t="s">
        <v>25</v>
      </c>
      <c r="F3496" s="5">
        <v>3</v>
      </c>
      <c r="G3496" s="19">
        <v>0.15</v>
      </c>
      <c r="H3496" s="5" t="s">
        <v>697</v>
      </c>
      <c r="I3496" s="10">
        <f>IF(OR(D3496="", F3496=""), "", F3496 * VLOOKUP(D3496, Products!A:E, 5, FALSE) * (1 - G3496))</f>
        <v>4451.3054999999995</v>
      </c>
      <c r="J3496" s="10"/>
    </row>
    <row r="3497" spans="1:10" ht="15.75" customHeight="1" x14ac:dyDescent="0.3">
      <c r="A3497" s="5" t="s">
        <v>4364</v>
      </c>
      <c r="B3497" s="11">
        <v>45629</v>
      </c>
      <c r="C3497" s="5" t="s">
        <v>705</v>
      </c>
      <c r="D3497" s="5" t="s">
        <v>128</v>
      </c>
      <c r="E3497" s="5" t="s">
        <v>37</v>
      </c>
      <c r="F3497" s="5">
        <v>3</v>
      </c>
      <c r="G3497" s="19">
        <v>0.15</v>
      </c>
      <c r="H3497" s="5" t="s">
        <v>637</v>
      </c>
      <c r="I3497" s="10">
        <f>IF(OR(D3497="", F3497=""), "", F3497 * VLOOKUP(D3497, Products!A:E, 5, FALSE) * (1 - G3497))</f>
        <v>825.99599999999998</v>
      </c>
      <c r="J3497" s="10"/>
    </row>
    <row r="3498" spans="1:10" ht="15.75" customHeight="1" x14ac:dyDescent="0.3">
      <c r="A3498" s="5" t="s">
        <v>4365</v>
      </c>
      <c r="B3498" s="11">
        <v>45362</v>
      </c>
      <c r="C3498" s="5" t="s">
        <v>389</v>
      </c>
      <c r="D3498" s="5" t="s">
        <v>276</v>
      </c>
      <c r="E3498" s="5" t="s">
        <v>33</v>
      </c>
      <c r="F3498" s="5">
        <v>2</v>
      </c>
      <c r="G3498" s="19">
        <v>0.05</v>
      </c>
      <c r="H3498" s="5" t="s">
        <v>776</v>
      </c>
      <c r="I3498" s="10">
        <f>IF(OR(D3498="", F3498=""), "", F3498 * VLOOKUP(D3498, Products!A:E, 5, FALSE) * (1 - G3498))</f>
        <v>2274.6419999999998</v>
      </c>
      <c r="J3498" s="10"/>
    </row>
    <row r="3499" spans="1:10" ht="15.75" customHeight="1" x14ac:dyDescent="0.3">
      <c r="A3499" s="5" t="s">
        <v>4366</v>
      </c>
      <c r="B3499" s="11">
        <v>45879</v>
      </c>
      <c r="C3499" s="5" t="s">
        <v>652</v>
      </c>
      <c r="D3499" s="5" t="s">
        <v>95</v>
      </c>
      <c r="E3499" s="5" t="s">
        <v>25</v>
      </c>
      <c r="F3499" s="5">
        <v>5</v>
      </c>
      <c r="G3499" s="19">
        <v>0.1</v>
      </c>
      <c r="H3499" s="5" t="s">
        <v>637</v>
      </c>
      <c r="I3499" s="10">
        <f>IF(OR(D3499="", F3499=""), "", F3499 * VLOOKUP(D3499, Products!A:E, 5, FALSE) * (1 - G3499))</f>
        <v>6042.375</v>
      </c>
      <c r="J3499" s="10"/>
    </row>
    <row r="3500" spans="1:10" ht="15.75" customHeight="1" x14ac:dyDescent="0.3">
      <c r="A3500" s="5" t="s">
        <v>4367</v>
      </c>
      <c r="B3500" s="11">
        <v>45759</v>
      </c>
      <c r="C3500" s="5" t="s">
        <v>121</v>
      </c>
      <c r="D3500" s="5" t="s">
        <v>200</v>
      </c>
      <c r="E3500" s="5" t="s">
        <v>29</v>
      </c>
      <c r="F3500" s="5">
        <v>2</v>
      </c>
      <c r="G3500" s="19">
        <v>0.15</v>
      </c>
      <c r="H3500" s="5" t="s">
        <v>776</v>
      </c>
      <c r="I3500" s="10">
        <f>IF(OR(D3500="", F3500=""), "", F3500 * VLOOKUP(D3500, Products!A:E, 5, FALSE) * (1 - G3500))</f>
        <v>1862.7239999999999</v>
      </c>
      <c r="J3500" s="10"/>
    </row>
    <row r="3501" spans="1:10" ht="15.75" customHeight="1" x14ac:dyDescent="0.3">
      <c r="A3501" s="5" t="s">
        <v>4368</v>
      </c>
      <c r="B3501" s="11">
        <v>45886</v>
      </c>
      <c r="C3501" s="5" t="s">
        <v>634</v>
      </c>
      <c r="D3501" s="5" t="s">
        <v>206</v>
      </c>
      <c r="E3501" s="5" t="s">
        <v>37</v>
      </c>
      <c r="F3501" s="5">
        <v>5</v>
      </c>
      <c r="G3501" s="19">
        <v>0.15</v>
      </c>
      <c r="H3501" s="5" t="s">
        <v>637</v>
      </c>
      <c r="I3501" s="10">
        <f>IF(OR(D3501="", F3501=""), "", F3501 * VLOOKUP(D3501, Products!A:E, 5, FALSE) * (1 - G3501))</f>
        <v>1295.0174999999999</v>
      </c>
      <c r="J3501" s="10"/>
    </row>
    <row r="3502" spans="1:10" ht="15.75" customHeight="1" x14ac:dyDescent="0.3">
      <c r="A3502" s="5" t="s">
        <v>4369</v>
      </c>
      <c r="B3502" s="11">
        <v>45526</v>
      </c>
      <c r="C3502" s="5" t="s">
        <v>795</v>
      </c>
      <c r="D3502" s="5" t="s">
        <v>188</v>
      </c>
      <c r="E3502" s="5" t="s">
        <v>21</v>
      </c>
      <c r="F3502" s="5">
        <v>4</v>
      </c>
      <c r="G3502" s="19">
        <v>0.15</v>
      </c>
      <c r="H3502" s="5" t="s">
        <v>776</v>
      </c>
      <c r="I3502" s="10">
        <f>IF(OR(D3502="", F3502=""), "", F3502 * VLOOKUP(D3502, Products!A:E, 5, FALSE) * (1 - G3502))</f>
        <v>5049.17</v>
      </c>
      <c r="J3502" s="10"/>
    </row>
    <row r="3503" spans="1:10" ht="15.75" customHeight="1" x14ac:dyDescent="0.3">
      <c r="A3503" s="5" t="s">
        <v>4370</v>
      </c>
      <c r="B3503" s="11">
        <v>45702</v>
      </c>
      <c r="C3503" s="5" t="s">
        <v>554</v>
      </c>
      <c r="D3503" s="5" t="s">
        <v>285</v>
      </c>
      <c r="E3503" s="5" t="s">
        <v>33</v>
      </c>
      <c r="F3503" s="5">
        <v>2</v>
      </c>
      <c r="G3503" s="19">
        <v>0.15</v>
      </c>
      <c r="H3503" s="5" t="s">
        <v>697</v>
      </c>
      <c r="I3503" s="10">
        <f>IF(OR(D3503="", F3503=""), "", F3503 * VLOOKUP(D3503, Products!A:E, 5, FALSE) * (1 - G3503))</f>
        <v>660.04199999999992</v>
      </c>
      <c r="J3503" s="10"/>
    </row>
    <row r="3504" spans="1:10" ht="15.75" customHeight="1" x14ac:dyDescent="0.3">
      <c r="A3504" s="5" t="s">
        <v>4371</v>
      </c>
      <c r="B3504" s="11">
        <v>45906</v>
      </c>
      <c r="C3504" s="5" t="s">
        <v>91</v>
      </c>
      <c r="D3504" s="5" t="s">
        <v>276</v>
      </c>
      <c r="E3504" s="5" t="s">
        <v>29</v>
      </c>
      <c r="F3504" s="5">
        <v>1</v>
      </c>
      <c r="G3504" s="19">
        <v>0.15</v>
      </c>
      <c r="H3504" s="5" t="s">
        <v>697</v>
      </c>
      <c r="I3504" s="10">
        <f>IF(OR(D3504="", F3504=""), "", F3504 * VLOOKUP(D3504, Products!A:E, 5, FALSE) * (1 - G3504))</f>
        <v>1017.6030000000001</v>
      </c>
      <c r="J3504" s="10"/>
    </row>
    <row r="3505" spans="1:10" ht="15.75" customHeight="1" x14ac:dyDescent="0.3">
      <c r="A3505" s="5" t="s">
        <v>4372</v>
      </c>
      <c r="B3505" s="11">
        <v>45736</v>
      </c>
      <c r="C3505" s="5" t="s">
        <v>203</v>
      </c>
      <c r="D3505" s="5" t="s">
        <v>200</v>
      </c>
      <c r="E3505" s="5" t="s">
        <v>25</v>
      </c>
      <c r="F3505" s="5">
        <v>2</v>
      </c>
      <c r="G3505" s="19">
        <v>0.05</v>
      </c>
      <c r="H3505" s="5" t="s">
        <v>454</v>
      </c>
      <c r="I3505" s="10">
        <f>IF(OR(D3505="", F3505=""), "", F3505 * VLOOKUP(D3505, Products!A:E, 5, FALSE) * (1 - G3505))</f>
        <v>2081.8679999999999</v>
      </c>
      <c r="J3505" s="10"/>
    </row>
    <row r="3506" spans="1:10" ht="15.75" customHeight="1" x14ac:dyDescent="0.3">
      <c r="A3506" s="5" t="s">
        <v>4373</v>
      </c>
      <c r="B3506" s="11">
        <v>45762</v>
      </c>
      <c r="C3506" s="5" t="s">
        <v>481</v>
      </c>
      <c r="D3506" s="5" t="s">
        <v>188</v>
      </c>
      <c r="E3506" s="5" t="s">
        <v>25</v>
      </c>
      <c r="F3506" s="5">
        <v>1</v>
      </c>
      <c r="G3506" s="19">
        <v>0.15</v>
      </c>
      <c r="H3506" s="5" t="s">
        <v>454</v>
      </c>
      <c r="I3506" s="10">
        <f>IF(OR(D3506="", F3506=""), "", F3506 * VLOOKUP(D3506, Products!A:E, 5, FALSE) * (1 - G3506))</f>
        <v>1262.2925</v>
      </c>
      <c r="J3506" s="10"/>
    </row>
    <row r="3507" spans="1:10" ht="15.75" customHeight="1" x14ac:dyDescent="0.3">
      <c r="A3507" s="5" t="s">
        <v>4374</v>
      </c>
      <c r="B3507" s="11">
        <v>45720</v>
      </c>
      <c r="C3507" s="5" t="s">
        <v>91</v>
      </c>
      <c r="D3507" s="5" t="s">
        <v>269</v>
      </c>
      <c r="E3507" s="5" t="s">
        <v>29</v>
      </c>
      <c r="F3507" s="5">
        <v>5</v>
      </c>
      <c r="G3507" s="19">
        <v>0.15</v>
      </c>
      <c r="H3507" s="5" t="s">
        <v>776</v>
      </c>
      <c r="I3507" s="10">
        <f>IF(OR(D3507="", F3507=""), "", F3507 * VLOOKUP(D3507, Products!A:E, 5, FALSE) * (1 - G3507))</f>
        <v>7986.0899999999992</v>
      </c>
      <c r="J3507" s="10"/>
    </row>
    <row r="3508" spans="1:10" ht="15.75" customHeight="1" x14ac:dyDescent="0.3">
      <c r="A3508" s="5" t="s">
        <v>4375</v>
      </c>
      <c r="B3508" s="11">
        <v>45543</v>
      </c>
      <c r="C3508" s="5" t="s">
        <v>800</v>
      </c>
      <c r="D3508" s="5" t="s">
        <v>57</v>
      </c>
      <c r="E3508" s="5" t="s">
        <v>29</v>
      </c>
      <c r="F3508" s="5">
        <v>4</v>
      </c>
      <c r="G3508" s="19">
        <v>0.05</v>
      </c>
      <c r="H3508" s="5" t="s">
        <v>776</v>
      </c>
      <c r="I3508" s="10">
        <f>IF(OR(D3508="", F3508=""), "", F3508 * VLOOKUP(D3508, Products!A:E, 5, FALSE) * (1 - G3508))</f>
        <v>5305.6359999999995</v>
      </c>
      <c r="J3508" s="10"/>
    </row>
    <row r="3509" spans="1:10" ht="15.75" customHeight="1" x14ac:dyDescent="0.3">
      <c r="A3509" s="5" t="s">
        <v>4376</v>
      </c>
      <c r="B3509" s="11">
        <v>45585</v>
      </c>
      <c r="C3509" s="5" t="s">
        <v>661</v>
      </c>
      <c r="D3509" s="5" t="s">
        <v>153</v>
      </c>
      <c r="E3509" s="5" t="s">
        <v>25</v>
      </c>
      <c r="F3509" s="5">
        <v>1</v>
      </c>
      <c r="G3509" s="19">
        <v>0.05</v>
      </c>
      <c r="H3509" s="5" t="s">
        <v>454</v>
      </c>
      <c r="I3509" s="10">
        <f>IF(OR(D3509="", F3509=""), "", F3509 * VLOOKUP(D3509, Products!A:E, 5, FALSE) * (1 - G3509))</f>
        <v>1413.0395000000001</v>
      </c>
      <c r="J3509" s="10"/>
    </row>
    <row r="3510" spans="1:10" ht="15.75" customHeight="1" x14ac:dyDescent="0.3">
      <c r="A3510" s="5" t="s">
        <v>4377</v>
      </c>
      <c r="B3510" s="11">
        <v>45331</v>
      </c>
      <c r="C3510" s="5" t="s">
        <v>703</v>
      </c>
      <c r="D3510" s="5" t="s">
        <v>243</v>
      </c>
      <c r="E3510" s="5" t="s">
        <v>33</v>
      </c>
      <c r="F3510" s="5">
        <v>4</v>
      </c>
      <c r="G3510" s="19">
        <v>0</v>
      </c>
      <c r="H3510" s="5" t="s">
        <v>454</v>
      </c>
      <c r="I3510" s="10">
        <f>IF(OR(D3510="", F3510=""), "", F3510 * VLOOKUP(D3510, Products!A:E, 5, FALSE) * (1 - G3510))</f>
        <v>2163.7600000000002</v>
      </c>
      <c r="J3510" s="10"/>
    </row>
    <row r="3511" spans="1:10" ht="15.75" customHeight="1" x14ac:dyDescent="0.3">
      <c r="A3511" s="5" t="s">
        <v>4378</v>
      </c>
      <c r="B3511" s="11">
        <v>45340</v>
      </c>
      <c r="C3511" s="5" t="s">
        <v>393</v>
      </c>
      <c r="D3511" s="5" t="s">
        <v>280</v>
      </c>
      <c r="E3511" s="5" t="s">
        <v>33</v>
      </c>
      <c r="F3511" s="5">
        <v>5</v>
      </c>
      <c r="G3511" s="19">
        <v>0.1</v>
      </c>
      <c r="H3511" s="5" t="s">
        <v>776</v>
      </c>
      <c r="I3511" s="10">
        <f>IF(OR(D3511="", F3511=""), "", F3511 * VLOOKUP(D3511, Products!A:E, 5, FALSE) * (1 - G3511))</f>
        <v>5473.62</v>
      </c>
      <c r="J3511" s="10"/>
    </row>
    <row r="3512" spans="1:10" ht="15.75" customHeight="1" x14ac:dyDescent="0.3">
      <c r="A3512" s="5" t="s">
        <v>4379</v>
      </c>
      <c r="B3512" s="11">
        <v>45413</v>
      </c>
      <c r="C3512" s="5" t="s">
        <v>312</v>
      </c>
      <c r="D3512" s="5" t="s">
        <v>61</v>
      </c>
      <c r="E3512" s="5" t="s">
        <v>25</v>
      </c>
      <c r="F3512" s="5">
        <v>1</v>
      </c>
      <c r="G3512" s="19">
        <v>0.1</v>
      </c>
      <c r="H3512" s="5" t="s">
        <v>776</v>
      </c>
      <c r="I3512" s="10">
        <f>IF(OR(D3512="", F3512=""), "", F3512 * VLOOKUP(D3512, Products!A:E, 5, FALSE) * (1 - G3512))</f>
        <v>286.245</v>
      </c>
      <c r="J3512" s="10"/>
    </row>
    <row r="3513" spans="1:10" ht="15.75" customHeight="1" x14ac:dyDescent="0.3">
      <c r="A3513" s="5" t="s">
        <v>4380</v>
      </c>
      <c r="B3513" s="11">
        <v>45598</v>
      </c>
      <c r="C3513" s="5" t="s">
        <v>729</v>
      </c>
      <c r="D3513" s="5" t="s">
        <v>147</v>
      </c>
      <c r="E3513" s="5" t="s">
        <v>25</v>
      </c>
      <c r="F3513" s="5">
        <v>5</v>
      </c>
      <c r="G3513" s="19">
        <v>0.15</v>
      </c>
      <c r="H3513" s="5" t="s">
        <v>454</v>
      </c>
      <c r="I3513" s="10">
        <f>IF(OR(D3513="", F3513=""), "", F3513 * VLOOKUP(D3513, Products!A:E, 5, FALSE) * (1 - G3513))</f>
        <v>7983.4975000000004</v>
      </c>
      <c r="J3513" s="10"/>
    </row>
    <row r="3514" spans="1:10" ht="15.75" customHeight="1" x14ac:dyDescent="0.3">
      <c r="A3514" s="5" t="s">
        <v>4381</v>
      </c>
      <c r="B3514" s="11">
        <v>45663</v>
      </c>
      <c r="C3514" s="5" t="s">
        <v>645</v>
      </c>
      <c r="D3514" s="5" t="s">
        <v>206</v>
      </c>
      <c r="E3514" s="5" t="s">
        <v>29</v>
      </c>
      <c r="F3514" s="5">
        <v>2</v>
      </c>
      <c r="G3514" s="19">
        <v>0.1</v>
      </c>
      <c r="H3514" s="5" t="s">
        <v>454</v>
      </c>
      <c r="I3514" s="10">
        <f>IF(OR(D3514="", F3514=""), "", F3514 * VLOOKUP(D3514, Products!A:E, 5, FALSE) * (1 - G3514))</f>
        <v>548.47799999999995</v>
      </c>
      <c r="J3514" s="10"/>
    </row>
    <row r="3515" spans="1:10" ht="15.75" customHeight="1" x14ac:dyDescent="0.3">
      <c r="A3515" s="5" t="s">
        <v>4382</v>
      </c>
      <c r="B3515" s="11">
        <v>45714</v>
      </c>
      <c r="C3515" s="5" t="s">
        <v>842</v>
      </c>
      <c r="D3515" s="5" t="s">
        <v>217</v>
      </c>
      <c r="E3515" s="5" t="s">
        <v>37</v>
      </c>
      <c r="F3515" s="5">
        <v>5</v>
      </c>
      <c r="G3515" s="19">
        <v>0</v>
      </c>
      <c r="H3515" s="5" t="s">
        <v>776</v>
      </c>
      <c r="I3515" s="10">
        <f>IF(OR(D3515="", F3515=""), "", F3515 * VLOOKUP(D3515, Products!A:E, 5, FALSE) * (1 - G3515))</f>
        <v>2140.25</v>
      </c>
      <c r="J3515" s="10"/>
    </row>
    <row r="3516" spans="1:10" ht="15.75" customHeight="1" x14ac:dyDescent="0.3">
      <c r="A3516" s="5" t="s">
        <v>4383</v>
      </c>
      <c r="B3516" s="11">
        <v>45452</v>
      </c>
      <c r="C3516" s="5" t="s">
        <v>440</v>
      </c>
      <c r="D3516" s="5" t="s">
        <v>89</v>
      </c>
      <c r="E3516" s="5" t="s">
        <v>29</v>
      </c>
      <c r="F3516" s="5">
        <v>4</v>
      </c>
      <c r="G3516" s="19">
        <v>0.15</v>
      </c>
      <c r="H3516" s="5" t="s">
        <v>776</v>
      </c>
      <c r="I3516" s="10">
        <f>IF(OR(D3516="", F3516=""), "", F3516 * VLOOKUP(D3516, Products!A:E, 5, FALSE) * (1 - G3516))</f>
        <v>3858.3199999999997</v>
      </c>
      <c r="J3516" s="10"/>
    </row>
    <row r="3517" spans="1:10" ht="15.75" customHeight="1" x14ac:dyDescent="0.3">
      <c r="A3517" s="5" t="s">
        <v>4384</v>
      </c>
      <c r="B3517" s="11">
        <v>45688</v>
      </c>
      <c r="C3517" s="5" t="s">
        <v>805</v>
      </c>
      <c r="D3517" s="5" t="s">
        <v>175</v>
      </c>
      <c r="E3517" s="5" t="s">
        <v>33</v>
      </c>
      <c r="F3517" s="5">
        <v>1</v>
      </c>
      <c r="G3517" s="19">
        <v>0.1</v>
      </c>
      <c r="H3517" s="5" t="s">
        <v>697</v>
      </c>
      <c r="I3517" s="10">
        <f>IF(OR(D3517="", F3517=""), "", F3517 * VLOOKUP(D3517, Products!A:E, 5, FALSE) * (1 - G3517))</f>
        <v>1145.0070000000001</v>
      </c>
      <c r="J3517" s="10"/>
    </row>
    <row r="3518" spans="1:10" ht="15.75" customHeight="1" x14ac:dyDescent="0.3">
      <c r="A3518" s="5" t="s">
        <v>4385</v>
      </c>
      <c r="B3518" s="11">
        <v>45349</v>
      </c>
      <c r="C3518" s="5" t="s">
        <v>393</v>
      </c>
      <c r="D3518" s="5" t="s">
        <v>74</v>
      </c>
      <c r="E3518" s="5" t="s">
        <v>37</v>
      </c>
      <c r="F3518" s="5">
        <v>4</v>
      </c>
      <c r="G3518" s="19">
        <v>0.15</v>
      </c>
      <c r="H3518" s="5" t="s">
        <v>637</v>
      </c>
      <c r="I3518" s="10">
        <f>IF(OR(D3518="", F3518=""), "", F3518 * VLOOKUP(D3518, Products!A:E, 5, FALSE) * (1 - G3518))</f>
        <v>4060.0079999999994</v>
      </c>
      <c r="J3518" s="10"/>
    </row>
    <row r="3519" spans="1:10" ht="15.75" customHeight="1" x14ac:dyDescent="0.3">
      <c r="A3519" s="5" t="s">
        <v>4386</v>
      </c>
      <c r="B3519" s="11">
        <v>45357</v>
      </c>
      <c r="C3519" s="5" t="s">
        <v>620</v>
      </c>
      <c r="D3519" s="5" t="s">
        <v>103</v>
      </c>
      <c r="E3519" s="5" t="s">
        <v>25</v>
      </c>
      <c r="F3519" s="5">
        <v>5</v>
      </c>
      <c r="G3519" s="19">
        <v>0.05</v>
      </c>
      <c r="H3519" s="5" t="s">
        <v>776</v>
      </c>
      <c r="I3519" s="10">
        <f>IF(OR(D3519="", F3519=""), "", F3519 * VLOOKUP(D3519, Products!A:E, 5, FALSE) * (1 - G3519))</f>
        <v>1284.6375</v>
      </c>
      <c r="J3519" s="10"/>
    </row>
    <row r="3520" spans="1:10" ht="15.75" customHeight="1" x14ac:dyDescent="0.3">
      <c r="A3520" s="5" t="s">
        <v>4387</v>
      </c>
      <c r="B3520" s="11">
        <v>45766</v>
      </c>
      <c r="C3520" s="5" t="s">
        <v>740</v>
      </c>
      <c r="D3520" s="5" t="s">
        <v>43</v>
      </c>
      <c r="E3520" s="5" t="s">
        <v>33</v>
      </c>
      <c r="F3520" s="5">
        <v>3</v>
      </c>
      <c r="G3520" s="19">
        <v>0.15</v>
      </c>
      <c r="H3520" s="5" t="s">
        <v>776</v>
      </c>
      <c r="I3520" s="10">
        <f>IF(OR(D3520="", F3520=""), "", F3520 * VLOOKUP(D3520, Products!A:E, 5, FALSE) * (1 - G3520))</f>
        <v>4267.9094999999998</v>
      </c>
      <c r="J3520" s="10"/>
    </row>
    <row r="3521" spans="1:10" ht="15.75" customHeight="1" x14ac:dyDescent="0.3">
      <c r="A3521" s="5" t="s">
        <v>4388</v>
      </c>
      <c r="B3521" s="11">
        <v>45364</v>
      </c>
      <c r="C3521" s="5" t="s">
        <v>740</v>
      </c>
      <c r="D3521" s="5" t="s">
        <v>256</v>
      </c>
      <c r="E3521" s="5" t="s">
        <v>21</v>
      </c>
      <c r="F3521" s="5">
        <v>4</v>
      </c>
      <c r="G3521" s="19">
        <v>0.15</v>
      </c>
      <c r="H3521" s="5" t="s">
        <v>637</v>
      </c>
      <c r="I3521" s="10">
        <f>IF(OR(D3521="", F3521=""), "", F3521 * VLOOKUP(D3521, Products!A:E, 5, FALSE) * (1 - G3521))</f>
        <v>5559.0339999999997</v>
      </c>
      <c r="J3521" s="10"/>
    </row>
    <row r="3522" spans="1:10" ht="15.75" customHeight="1" x14ac:dyDescent="0.3">
      <c r="A3522" s="5" t="s">
        <v>4389</v>
      </c>
      <c r="B3522" s="11">
        <v>45712</v>
      </c>
      <c r="C3522" s="5" t="s">
        <v>536</v>
      </c>
      <c r="D3522" s="5" t="s">
        <v>291</v>
      </c>
      <c r="E3522" s="5" t="s">
        <v>37</v>
      </c>
      <c r="F3522" s="5">
        <v>2</v>
      </c>
      <c r="G3522" s="19">
        <v>0.15</v>
      </c>
      <c r="H3522" s="5" t="s">
        <v>637</v>
      </c>
      <c r="I3522" s="10">
        <f>IF(OR(D3522="", F3522=""), "", F3522 * VLOOKUP(D3522, Products!A:E, 5, FALSE) * (1 - G3522))</f>
        <v>1775.8880000000001</v>
      </c>
      <c r="J3522" s="10"/>
    </row>
    <row r="3523" spans="1:10" ht="15.75" customHeight="1" x14ac:dyDescent="0.3">
      <c r="A3523" s="5" t="s">
        <v>4390</v>
      </c>
      <c r="B3523" s="11">
        <v>45534</v>
      </c>
      <c r="C3523" s="5" t="s">
        <v>826</v>
      </c>
      <c r="D3523" s="5" t="s">
        <v>134</v>
      </c>
      <c r="E3523" s="5" t="s">
        <v>25</v>
      </c>
      <c r="F3523" s="5">
        <v>2</v>
      </c>
      <c r="G3523" s="19">
        <v>0.1</v>
      </c>
      <c r="H3523" s="5" t="s">
        <v>697</v>
      </c>
      <c r="I3523" s="10">
        <f>IF(OR(D3523="", F3523=""), "", F3523 * VLOOKUP(D3523, Products!A:E, 5, FALSE) * (1 - G3523))</f>
        <v>2209.0320000000002</v>
      </c>
      <c r="J3523" s="10"/>
    </row>
    <row r="3524" spans="1:10" ht="15.75" customHeight="1" x14ac:dyDescent="0.3">
      <c r="A3524" s="5" t="s">
        <v>4391</v>
      </c>
      <c r="B3524" s="11">
        <v>45321</v>
      </c>
      <c r="C3524" s="5" t="s">
        <v>634</v>
      </c>
      <c r="D3524" s="5" t="s">
        <v>285</v>
      </c>
      <c r="E3524" s="5" t="s">
        <v>21</v>
      </c>
      <c r="F3524" s="5">
        <v>5</v>
      </c>
      <c r="G3524" s="19">
        <v>0.1</v>
      </c>
      <c r="H3524" s="5" t="s">
        <v>776</v>
      </c>
      <c r="I3524" s="10">
        <f>IF(OR(D3524="", F3524=""), "", F3524 * VLOOKUP(D3524, Products!A:E, 5, FALSE) * (1 - G3524))</f>
        <v>1747.17</v>
      </c>
      <c r="J3524" s="10"/>
    </row>
    <row r="3525" spans="1:10" ht="15.75" customHeight="1" x14ac:dyDescent="0.3">
      <c r="A3525" s="5" t="s">
        <v>4392</v>
      </c>
      <c r="B3525" s="11">
        <v>45899</v>
      </c>
      <c r="C3525" s="5" t="s">
        <v>550</v>
      </c>
      <c r="D3525" s="5" t="s">
        <v>249</v>
      </c>
      <c r="E3525" s="5" t="s">
        <v>25</v>
      </c>
      <c r="F3525" s="5">
        <v>2</v>
      </c>
      <c r="G3525" s="19">
        <v>0.1</v>
      </c>
      <c r="H3525" s="5" t="s">
        <v>776</v>
      </c>
      <c r="I3525" s="10">
        <f>IF(OR(D3525="", F3525=""), "", F3525 * VLOOKUP(D3525, Products!A:E, 5, FALSE) * (1 - G3525))</f>
        <v>3142.098</v>
      </c>
      <c r="J3525" s="10"/>
    </row>
    <row r="3526" spans="1:10" ht="15.75" customHeight="1" x14ac:dyDescent="0.3">
      <c r="A3526" s="5" t="s">
        <v>4393</v>
      </c>
      <c r="B3526" s="11">
        <v>45379</v>
      </c>
      <c r="C3526" s="5" t="s">
        <v>808</v>
      </c>
      <c r="D3526" s="5" t="s">
        <v>243</v>
      </c>
      <c r="E3526" s="5" t="s">
        <v>29</v>
      </c>
      <c r="F3526" s="5">
        <v>1</v>
      </c>
      <c r="G3526" s="19">
        <v>0.1</v>
      </c>
      <c r="H3526" s="5" t="s">
        <v>637</v>
      </c>
      <c r="I3526" s="10">
        <f>IF(OR(D3526="", F3526=""), "", F3526 * VLOOKUP(D3526, Products!A:E, 5, FALSE) * (1 - G3526))</f>
        <v>486.84600000000006</v>
      </c>
      <c r="J3526" s="10"/>
    </row>
    <row r="3527" spans="1:10" ht="15.75" customHeight="1" x14ac:dyDescent="0.3">
      <c r="A3527" s="5" t="s">
        <v>4394</v>
      </c>
      <c r="B3527" s="11">
        <v>45715</v>
      </c>
      <c r="C3527" s="5" t="s">
        <v>532</v>
      </c>
      <c r="D3527" s="5" t="s">
        <v>221</v>
      </c>
      <c r="E3527" s="5" t="s">
        <v>37</v>
      </c>
      <c r="F3527" s="5">
        <v>3</v>
      </c>
      <c r="G3527" s="19">
        <v>0.15</v>
      </c>
      <c r="H3527" s="5" t="s">
        <v>776</v>
      </c>
      <c r="I3527" s="10">
        <f>IF(OR(D3527="", F3527=""), "", F3527 * VLOOKUP(D3527, Products!A:E, 5, FALSE) * (1 - G3527))</f>
        <v>3984.1965</v>
      </c>
      <c r="J3527" s="10"/>
    </row>
    <row r="3528" spans="1:10" ht="15.75" customHeight="1" x14ac:dyDescent="0.3">
      <c r="A3528" s="5" t="s">
        <v>4395</v>
      </c>
      <c r="B3528" s="11">
        <v>45464</v>
      </c>
      <c r="C3528" s="5" t="s">
        <v>121</v>
      </c>
      <c r="D3528" s="5" t="s">
        <v>115</v>
      </c>
      <c r="E3528" s="5" t="s">
        <v>21</v>
      </c>
      <c r="F3528" s="5">
        <v>2</v>
      </c>
      <c r="G3528" s="19">
        <v>0.1</v>
      </c>
      <c r="H3528" s="5" t="s">
        <v>697</v>
      </c>
      <c r="I3528" s="10">
        <f>IF(OR(D3528="", F3528=""), "", F3528 * VLOOKUP(D3528, Products!A:E, 5, FALSE) * (1 - G3528))</f>
        <v>2242.998</v>
      </c>
      <c r="J3528" s="10"/>
    </row>
    <row r="3529" spans="1:10" ht="15.75" customHeight="1" x14ac:dyDescent="0.3">
      <c r="A3529" s="5" t="s">
        <v>4396</v>
      </c>
      <c r="B3529" s="11">
        <v>45622</v>
      </c>
      <c r="C3529" s="5" t="s">
        <v>878</v>
      </c>
      <c r="D3529" s="5" t="s">
        <v>249</v>
      </c>
      <c r="E3529" s="5" t="s">
        <v>29</v>
      </c>
      <c r="F3529" s="5">
        <v>3</v>
      </c>
      <c r="G3529" s="19">
        <v>0.1</v>
      </c>
      <c r="H3529" s="5" t="s">
        <v>454</v>
      </c>
      <c r="I3529" s="10">
        <f>IF(OR(D3529="", F3529=""), "", F3529 * VLOOKUP(D3529, Products!A:E, 5, FALSE) * (1 - G3529))</f>
        <v>4713.1469999999999</v>
      </c>
      <c r="J3529" s="10"/>
    </row>
    <row r="3530" spans="1:10" ht="15.75" customHeight="1" x14ac:dyDescent="0.3">
      <c r="A3530" s="5" t="s">
        <v>4397</v>
      </c>
      <c r="B3530" s="11">
        <v>45776</v>
      </c>
      <c r="C3530" s="5" t="s">
        <v>338</v>
      </c>
      <c r="D3530" s="5" t="s">
        <v>67</v>
      </c>
      <c r="E3530" s="5" t="s">
        <v>37</v>
      </c>
      <c r="F3530" s="5">
        <v>4</v>
      </c>
      <c r="G3530" s="19">
        <v>0.15</v>
      </c>
      <c r="H3530" s="5" t="s">
        <v>637</v>
      </c>
      <c r="I3530" s="10">
        <f>IF(OR(D3530="", F3530=""), "", F3530 * VLOOKUP(D3530, Products!A:E, 5, FALSE) * (1 - G3530))</f>
        <v>373.25200000000001</v>
      </c>
      <c r="J3530" s="10"/>
    </row>
    <row r="3531" spans="1:10" ht="15.75" customHeight="1" x14ac:dyDescent="0.3">
      <c r="A3531" s="5" t="s">
        <v>4398</v>
      </c>
      <c r="B3531" s="11">
        <v>45463</v>
      </c>
      <c r="C3531" s="5" t="s">
        <v>353</v>
      </c>
      <c r="D3531" s="5" t="s">
        <v>115</v>
      </c>
      <c r="E3531" s="5" t="s">
        <v>25</v>
      </c>
      <c r="F3531" s="5">
        <v>3</v>
      </c>
      <c r="G3531" s="19">
        <v>0.1</v>
      </c>
      <c r="H3531" s="5" t="s">
        <v>697</v>
      </c>
      <c r="I3531" s="10">
        <f>IF(OR(D3531="", F3531=""), "", F3531 * VLOOKUP(D3531, Products!A:E, 5, FALSE) * (1 - G3531))</f>
        <v>3364.4969999999998</v>
      </c>
      <c r="J3531" s="10"/>
    </row>
    <row r="3532" spans="1:10" ht="15.75" customHeight="1" x14ac:dyDescent="0.3">
      <c r="A3532" s="5" t="s">
        <v>4399</v>
      </c>
      <c r="B3532" s="11">
        <v>45331</v>
      </c>
      <c r="C3532" s="5" t="s">
        <v>758</v>
      </c>
      <c r="D3532" s="5" t="s">
        <v>188</v>
      </c>
      <c r="E3532" s="5" t="s">
        <v>25</v>
      </c>
      <c r="F3532" s="5">
        <v>2</v>
      </c>
      <c r="G3532" s="19">
        <v>0.1</v>
      </c>
      <c r="H3532" s="5" t="s">
        <v>637</v>
      </c>
      <c r="I3532" s="10">
        <f>IF(OR(D3532="", F3532=""), "", F3532 * VLOOKUP(D3532, Products!A:E, 5, FALSE) * (1 - G3532))</f>
        <v>2673.09</v>
      </c>
      <c r="J3532" s="10"/>
    </row>
    <row r="3533" spans="1:10" ht="15.75" customHeight="1" x14ac:dyDescent="0.3">
      <c r="A3533" s="5" t="s">
        <v>4400</v>
      </c>
      <c r="B3533" s="11">
        <v>45723</v>
      </c>
      <c r="C3533" s="5" t="s">
        <v>376</v>
      </c>
      <c r="D3533" s="5" t="s">
        <v>122</v>
      </c>
      <c r="E3533" s="5" t="s">
        <v>25</v>
      </c>
      <c r="F3533" s="5">
        <v>5</v>
      </c>
      <c r="G3533" s="19">
        <v>0</v>
      </c>
      <c r="H3533" s="5" t="s">
        <v>454</v>
      </c>
      <c r="I3533" s="10">
        <f>IF(OR(D3533="", F3533=""), "", F3533 * VLOOKUP(D3533, Products!A:E, 5, FALSE) * (1 - G3533))</f>
        <v>8814.6</v>
      </c>
      <c r="J3533" s="10"/>
    </row>
    <row r="3534" spans="1:10" ht="15.75" customHeight="1" x14ac:dyDescent="0.3">
      <c r="A3534" s="5" t="s">
        <v>4401</v>
      </c>
      <c r="B3534" s="11">
        <v>45254</v>
      </c>
      <c r="C3534" s="5" t="s">
        <v>554</v>
      </c>
      <c r="D3534" s="5" t="s">
        <v>262</v>
      </c>
      <c r="E3534" s="5" t="s">
        <v>25</v>
      </c>
      <c r="F3534" s="5">
        <v>3</v>
      </c>
      <c r="G3534" s="19">
        <v>0</v>
      </c>
      <c r="H3534" s="5" t="s">
        <v>454</v>
      </c>
      <c r="I3534" s="10">
        <f>IF(OR(D3534="", F3534=""), "", F3534 * VLOOKUP(D3534, Products!A:E, 5, FALSE) * (1 - G3534))</f>
        <v>1360.8600000000001</v>
      </c>
      <c r="J3534" s="10"/>
    </row>
    <row r="3535" spans="1:10" ht="15.75" customHeight="1" x14ac:dyDescent="0.3">
      <c r="A3535" s="5" t="s">
        <v>4402</v>
      </c>
      <c r="B3535" s="11">
        <v>45524</v>
      </c>
      <c r="C3535" s="5" t="s">
        <v>342</v>
      </c>
      <c r="D3535" s="5" t="s">
        <v>140</v>
      </c>
      <c r="E3535" s="5" t="s">
        <v>37</v>
      </c>
      <c r="F3535" s="5">
        <v>3</v>
      </c>
      <c r="G3535" s="19">
        <v>0.15</v>
      </c>
      <c r="H3535" s="5" t="s">
        <v>697</v>
      </c>
      <c r="I3535" s="10">
        <f>IF(OR(D3535="", F3535=""), "", F3535 * VLOOKUP(D3535, Products!A:E, 5, FALSE) * (1 - G3535))</f>
        <v>65.203500000000005</v>
      </c>
      <c r="J3535" s="10"/>
    </row>
    <row r="3536" spans="1:10" ht="15.75" customHeight="1" x14ac:dyDescent="0.3">
      <c r="A3536" s="5" t="s">
        <v>4403</v>
      </c>
      <c r="B3536" s="11">
        <v>45826</v>
      </c>
      <c r="C3536" s="5" t="s">
        <v>495</v>
      </c>
      <c r="D3536" s="5" t="s">
        <v>153</v>
      </c>
      <c r="E3536" s="5" t="s">
        <v>33</v>
      </c>
      <c r="F3536" s="5">
        <v>2</v>
      </c>
      <c r="G3536" s="19">
        <v>0.05</v>
      </c>
      <c r="H3536" s="5" t="s">
        <v>637</v>
      </c>
      <c r="I3536" s="10">
        <f>IF(OR(D3536="", F3536=""), "", F3536 * VLOOKUP(D3536, Products!A:E, 5, FALSE) * (1 - G3536))</f>
        <v>2826.0790000000002</v>
      </c>
      <c r="J3536" s="10"/>
    </row>
    <row r="3537" spans="1:10" ht="15.75" customHeight="1" x14ac:dyDescent="0.3">
      <c r="A3537" s="5" t="s">
        <v>4404</v>
      </c>
      <c r="B3537" s="11">
        <v>45294</v>
      </c>
      <c r="C3537" s="5" t="s">
        <v>718</v>
      </c>
      <c r="D3537" s="5" t="s">
        <v>200</v>
      </c>
      <c r="E3537" s="5" t="s">
        <v>25</v>
      </c>
      <c r="F3537" s="5">
        <v>2</v>
      </c>
      <c r="G3537" s="19">
        <v>0.1</v>
      </c>
      <c r="H3537" s="5" t="s">
        <v>454</v>
      </c>
      <c r="I3537" s="10">
        <f>IF(OR(D3537="", F3537=""), "", F3537 * VLOOKUP(D3537, Products!A:E, 5, FALSE) * (1 - G3537))</f>
        <v>1972.296</v>
      </c>
      <c r="J3537" s="10"/>
    </row>
    <row r="3538" spans="1:10" ht="15.75" customHeight="1" x14ac:dyDescent="0.3">
      <c r="A3538" s="5" t="s">
        <v>4405</v>
      </c>
      <c r="B3538" s="11">
        <v>45319</v>
      </c>
      <c r="C3538" s="5" t="s">
        <v>235</v>
      </c>
      <c r="D3538" s="5" t="s">
        <v>272</v>
      </c>
      <c r="E3538" s="5" t="s">
        <v>25</v>
      </c>
      <c r="F3538" s="5">
        <v>5</v>
      </c>
      <c r="G3538" s="19">
        <v>0</v>
      </c>
      <c r="H3538" s="5" t="s">
        <v>637</v>
      </c>
      <c r="I3538" s="10">
        <f>IF(OR(D3538="", F3538=""), "", F3538 * VLOOKUP(D3538, Products!A:E, 5, FALSE) * (1 - G3538))</f>
        <v>5826.8499999999995</v>
      </c>
      <c r="J3538" s="10"/>
    </row>
    <row r="3539" spans="1:10" ht="15.75" customHeight="1" x14ac:dyDescent="0.3">
      <c r="A3539" s="5" t="s">
        <v>4406</v>
      </c>
      <c r="B3539" s="11">
        <v>45187</v>
      </c>
      <c r="C3539" s="5" t="s">
        <v>522</v>
      </c>
      <c r="D3539" s="5" t="s">
        <v>291</v>
      </c>
      <c r="E3539" s="5" t="s">
        <v>29</v>
      </c>
      <c r="F3539" s="5">
        <v>1</v>
      </c>
      <c r="G3539" s="19">
        <v>0.15</v>
      </c>
      <c r="H3539" s="5" t="s">
        <v>454</v>
      </c>
      <c r="I3539" s="10">
        <f>IF(OR(D3539="", F3539=""), "", F3539 * VLOOKUP(D3539, Products!A:E, 5, FALSE) * (1 - G3539))</f>
        <v>887.94400000000007</v>
      </c>
      <c r="J3539" s="10"/>
    </row>
    <row r="3540" spans="1:10" ht="15.75" customHeight="1" x14ac:dyDescent="0.3">
      <c r="A3540" s="5" t="s">
        <v>4407</v>
      </c>
      <c r="B3540" s="11">
        <v>45780</v>
      </c>
      <c r="C3540" s="5" t="s">
        <v>536</v>
      </c>
      <c r="D3540" s="5" t="s">
        <v>61</v>
      </c>
      <c r="E3540" s="5" t="s">
        <v>37</v>
      </c>
      <c r="F3540" s="5">
        <v>3</v>
      </c>
      <c r="G3540" s="19">
        <v>0</v>
      </c>
      <c r="H3540" s="5" t="s">
        <v>454</v>
      </c>
      <c r="I3540" s="10">
        <f>IF(OR(D3540="", F3540=""), "", F3540 * VLOOKUP(D3540, Products!A:E, 5, FALSE) * (1 - G3540))</f>
        <v>954.15000000000009</v>
      </c>
      <c r="J3540" s="10"/>
    </row>
    <row r="3541" spans="1:10" ht="15.75" customHeight="1" x14ac:dyDescent="0.3">
      <c r="A3541" s="5" t="s">
        <v>4408</v>
      </c>
      <c r="B3541" s="11">
        <v>45710</v>
      </c>
      <c r="C3541" s="5" t="s">
        <v>859</v>
      </c>
      <c r="D3541" s="5" t="s">
        <v>272</v>
      </c>
      <c r="E3541" s="5" t="s">
        <v>33</v>
      </c>
      <c r="F3541" s="5">
        <v>3</v>
      </c>
      <c r="G3541" s="19">
        <v>0.1</v>
      </c>
      <c r="H3541" s="5" t="s">
        <v>697</v>
      </c>
      <c r="I3541" s="10">
        <f>IF(OR(D3541="", F3541=""), "", F3541 * VLOOKUP(D3541, Products!A:E, 5, FALSE) * (1 - G3541))</f>
        <v>3146.4989999999998</v>
      </c>
      <c r="J3541" s="10"/>
    </row>
    <row r="3542" spans="1:10" ht="15.75" customHeight="1" x14ac:dyDescent="0.3">
      <c r="A3542" s="5" t="s">
        <v>4409</v>
      </c>
      <c r="B3542" s="11">
        <v>45364</v>
      </c>
      <c r="C3542" s="5" t="s">
        <v>69</v>
      </c>
      <c r="D3542" s="5" t="s">
        <v>206</v>
      </c>
      <c r="E3542" s="5" t="s">
        <v>25</v>
      </c>
      <c r="F3542" s="5">
        <v>3</v>
      </c>
      <c r="G3542" s="19">
        <v>0</v>
      </c>
      <c r="H3542" s="5" t="s">
        <v>776</v>
      </c>
      <c r="I3542" s="10">
        <f>IF(OR(D3542="", F3542=""), "", F3542 * VLOOKUP(D3542, Products!A:E, 5, FALSE) * (1 - G3542))</f>
        <v>914.12999999999988</v>
      </c>
      <c r="J3542" s="10"/>
    </row>
    <row r="3543" spans="1:10" ht="15.75" customHeight="1" x14ac:dyDescent="0.3">
      <c r="A3543" s="5" t="s">
        <v>4410</v>
      </c>
      <c r="B3543" s="11">
        <v>45758</v>
      </c>
      <c r="C3543" s="5" t="s">
        <v>245</v>
      </c>
      <c r="D3543" s="5" t="s">
        <v>95</v>
      </c>
      <c r="E3543" s="5" t="s">
        <v>33</v>
      </c>
      <c r="F3543" s="5">
        <v>5</v>
      </c>
      <c r="G3543" s="19">
        <v>0.15</v>
      </c>
      <c r="H3543" s="5" t="s">
        <v>697</v>
      </c>
      <c r="I3543" s="10">
        <f>IF(OR(D3543="", F3543=""), "", F3543 * VLOOKUP(D3543, Products!A:E, 5, FALSE) * (1 - G3543))</f>
        <v>5706.6875</v>
      </c>
      <c r="J3543" s="10"/>
    </row>
    <row r="3544" spans="1:10" ht="15.75" customHeight="1" x14ac:dyDescent="0.3">
      <c r="A3544" s="5" t="s">
        <v>4411</v>
      </c>
      <c r="B3544" s="11">
        <v>45189</v>
      </c>
      <c r="C3544" s="5" t="s">
        <v>155</v>
      </c>
      <c r="D3544" s="5" t="s">
        <v>103</v>
      </c>
      <c r="E3544" s="5" t="s">
        <v>25</v>
      </c>
      <c r="F3544" s="5">
        <v>5</v>
      </c>
      <c r="G3544" s="19">
        <v>0.1</v>
      </c>
      <c r="H3544" s="5" t="s">
        <v>697</v>
      </c>
      <c r="I3544" s="10">
        <f>IF(OR(D3544="", F3544=""), "", F3544 * VLOOKUP(D3544, Products!A:E, 5, FALSE) * (1 - G3544))</f>
        <v>1217.0250000000001</v>
      </c>
      <c r="J3544" s="10"/>
    </row>
    <row r="3545" spans="1:10" ht="15.75" customHeight="1" x14ac:dyDescent="0.3">
      <c r="A3545" s="5" t="s">
        <v>4412</v>
      </c>
      <c r="B3545" s="11">
        <v>45282</v>
      </c>
      <c r="C3545" s="5" t="s">
        <v>425</v>
      </c>
      <c r="D3545" s="5" t="s">
        <v>232</v>
      </c>
      <c r="E3545" s="5" t="s">
        <v>21</v>
      </c>
      <c r="F3545" s="5">
        <v>1</v>
      </c>
      <c r="G3545" s="19">
        <v>0.1</v>
      </c>
      <c r="H3545" s="5" t="s">
        <v>697</v>
      </c>
      <c r="I3545" s="10">
        <f>IF(OR(D3545="", F3545=""), "", F3545 * VLOOKUP(D3545, Products!A:E, 5, FALSE) * (1 - G3545))</f>
        <v>1757.3850000000002</v>
      </c>
      <c r="J3545" s="10"/>
    </row>
    <row r="3546" spans="1:10" ht="15.75" customHeight="1" x14ac:dyDescent="0.3">
      <c r="A3546" s="5" t="s">
        <v>4413</v>
      </c>
      <c r="B3546" s="11">
        <v>45821</v>
      </c>
      <c r="C3546" s="5" t="s">
        <v>543</v>
      </c>
      <c r="D3546" s="5" t="s">
        <v>153</v>
      </c>
      <c r="E3546" s="5" t="s">
        <v>29</v>
      </c>
      <c r="F3546" s="5">
        <v>1</v>
      </c>
      <c r="G3546" s="19">
        <v>0.1</v>
      </c>
      <c r="H3546" s="5" t="s">
        <v>454</v>
      </c>
      <c r="I3546" s="10">
        <f>IF(OR(D3546="", F3546=""), "", F3546 * VLOOKUP(D3546, Products!A:E, 5, FALSE) * (1 - G3546))</f>
        <v>1338.6690000000001</v>
      </c>
      <c r="J3546" s="10"/>
    </row>
    <row r="3547" spans="1:10" ht="15.75" customHeight="1" x14ac:dyDescent="0.3">
      <c r="A3547" s="5" t="s">
        <v>4414</v>
      </c>
      <c r="B3547" s="11">
        <v>45216</v>
      </c>
      <c r="C3547" s="5" t="s">
        <v>600</v>
      </c>
      <c r="D3547" s="5" t="s">
        <v>103</v>
      </c>
      <c r="E3547" s="5" t="s">
        <v>21</v>
      </c>
      <c r="F3547" s="5">
        <v>3</v>
      </c>
      <c r="G3547" s="19">
        <v>0.1</v>
      </c>
      <c r="H3547" s="5" t="s">
        <v>697</v>
      </c>
      <c r="I3547" s="10">
        <f>IF(OR(D3547="", F3547=""), "", F3547 * VLOOKUP(D3547, Products!A:E, 5, FALSE) * (1 - G3547))</f>
        <v>730.21499999999992</v>
      </c>
      <c r="J3547" s="10"/>
    </row>
    <row r="3548" spans="1:10" ht="15.75" customHeight="1" x14ac:dyDescent="0.3">
      <c r="A3548" s="5" t="s">
        <v>4415</v>
      </c>
      <c r="B3548" s="11">
        <v>45468</v>
      </c>
      <c r="C3548" s="5" t="s">
        <v>240</v>
      </c>
      <c r="D3548" s="5" t="s">
        <v>162</v>
      </c>
      <c r="E3548" s="5" t="s">
        <v>25</v>
      </c>
      <c r="F3548" s="5">
        <v>2</v>
      </c>
      <c r="G3548" s="19">
        <v>0.1</v>
      </c>
      <c r="H3548" s="5" t="s">
        <v>697</v>
      </c>
      <c r="I3548" s="10">
        <f>IF(OR(D3548="", F3548=""), "", F3548 * VLOOKUP(D3548, Products!A:E, 5, FALSE) * (1 - G3548))</f>
        <v>772.47</v>
      </c>
      <c r="J3548" s="10"/>
    </row>
    <row r="3549" spans="1:10" ht="15.75" customHeight="1" x14ac:dyDescent="0.3">
      <c r="A3549" s="5" t="s">
        <v>4416</v>
      </c>
      <c r="B3549" s="11">
        <v>45632</v>
      </c>
      <c r="C3549" s="5" t="s">
        <v>567</v>
      </c>
      <c r="D3549" s="5" t="s">
        <v>134</v>
      </c>
      <c r="E3549" s="5" t="s">
        <v>33</v>
      </c>
      <c r="F3549" s="5">
        <v>5</v>
      </c>
      <c r="G3549" s="19">
        <v>0</v>
      </c>
      <c r="H3549" s="5" t="s">
        <v>697</v>
      </c>
      <c r="I3549" s="10">
        <f>IF(OR(D3549="", F3549=""), "", F3549 * VLOOKUP(D3549, Products!A:E, 5, FALSE) * (1 - G3549))</f>
        <v>6136.2</v>
      </c>
      <c r="J3549" s="10"/>
    </row>
    <row r="3550" spans="1:10" ht="15.75" customHeight="1" x14ac:dyDescent="0.3">
      <c r="A3550" s="5" t="s">
        <v>4417</v>
      </c>
      <c r="B3550" s="11">
        <v>45565</v>
      </c>
      <c r="C3550" s="5" t="s">
        <v>575</v>
      </c>
      <c r="D3550" s="5" t="s">
        <v>47</v>
      </c>
      <c r="E3550" s="5" t="s">
        <v>33</v>
      </c>
      <c r="F3550" s="5">
        <v>3</v>
      </c>
      <c r="G3550" s="19">
        <v>0</v>
      </c>
      <c r="H3550" s="5" t="s">
        <v>776</v>
      </c>
      <c r="I3550" s="10">
        <f>IF(OR(D3550="", F3550=""), "", F3550 * VLOOKUP(D3550, Products!A:E, 5, FALSE) * (1 - G3550))</f>
        <v>2456.2799999999997</v>
      </c>
      <c r="J3550" s="10"/>
    </row>
    <row r="3551" spans="1:10" ht="15.75" customHeight="1" x14ac:dyDescent="0.3">
      <c r="A3551" s="5" t="s">
        <v>4418</v>
      </c>
      <c r="B3551" s="11">
        <v>45662</v>
      </c>
      <c r="C3551" s="5" t="s">
        <v>744</v>
      </c>
      <c r="D3551" s="5" t="s">
        <v>272</v>
      </c>
      <c r="E3551" s="5" t="s">
        <v>29</v>
      </c>
      <c r="F3551" s="5">
        <v>2</v>
      </c>
      <c r="G3551" s="19">
        <v>0</v>
      </c>
      <c r="H3551" s="5" t="s">
        <v>454</v>
      </c>
      <c r="I3551" s="10">
        <f>IF(OR(D3551="", F3551=""), "", F3551 * VLOOKUP(D3551, Products!A:E, 5, FALSE) * (1 - G3551))</f>
        <v>2330.7399999999998</v>
      </c>
      <c r="J3551" s="10"/>
    </row>
    <row r="3552" spans="1:10" ht="15.75" customHeight="1" x14ac:dyDescent="0.3">
      <c r="A3552" s="5" t="s">
        <v>4419</v>
      </c>
      <c r="B3552" s="11">
        <v>45863</v>
      </c>
      <c r="C3552" s="5" t="s">
        <v>872</v>
      </c>
      <c r="D3552" s="5" t="s">
        <v>47</v>
      </c>
      <c r="E3552" s="5" t="s">
        <v>21</v>
      </c>
      <c r="F3552" s="5">
        <v>1</v>
      </c>
      <c r="G3552" s="19">
        <v>0.1</v>
      </c>
      <c r="H3552" s="5" t="s">
        <v>697</v>
      </c>
      <c r="I3552" s="10">
        <f>IF(OR(D3552="", F3552=""), "", F3552 * VLOOKUP(D3552, Products!A:E, 5, FALSE) * (1 - G3552))</f>
        <v>736.88400000000001</v>
      </c>
      <c r="J3552" s="10"/>
    </row>
    <row r="3553" spans="1:10" ht="15.75" customHeight="1" x14ac:dyDescent="0.3">
      <c r="A3553" s="5" t="s">
        <v>4420</v>
      </c>
      <c r="B3553" s="11">
        <v>45887</v>
      </c>
      <c r="C3553" s="5" t="s">
        <v>600</v>
      </c>
      <c r="D3553" s="5" t="s">
        <v>232</v>
      </c>
      <c r="E3553" s="5" t="s">
        <v>33</v>
      </c>
      <c r="F3553" s="5">
        <v>5</v>
      </c>
      <c r="G3553" s="19">
        <v>0</v>
      </c>
      <c r="H3553" s="5" t="s">
        <v>637</v>
      </c>
      <c r="I3553" s="10">
        <f>IF(OR(D3553="", F3553=""), "", F3553 * VLOOKUP(D3553, Products!A:E, 5, FALSE) * (1 - G3553))</f>
        <v>9763.25</v>
      </c>
      <c r="J3553" s="10"/>
    </row>
    <row r="3554" spans="1:10" ht="15.75" customHeight="1" x14ac:dyDescent="0.3">
      <c r="A3554" s="5" t="s">
        <v>4421</v>
      </c>
      <c r="B3554" s="11">
        <v>45344</v>
      </c>
      <c r="C3554" s="5" t="s">
        <v>695</v>
      </c>
      <c r="D3554" s="5" t="s">
        <v>175</v>
      </c>
      <c r="E3554" s="5" t="s">
        <v>21</v>
      </c>
      <c r="F3554" s="5">
        <v>5</v>
      </c>
      <c r="G3554" s="19">
        <v>0.05</v>
      </c>
      <c r="H3554" s="5" t="s">
        <v>637</v>
      </c>
      <c r="I3554" s="10">
        <f>IF(OR(D3554="", F3554=""), "", F3554 * VLOOKUP(D3554, Products!A:E, 5, FALSE) * (1 - G3554))</f>
        <v>6043.0924999999997</v>
      </c>
      <c r="J3554" s="10"/>
    </row>
    <row r="3555" spans="1:10" ht="15.75" customHeight="1" x14ac:dyDescent="0.3">
      <c r="A3555" s="5" t="s">
        <v>4422</v>
      </c>
      <c r="B3555" s="11">
        <v>45248</v>
      </c>
      <c r="C3555" s="5" t="s">
        <v>69</v>
      </c>
      <c r="D3555" s="5" t="s">
        <v>140</v>
      </c>
      <c r="E3555" s="5" t="s">
        <v>29</v>
      </c>
      <c r="F3555" s="5">
        <v>3</v>
      </c>
      <c r="G3555" s="19">
        <v>0.05</v>
      </c>
      <c r="H3555" s="5" t="s">
        <v>697</v>
      </c>
      <c r="I3555" s="10">
        <f>IF(OR(D3555="", F3555=""), "", F3555 * VLOOKUP(D3555, Products!A:E, 5, FALSE) * (1 - G3555))</f>
        <v>72.874499999999998</v>
      </c>
      <c r="J3555" s="10"/>
    </row>
    <row r="3556" spans="1:10" ht="15.75" customHeight="1" x14ac:dyDescent="0.3">
      <c r="A3556" s="5" t="s">
        <v>4423</v>
      </c>
      <c r="B3556" s="11">
        <v>45577</v>
      </c>
      <c r="C3556" s="5" t="s">
        <v>652</v>
      </c>
      <c r="D3556" s="5" t="s">
        <v>115</v>
      </c>
      <c r="E3556" s="5" t="s">
        <v>37</v>
      </c>
      <c r="F3556" s="5">
        <v>5</v>
      </c>
      <c r="G3556" s="19">
        <v>0.1</v>
      </c>
      <c r="H3556" s="5" t="s">
        <v>637</v>
      </c>
      <c r="I3556" s="10">
        <f>IF(OR(D3556="", F3556=""), "", F3556 * VLOOKUP(D3556, Products!A:E, 5, FALSE) * (1 - G3556))</f>
        <v>5607.4949999999999</v>
      </c>
      <c r="J3556" s="10"/>
    </row>
    <row r="3557" spans="1:10" ht="15.75" customHeight="1" x14ac:dyDescent="0.3">
      <c r="A3557" s="5" t="s">
        <v>4424</v>
      </c>
      <c r="B3557" s="11">
        <v>45711</v>
      </c>
      <c r="C3557" s="5" t="s">
        <v>317</v>
      </c>
      <c r="D3557" s="5" t="s">
        <v>188</v>
      </c>
      <c r="E3557" s="5" t="s">
        <v>25</v>
      </c>
      <c r="F3557" s="5">
        <v>3</v>
      </c>
      <c r="G3557" s="19">
        <v>0.15</v>
      </c>
      <c r="H3557" s="5" t="s">
        <v>637</v>
      </c>
      <c r="I3557" s="10">
        <f>IF(OR(D3557="", F3557=""), "", F3557 * VLOOKUP(D3557, Products!A:E, 5, FALSE) * (1 - G3557))</f>
        <v>3786.8774999999996</v>
      </c>
      <c r="J3557" s="10"/>
    </row>
    <row r="3558" spans="1:10" ht="15.75" customHeight="1" x14ac:dyDescent="0.3">
      <c r="A3558" s="5" t="s">
        <v>4425</v>
      </c>
      <c r="B3558" s="11">
        <v>45326</v>
      </c>
      <c r="C3558" s="5" t="s">
        <v>165</v>
      </c>
      <c r="D3558" s="5" t="s">
        <v>89</v>
      </c>
      <c r="E3558" s="5" t="s">
        <v>29</v>
      </c>
      <c r="F3558" s="5">
        <v>5</v>
      </c>
      <c r="G3558" s="19">
        <v>0.15</v>
      </c>
      <c r="H3558" s="5" t="s">
        <v>637</v>
      </c>
      <c r="I3558" s="10">
        <f>IF(OR(D3558="", F3558=""), "", F3558 * VLOOKUP(D3558, Products!A:E, 5, FALSE) * (1 - G3558))</f>
        <v>4822.8999999999996</v>
      </c>
      <c r="J3558" s="10"/>
    </row>
    <row r="3559" spans="1:10" ht="15.75" customHeight="1" x14ac:dyDescent="0.3">
      <c r="A3559" s="5" t="s">
        <v>4426</v>
      </c>
      <c r="B3559" s="11">
        <v>45455</v>
      </c>
      <c r="C3559" s="5" t="s">
        <v>674</v>
      </c>
      <c r="D3559" s="5" t="s">
        <v>175</v>
      </c>
      <c r="E3559" s="5" t="s">
        <v>33</v>
      </c>
      <c r="F3559" s="5">
        <v>3</v>
      </c>
      <c r="G3559" s="19">
        <v>0.1</v>
      </c>
      <c r="H3559" s="5" t="s">
        <v>697</v>
      </c>
      <c r="I3559" s="10">
        <f>IF(OR(D3559="", F3559=""), "", F3559 * VLOOKUP(D3559, Products!A:E, 5, FALSE) * (1 - G3559))</f>
        <v>3435.0210000000002</v>
      </c>
      <c r="J3559" s="10"/>
    </row>
    <row r="3560" spans="1:10" ht="15.75" customHeight="1" x14ac:dyDescent="0.3">
      <c r="A3560" s="5" t="s">
        <v>4427</v>
      </c>
      <c r="B3560" s="11">
        <v>45425</v>
      </c>
      <c r="C3560" s="5" t="s">
        <v>292</v>
      </c>
      <c r="D3560" s="5" t="s">
        <v>50</v>
      </c>
      <c r="E3560" s="5" t="s">
        <v>33</v>
      </c>
      <c r="F3560" s="5">
        <v>3</v>
      </c>
      <c r="G3560" s="19">
        <v>0.1</v>
      </c>
      <c r="H3560" s="5" t="s">
        <v>454</v>
      </c>
      <c r="I3560" s="10">
        <f>IF(OR(D3560="", F3560=""), "", F3560 * VLOOKUP(D3560, Products!A:E, 5, FALSE) * (1 - G3560))</f>
        <v>911.601</v>
      </c>
      <c r="J3560" s="10"/>
    </row>
    <row r="3561" spans="1:10" ht="15.75" customHeight="1" x14ac:dyDescent="0.3">
      <c r="A3561" s="5" t="s">
        <v>4428</v>
      </c>
      <c r="B3561" s="11">
        <v>45320</v>
      </c>
      <c r="C3561" s="5" t="s">
        <v>676</v>
      </c>
      <c r="D3561" s="5" t="s">
        <v>89</v>
      </c>
      <c r="E3561" s="5" t="s">
        <v>29</v>
      </c>
      <c r="F3561" s="5">
        <v>5</v>
      </c>
      <c r="G3561" s="19">
        <v>0.15</v>
      </c>
      <c r="H3561" s="5" t="s">
        <v>454</v>
      </c>
      <c r="I3561" s="10">
        <f>IF(OR(D3561="", F3561=""), "", F3561 * VLOOKUP(D3561, Products!A:E, 5, FALSE) * (1 - G3561))</f>
        <v>4822.8999999999996</v>
      </c>
      <c r="J3561" s="10"/>
    </row>
    <row r="3562" spans="1:10" ht="15.75" customHeight="1" x14ac:dyDescent="0.3">
      <c r="A3562" s="5" t="s">
        <v>4429</v>
      </c>
      <c r="B3562" s="11">
        <v>45514</v>
      </c>
      <c r="C3562" s="5" t="s">
        <v>474</v>
      </c>
      <c r="D3562" s="5" t="s">
        <v>193</v>
      </c>
      <c r="E3562" s="5" t="s">
        <v>37</v>
      </c>
      <c r="F3562" s="5">
        <v>3</v>
      </c>
      <c r="G3562" s="19">
        <v>0.05</v>
      </c>
      <c r="H3562" s="5" t="s">
        <v>697</v>
      </c>
      <c r="I3562" s="10">
        <f>IF(OR(D3562="", F3562=""), "", F3562 * VLOOKUP(D3562, Products!A:E, 5, FALSE) * (1 - G3562))</f>
        <v>83.333999999999989</v>
      </c>
      <c r="J3562" s="10"/>
    </row>
    <row r="3563" spans="1:10" ht="15.75" customHeight="1" x14ac:dyDescent="0.3">
      <c r="A3563" s="5" t="s">
        <v>4430</v>
      </c>
      <c r="B3563" s="11">
        <v>45896</v>
      </c>
      <c r="C3563" s="5" t="s">
        <v>458</v>
      </c>
      <c r="D3563" s="5" t="s">
        <v>200</v>
      </c>
      <c r="E3563" s="5" t="s">
        <v>37</v>
      </c>
      <c r="F3563" s="5">
        <v>1</v>
      </c>
      <c r="G3563" s="19">
        <v>0</v>
      </c>
      <c r="H3563" s="5" t="s">
        <v>637</v>
      </c>
      <c r="I3563" s="10">
        <f>IF(OR(D3563="", F3563=""), "", F3563 * VLOOKUP(D3563, Products!A:E, 5, FALSE) * (1 - G3563))</f>
        <v>1095.72</v>
      </c>
      <c r="J3563" s="10"/>
    </row>
    <row r="3564" spans="1:10" ht="15.75" customHeight="1" x14ac:dyDescent="0.3">
      <c r="A3564" s="5" t="s">
        <v>4431</v>
      </c>
      <c r="B3564" s="11">
        <v>45252</v>
      </c>
      <c r="C3564" s="5" t="s">
        <v>488</v>
      </c>
      <c r="D3564" s="5" t="s">
        <v>237</v>
      </c>
      <c r="E3564" s="5" t="s">
        <v>21</v>
      </c>
      <c r="F3564" s="5">
        <v>2</v>
      </c>
      <c r="G3564" s="19">
        <v>0</v>
      </c>
      <c r="H3564" s="5" t="s">
        <v>776</v>
      </c>
      <c r="I3564" s="10">
        <f>IF(OR(D3564="", F3564=""), "", F3564 * VLOOKUP(D3564, Products!A:E, 5, FALSE) * (1 - G3564))</f>
        <v>733.86</v>
      </c>
      <c r="J3564" s="10"/>
    </row>
    <row r="3565" spans="1:10" ht="15.75" customHeight="1" x14ac:dyDescent="0.3">
      <c r="A3565" s="5" t="s">
        <v>4432</v>
      </c>
      <c r="B3565" s="11">
        <v>45765</v>
      </c>
      <c r="C3565" s="5" t="s">
        <v>144</v>
      </c>
      <c r="D3565" s="5" t="s">
        <v>200</v>
      </c>
      <c r="E3565" s="5" t="s">
        <v>25</v>
      </c>
      <c r="F3565" s="5">
        <v>3</v>
      </c>
      <c r="G3565" s="19">
        <v>0.1</v>
      </c>
      <c r="H3565" s="5" t="s">
        <v>697</v>
      </c>
      <c r="I3565" s="10">
        <f>IF(OR(D3565="", F3565=""), "", F3565 * VLOOKUP(D3565, Products!A:E, 5, FALSE) * (1 - G3565))</f>
        <v>2958.444</v>
      </c>
      <c r="J3565" s="10"/>
    </row>
    <row r="3566" spans="1:10" ht="15.75" customHeight="1" x14ac:dyDescent="0.3">
      <c r="A3566" s="5" t="s">
        <v>4433</v>
      </c>
      <c r="B3566" s="11">
        <v>45662</v>
      </c>
      <c r="C3566" s="5" t="s">
        <v>718</v>
      </c>
      <c r="D3566" s="5" t="s">
        <v>206</v>
      </c>
      <c r="E3566" s="5" t="s">
        <v>25</v>
      </c>
      <c r="F3566" s="5">
        <v>1</v>
      </c>
      <c r="G3566" s="19">
        <v>0.05</v>
      </c>
      <c r="H3566" s="5" t="s">
        <v>697</v>
      </c>
      <c r="I3566" s="10">
        <f>IF(OR(D3566="", F3566=""), "", F3566 * VLOOKUP(D3566, Products!A:E, 5, FALSE) * (1 - G3566))</f>
        <v>289.47449999999998</v>
      </c>
      <c r="J3566" s="10"/>
    </row>
    <row r="3567" spans="1:10" ht="15.75" customHeight="1" x14ac:dyDescent="0.3">
      <c r="A3567" s="5" t="s">
        <v>4434</v>
      </c>
      <c r="B3567" s="11">
        <v>45675</v>
      </c>
      <c r="C3567" s="5" t="s">
        <v>762</v>
      </c>
      <c r="D3567" s="5" t="s">
        <v>65</v>
      </c>
      <c r="E3567" s="5" t="s">
        <v>21</v>
      </c>
      <c r="F3567" s="5">
        <v>3</v>
      </c>
      <c r="G3567" s="19">
        <v>0.1</v>
      </c>
      <c r="H3567" s="5" t="s">
        <v>776</v>
      </c>
      <c r="I3567" s="10">
        <f>IF(OR(D3567="", F3567=""), "", F3567 * VLOOKUP(D3567, Products!A:E, 5, FALSE) * (1 - G3567))</f>
        <v>3980.1239999999998</v>
      </c>
      <c r="J3567" s="10"/>
    </row>
    <row r="3568" spans="1:10" ht="15.75" customHeight="1" x14ac:dyDescent="0.3">
      <c r="A3568" s="5" t="s">
        <v>4435</v>
      </c>
      <c r="B3568" s="11">
        <v>45628</v>
      </c>
      <c r="C3568" s="5" t="s">
        <v>365</v>
      </c>
      <c r="D3568" s="5" t="s">
        <v>217</v>
      </c>
      <c r="E3568" s="5" t="s">
        <v>21</v>
      </c>
      <c r="F3568" s="5">
        <v>3</v>
      </c>
      <c r="G3568" s="19">
        <v>0.1</v>
      </c>
      <c r="H3568" s="5" t="s">
        <v>637</v>
      </c>
      <c r="I3568" s="10">
        <f>IF(OR(D3568="", F3568=""), "", F3568 * VLOOKUP(D3568, Products!A:E, 5, FALSE) * (1 - G3568))</f>
        <v>1155.7350000000001</v>
      </c>
      <c r="J3568" s="10"/>
    </row>
    <row r="3569" spans="1:10" ht="15.75" customHeight="1" x14ac:dyDescent="0.3">
      <c r="A3569" s="5" t="s">
        <v>4436</v>
      </c>
      <c r="B3569" s="11">
        <v>45796</v>
      </c>
      <c r="C3569" s="5" t="s">
        <v>129</v>
      </c>
      <c r="D3569" s="5" t="s">
        <v>103</v>
      </c>
      <c r="E3569" s="5" t="s">
        <v>37</v>
      </c>
      <c r="F3569" s="5">
        <v>2</v>
      </c>
      <c r="G3569" s="19">
        <v>0.15</v>
      </c>
      <c r="H3569" s="5" t="s">
        <v>697</v>
      </c>
      <c r="I3569" s="10">
        <f>IF(OR(D3569="", F3569=""), "", F3569 * VLOOKUP(D3569, Products!A:E, 5, FALSE) * (1 - G3569))</f>
        <v>459.76499999999999</v>
      </c>
      <c r="J3569" s="10"/>
    </row>
    <row r="3570" spans="1:10" ht="15.75" customHeight="1" x14ac:dyDescent="0.3">
      <c r="A3570" s="5" t="s">
        <v>4437</v>
      </c>
      <c r="B3570" s="11">
        <v>45876</v>
      </c>
      <c r="C3570" s="5" t="s">
        <v>795</v>
      </c>
      <c r="D3570" s="5" t="s">
        <v>119</v>
      </c>
      <c r="E3570" s="5" t="s">
        <v>21</v>
      </c>
      <c r="F3570" s="5">
        <v>3</v>
      </c>
      <c r="G3570" s="19">
        <v>0.1</v>
      </c>
      <c r="H3570" s="5" t="s">
        <v>454</v>
      </c>
      <c r="I3570" s="10">
        <f>IF(OR(D3570="", F3570=""), "", F3570 * VLOOKUP(D3570, Products!A:E, 5, FALSE) * (1 - G3570))</f>
        <v>2915.703</v>
      </c>
      <c r="J3570" s="10"/>
    </row>
    <row r="3571" spans="1:10" ht="15.75" customHeight="1" x14ac:dyDescent="0.3">
      <c r="A3571" s="5" t="s">
        <v>4438</v>
      </c>
      <c r="B3571" s="11">
        <v>45534</v>
      </c>
      <c r="C3571" s="5" t="s">
        <v>661</v>
      </c>
      <c r="D3571" s="5" t="s">
        <v>47</v>
      </c>
      <c r="E3571" s="5" t="s">
        <v>37</v>
      </c>
      <c r="F3571" s="5">
        <v>5</v>
      </c>
      <c r="G3571" s="19">
        <v>0.15</v>
      </c>
      <c r="H3571" s="5" t="s">
        <v>637</v>
      </c>
      <c r="I3571" s="10">
        <f>IF(OR(D3571="", F3571=""), "", F3571 * VLOOKUP(D3571, Products!A:E, 5, FALSE) * (1 - G3571))</f>
        <v>3479.73</v>
      </c>
      <c r="J3571" s="10"/>
    </row>
    <row r="3572" spans="1:10" ht="15.75" customHeight="1" x14ac:dyDescent="0.3">
      <c r="A3572" s="5" t="s">
        <v>4439</v>
      </c>
      <c r="B3572" s="11">
        <v>45658</v>
      </c>
      <c r="C3572" s="5" t="s">
        <v>718</v>
      </c>
      <c r="D3572" s="5" t="s">
        <v>249</v>
      </c>
      <c r="E3572" s="5" t="s">
        <v>37</v>
      </c>
      <c r="F3572" s="5">
        <v>4</v>
      </c>
      <c r="G3572" s="19">
        <v>0.05</v>
      </c>
      <c r="H3572" s="5" t="s">
        <v>637</v>
      </c>
      <c r="I3572" s="10">
        <f>IF(OR(D3572="", F3572=""), "", F3572 * VLOOKUP(D3572, Products!A:E, 5, FALSE) * (1 - G3572))</f>
        <v>6633.3179999999993</v>
      </c>
      <c r="J3572" s="10"/>
    </row>
    <row r="3573" spans="1:10" ht="15.75" customHeight="1" x14ac:dyDescent="0.3">
      <c r="A3573" s="5" t="s">
        <v>4440</v>
      </c>
      <c r="B3573" s="11">
        <v>45861</v>
      </c>
      <c r="C3573" s="5" t="s">
        <v>802</v>
      </c>
      <c r="D3573" s="5" t="s">
        <v>134</v>
      </c>
      <c r="E3573" s="5" t="s">
        <v>25</v>
      </c>
      <c r="F3573" s="5">
        <v>4</v>
      </c>
      <c r="G3573" s="19">
        <v>0.15</v>
      </c>
      <c r="H3573" s="5" t="s">
        <v>637</v>
      </c>
      <c r="I3573" s="10">
        <f>IF(OR(D3573="", F3573=""), "", F3573 * VLOOKUP(D3573, Products!A:E, 5, FALSE) * (1 - G3573))</f>
        <v>4172.616</v>
      </c>
      <c r="J3573" s="10"/>
    </row>
    <row r="3574" spans="1:10" ht="15.75" customHeight="1" x14ac:dyDescent="0.3">
      <c r="A3574" s="5" t="s">
        <v>4441</v>
      </c>
      <c r="B3574" s="11">
        <v>45537</v>
      </c>
      <c r="C3574" s="5" t="s">
        <v>829</v>
      </c>
      <c r="D3574" s="5" t="s">
        <v>77</v>
      </c>
      <c r="E3574" s="5" t="s">
        <v>29</v>
      </c>
      <c r="F3574" s="5">
        <v>4</v>
      </c>
      <c r="G3574" s="19">
        <v>0.05</v>
      </c>
      <c r="H3574" s="5" t="s">
        <v>776</v>
      </c>
      <c r="I3574" s="10">
        <f>IF(OR(D3574="", F3574=""), "", F3574 * VLOOKUP(D3574, Products!A:E, 5, FALSE) * (1 - G3574))</f>
        <v>944.56599999999992</v>
      </c>
      <c r="J3574" s="10"/>
    </row>
    <row r="3575" spans="1:10" ht="15.75" customHeight="1" x14ac:dyDescent="0.3">
      <c r="A3575" s="5" t="s">
        <v>4442</v>
      </c>
      <c r="B3575" s="11">
        <v>45636</v>
      </c>
      <c r="C3575" s="5" t="s">
        <v>281</v>
      </c>
      <c r="D3575" s="5" t="s">
        <v>280</v>
      </c>
      <c r="E3575" s="5" t="s">
        <v>29</v>
      </c>
      <c r="F3575" s="5">
        <v>5</v>
      </c>
      <c r="G3575" s="19">
        <v>0.05</v>
      </c>
      <c r="H3575" s="5" t="s">
        <v>454</v>
      </c>
      <c r="I3575" s="10">
        <f>IF(OR(D3575="", F3575=""), "", F3575 * VLOOKUP(D3575, Products!A:E, 5, FALSE) * (1 - G3575))</f>
        <v>5777.7099999999991</v>
      </c>
      <c r="J3575" s="10"/>
    </row>
    <row r="3576" spans="1:10" ht="15.75" customHeight="1" x14ac:dyDescent="0.3">
      <c r="A3576" s="5" t="s">
        <v>4443</v>
      </c>
      <c r="B3576" s="11">
        <v>45737</v>
      </c>
      <c r="C3576" s="5" t="s">
        <v>443</v>
      </c>
      <c r="D3576" s="5" t="s">
        <v>47</v>
      </c>
      <c r="E3576" s="5" t="s">
        <v>25</v>
      </c>
      <c r="F3576" s="5">
        <v>1</v>
      </c>
      <c r="G3576" s="19">
        <v>0.05</v>
      </c>
      <c r="H3576" s="5" t="s">
        <v>697</v>
      </c>
      <c r="I3576" s="10">
        <f>IF(OR(D3576="", F3576=""), "", F3576 * VLOOKUP(D3576, Products!A:E, 5, FALSE) * (1 - G3576))</f>
        <v>777.822</v>
      </c>
      <c r="J3576" s="10"/>
    </row>
    <row r="3577" spans="1:10" ht="15.75" customHeight="1" x14ac:dyDescent="0.3">
      <c r="A3577" s="5" t="s">
        <v>4444</v>
      </c>
      <c r="B3577" s="11">
        <v>45444</v>
      </c>
      <c r="C3577" s="5" t="s">
        <v>819</v>
      </c>
      <c r="D3577" s="5" t="s">
        <v>147</v>
      </c>
      <c r="E3577" s="5" t="s">
        <v>37</v>
      </c>
      <c r="F3577" s="5">
        <v>1</v>
      </c>
      <c r="G3577" s="19">
        <v>0.05</v>
      </c>
      <c r="H3577" s="5" t="s">
        <v>697</v>
      </c>
      <c r="I3577" s="10">
        <f>IF(OR(D3577="", F3577=""), "", F3577 * VLOOKUP(D3577, Products!A:E, 5, FALSE) * (1 - G3577))</f>
        <v>1784.5464999999999</v>
      </c>
      <c r="J3577" s="10"/>
    </row>
    <row r="3578" spans="1:10" ht="15.75" customHeight="1" x14ac:dyDescent="0.3">
      <c r="A3578" s="5" t="s">
        <v>4445</v>
      </c>
      <c r="B3578" s="11">
        <v>45317</v>
      </c>
      <c r="C3578" s="5" t="s">
        <v>177</v>
      </c>
      <c r="D3578" s="5" t="s">
        <v>180</v>
      </c>
      <c r="E3578" s="5" t="s">
        <v>25</v>
      </c>
      <c r="F3578" s="5">
        <v>2</v>
      </c>
      <c r="G3578" s="19">
        <v>0.05</v>
      </c>
      <c r="H3578" s="5" t="s">
        <v>776</v>
      </c>
      <c r="I3578" s="10">
        <f>IF(OR(D3578="", F3578=""), "", F3578 * VLOOKUP(D3578, Products!A:E, 5, FALSE) * (1 - G3578))</f>
        <v>1280.1819999999998</v>
      </c>
      <c r="J3578" s="10"/>
    </row>
    <row r="3579" spans="1:10" ht="15.75" customHeight="1" x14ac:dyDescent="0.3">
      <c r="A3579" s="5" t="s">
        <v>4446</v>
      </c>
      <c r="B3579" s="11">
        <v>45344</v>
      </c>
      <c r="C3579" s="5" t="s">
        <v>750</v>
      </c>
      <c r="D3579" s="5" t="s">
        <v>256</v>
      </c>
      <c r="E3579" s="5" t="s">
        <v>29</v>
      </c>
      <c r="F3579" s="5">
        <v>5</v>
      </c>
      <c r="G3579" s="19">
        <v>0</v>
      </c>
      <c r="H3579" s="5" t="s">
        <v>776</v>
      </c>
      <c r="I3579" s="10">
        <f>IF(OR(D3579="", F3579=""), "", F3579 * VLOOKUP(D3579, Products!A:E, 5, FALSE) * (1 - G3579))</f>
        <v>8175.05</v>
      </c>
      <c r="J3579" s="10"/>
    </row>
    <row r="3580" spans="1:10" ht="15.75" customHeight="1" x14ac:dyDescent="0.3">
      <c r="A3580" s="5" t="s">
        <v>4447</v>
      </c>
      <c r="B3580" s="11">
        <v>45191</v>
      </c>
      <c r="C3580" s="5" t="s">
        <v>528</v>
      </c>
      <c r="D3580" s="5" t="s">
        <v>217</v>
      </c>
      <c r="E3580" s="5" t="s">
        <v>21</v>
      </c>
      <c r="F3580" s="5">
        <v>1</v>
      </c>
      <c r="G3580" s="19">
        <v>0.05</v>
      </c>
      <c r="H3580" s="5" t="s">
        <v>637</v>
      </c>
      <c r="I3580" s="10">
        <f>IF(OR(D3580="", F3580=""), "", F3580 * VLOOKUP(D3580, Products!A:E, 5, FALSE) * (1 - G3580))</f>
        <v>406.64749999999998</v>
      </c>
      <c r="J3580" s="10"/>
    </row>
    <row r="3581" spans="1:10" ht="15.75" customHeight="1" x14ac:dyDescent="0.3">
      <c r="A3581" s="5" t="s">
        <v>4448</v>
      </c>
      <c r="B3581" s="11">
        <v>45512</v>
      </c>
      <c r="C3581" s="5" t="s">
        <v>420</v>
      </c>
      <c r="D3581" s="5" t="s">
        <v>82</v>
      </c>
      <c r="E3581" s="5" t="s">
        <v>33</v>
      </c>
      <c r="F3581" s="5">
        <v>2</v>
      </c>
      <c r="G3581" s="19">
        <v>0.05</v>
      </c>
      <c r="H3581" s="5" t="s">
        <v>637</v>
      </c>
      <c r="I3581" s="10">
        <f>IF(OR(D3581="", F3581=""), "", F3581 * VLOOKUP(D3581, Products!A:E, 5, FALSE) * (1 - G3581))</f>
        <v>2266.8709999999996</v>
      </c>
      <c r="J3581" s="10"/>
    </row>
    <row r="3582" spans="1:10" ht="15.75" customHeight="1" x14ac:dyDescent="0.3">
      <c r="A3582" s="5" t="s">
        <v>4449</v>
      </c>
      <c r="B3582" s="11">
        <v>45378</v>
      </c>
      <c r="C3582" s="5" t="s">
        <v>499</v>
      </c>
      <c r="D3582" s="5" t="s">
        <v>280</v>
      </c>
      <c r="E3582" s="5" t="s">
        <v>21</v>
      </c>
      <c r="F3582" s="5">
        <v>5</v>
      </c>
      <c r="G3582" s="19">
        <v>0.05</v>
      </c>
      <c r="H3582" s="5" t="s">
        <v>637</v>
      </c>
      <c r="I3582" s="10">
        <f>IF(OR(D3582="", F3582=""), "", F3582 * VLOOKUP(D3582, Products!A:E, 5, FALSE) * (1 - G3582))</f>
        <v>5777.7099999999991</v>
      </c>
      <c r="J3582" s="10"/>
    </row>
    <row r="3583" spans="1:10" ht="15.75" customHeight="1" x14ac:dyDescent="0.3">
      <c r="A3583" s="5" t="s">
        <v>4450</v>
      </c>
      <c r="B3583" s="11">
        <v>45526</v>
      </c>
      <c r="C3583" s="5" t="s">
        <v>554</v>
      </c>
      <c r="D3583" s="5" t="s">
        <v>82</v>
      </c>
      <c r="E3583" s="5" t="s">
        <v>37</v>
      </c>
      <c r="F3583" s="5">
        <v>1</v>
      </c>
      <c r="G3583" s="19">
        <v>0.15</v>
      </c>
      <c r="H3583" s="5" t="s">
        <v>697</v>
      </c>
      <c r="I3583" s="10">
        <f>IF(OR(D3583="", F3583=""), "", F3583 * VLOOKUP(D3583, Products!A:E, 5, FALSE) * (1 - G3583))</f>
        <v>1014.1264999999999</v>
      </c>
      <c r="J3583" s="10"/>
    </row>
    <row r="3584" spans="1:10" ht="15.75" customHeight="1" x14ac:dyDescent="0.3">
      <c r="A3584" s="5" t="s">
        <v>4451</v>
      </c>
      <c r="B3584" s="11">
        <v>45302</v>
      </c>
      <c r="C3584" s="5" t="s">
        <v>338</v>
      </c>
      <c r="D3584" s="5" t="s">
        <v>74</v>
      </c>
      <c r="E3584" s="5" t="s">
        <v>29</v>
      </c>
      <c r="F3584" s="5">
        <v>4</v>
      </c>
      <c r="G3584" s="19">
        <v>0.15</v>
      </c>
      <c r="H3584" s="5" t="s">
        <v>454</v>
      </c>
      <c r="I3584" s="10">
        <f>IF(OR(D3584="", F3584=""), "", F3584 * VLOOKUP(D3584, Products!A:E, 5, FALSE) * (1 - G3584))</f>
        <v>4060.0079999999994</v>
      </c>
      <c r="J3584" s="10"/>
    </row>
    <row r="3585" spans="1:10" ht="15.75" customHeight="1" x14ac:dyDescent="0.3">
      <c r="A3585" s="5" t="s">
        <v>4452</v>
      </c>
      <c r="B3585" s="11">
        <v>45341</v>
      </c>
      <c r="C3585" s="5" t="s">
        <v>416</v>
      </c>
      <c r="D3585" s="5" t="s">
        <v>140</v>
      </c>
      <c r="E3585" s="5" t="s">
        <v>29</v>
      </c>
      <c r="F3585" s="5">
        <v>5</v>
      </c>
      <c r="G3585" s="19">
        <v>0.1</v>
      </c>
      <c r="H3585" s="5" t="s">
        <v>637</v>
      </c>
      <c r="I3585" s="10">
        <f>IF(OR(D3585="", F3585=""), "", F3585 * VLOOKUP(D3585, Products!A:E, 5, FALSE) * (1 - G3585))</f>
        <v>115.065</v>
      </c>
      <c r="J3585" s="10"/>
    </row>
    <row r="3586" spans="1:10" ht="15.75" customHeight="1" x14ac:dyDescent="0.3">
      <c r="A3586" s="5" t="s">
        <v>4453</v>
      </c>
      <c r="B3586" s="11">
        <v>45501</v>
      </c>
      <c r="C3586" s="5" t="s">
        <v>286</v>
      </c>
      <c r="D3586" s="5" t="s">
        <v>65</v>
      </c>
      <c r="E3586" s="5" t="s">
        <v>33</v>
      </c>
      <c r="F3586" s="5">
        <v>2</v>
      </c>
      <c r="G3586" s="19">
        <v>0</v>
      </c>
      <c r="H3586" s="5" t="s">
        <v>454</v>
      </c>
      <c r="I3586" s="10">
        <f>IF(OR(D3586="", F3586=""), "", F3586 * VLOOKUP(D3586, Products!A:E, 5, FALSE) * (1 - G3586))</f>
        <v>2948.24</v>
      </c>
      <c r="J3586" s="10"/>
    </row>
    <row r="3587" spans="1:10" ht="15.75" customHeight="1" x14ac:dyDescent="0.3">
      <c r="A3587" s="5" t="s">
        <v>4454</v>
      </c>
      <c r="B3587" s="11">
        <v>45662</v>
      </c>
      <c r="C3587" s="5" t="s">
        <v>296</v>
      </c>
      <c r="D3587" s="5" t="s">
        <v>70</v>
      </c>
      <c r="E3587" s="5" t="s">
        <v>37</v>
      </c>
      <c r="F3587" s="5">
        <v>1</v>
      </c>
      <c r="G3587" s="19">
        <v>0.15</v>
      </c>
      <c r="H3587" s="5" t="s">
        <v>637</v>
      </c>
      <c r="I3587" s="10">
        <f>IF(OR(D3587="", F3587=""), "", F3587 * VLOOKUP(D3587, Products!A:E, 5, FALSE) * (1 - G3587))</f>
        <v>104.7115</v>
      </c>
      <c r="J3587" s="10"/>
    </row>
    <row r="3588" spans="1:10" ht="15.75" customHeight="1" x14ac:dyDescent="0.3">
      <c r="A3588" s="5" t="s">
        <v>4455</v>
      </c>
      <c r="B3588" s="11">
        <v>45468</v>
      </c>
      <c r="C3588" s="5" t="s">
        <v>773</v>
      </c>
      <c r="D3588" s="5" t="s">
        <v>140</v>
      </c>
      <c r="E3588" s="5" t="s">
        <v>37</v>
      </c>
      <c r="F3588" s="5">
        <v>2</v>
      </c>
      <c r="G3588" s="19">
        <v>0</v>
      </c>
      <c r="H3588" s="5" t="s">
        <v>637</v>
      </c>
      <c r="I3588" s="10">
        <f>IF(OR(D3588="", F3588=""), "", F3588 * VLOOKUP(D3588, Products!A:E, 5, FALSE) * (1 - G3588))</f>
        <v>51.14</v>
      </c>
      <c r="J3588" s="10"/>
    </row>
    <row r="3589" spans="1:10" ht="15.75" customHeight="1" x14ac:dyDescent="0.3">
      <c r="A3589" s="5" t="s">
        <v>4456</v>
      </c>
      <c r="B3589" s="11">
        <v>45415</v>
      </c>
      <c r="C3589" s="5" t="s">
        <v>159</v>
      </c>
      <c r="D3589" s="5" t="s">
        <v>128</v>
      </c>
      <c r="E3589" s="5" t="s">
        <v>37</v>
      </c>
      <c r="F3589" s="5">
        <v>2</v>
      </c>
      <c r="G3589" s="19">
        <v>0.15</v>
      </c>
      <c r="H3589" s="5" t="s">
        <v>776</v>
      </c>
      <c r="I3589" s="10">
        <f>IF(OR(D3589="", F3589=""), "", F3589 * VLOOKUP(D3589, Products!A:E, 5, FALSE) * (1 - G3589))</f>
        <v>550.66399999999999</v>
      </c>
      <c r="J3589" s="10"/>
    </row>
    <row r="3590" spans="1:10" ht="15.75" customHeight="1" x14ac:dyDescent="0.3">
      <c r="A3590" s="5" t="s">
        <v>4457</v>
      </c>
      <c r="B3590" s="11">
        <v>45210</v>
      </c>
      <c r="C3590" s="5" t="s">
        <v>766</v>
      </c>
      <c r="D3590" s="5" t="s">
        <v>77</v>
      </c>
      <c r="E3590" s="5" t="s">
        <v>33</v>
      </c>
      <c r="F3590" s="5">
        <v>2</v>
      </c>
      <c r="G3590" s="19">
        <v>0</v>
      </c>
      <c r="H3590" s="5" t="s">
        <v>637</v>
      </c>
      <c r="I3590" s="10">
        <f>IF(OR(D3590="", F3590=""), "", F3590 * VLOOKUP(D3590, Products!A:E, 5, FALSE) * (1 - G3590))</f>
        <v>497.14</v>
      </c>
      <c r="J3590" s="10"/>
    </row>
    <row r="3591" spans="1:10" ht="15.75" customHeight="1" x14ac:dyDescent="0.3">
      <c r="A3591" s="5" t="s">
        <v>4458</v>
      </c>
      <c r="B3591" s="11">
        <v>45189</v>
      </c>
      <c r="C3591" s="5" t="s">
        <v>800</v>
      </c>
      <c r="D3591" s="5" t="s">
        <v>109</v>
      </c>
      <c r="E3591" s="5" t="s">
        <v>25</v>
      </c>
      <c r="F3591" s="5">
        <v>2</v>
      </c>
      <c r="G3591" s="19">
        <v>0.15</v>
      </c>
      <c r="H3591" s="5" t="s">
        <v>697</v>
      </c>
      <c r="I3591" s="10">
        <f>IF(OR(D3591="", F3591=""), "", F3591 * VLOOKUP(D3591, Products!A:E, 5, FALSE) * (1 - G3591))</f>
        <v>3159.875</v>
      </c>
      <c r="J3591" s="10"/>
    </row>
    <row r="3592" spans="1:10" ht="15.75" customHeight="1" x14ac:dyDescent="0.3">
      <c r="A3592" s="5" t="s">
        <v>4459</v>
      </c>
      <c r="B3592" s="11">
        <v>45695</v>
      </c>
      <c r="C3592" s="5" t="s">
        <v>699</v>
      </c>
      <c r="D3592" s="5" t="s">
        <v>89</v>
      </c>
      <c r="E3592" s="5" t="s">
        <v>37</v>
      </c>
      <c r="F3592" s="5">
        <v>2</v>
      </c>
      <c r="G3592" s="19">
        <v>0</v>
      </c>
      <c r="H3592" s="5" t="s">
        <v>454</v>
      </c>
      <c r="I3592" s="10">
        <f>IF(OR(D3592="", F3592=""), "", F3592 * VLOOKUP(D3592, Products!A:E, 5, FALSE) * (1 - G3592))</f>
        <v>2269.6</v>
      </c>
      <c r="J3592" s="10"/>
    </row>
    <row r="3593" spans="1:10" ht="15.75" customHeight="1" x14ac:dyDescent="0.3">
      <c r="A3593" s="5" t="s">
        <v>4460</v>
      </c>
      <c r="B3593" s="11">
        <v>45748</v>
      </c>
      <c r="C3593" s="5" t="s">
        <v>338</v>
      </c>
      <c r="D3593" s="5" t="s">
        <v>147</v>
      </c>
      <c r="E3593" s="5" t="s">
        <v>25</v>
      </c>
      <c r="F3593" s="5">
        <v>2</v>
      </c>
      <c r="G3593" s="19">
        <v>0.05</v>
      </c>
      <c r="H3593" s="5" t="s">
        <v>637</v>
      </c>
      <c r="I3593" s="10">
        <f>IF(OR(D3593="", F3593=""), "", F3593 * VLOOKUP(D3593, Products!A:E, 5, FALSE) * (1 - G3593))</f>
        <v>3569.0929999999998</v>
      </c>
      <c r="J3593" s="10"/>
    </row>
    <row r="3594" spans="1:10" ht="15.75" customHeight="1" x14ac:dyDescent="0.3">
      <c r="A3594" s="5" t="s">
        <v>4461</v>
      </c>
      <c r="B3594" s="11">
        <v>45611</v>
      </c>
      <c r="C3594" s="5" t="s">
        <v>326</v>
      </c>
      <c r="D3594" s="5" t="s">
        <v>280</v>
      </c>
      <c r="E3594" s="5" t="s">
        <v>21</v>
      </c>
      <c r="F3594" s="5">
        <v>4</v>
      </c>
      <c r="G3594" s="19">
        <v>0.1</v>
      </c>
      <c r="H3594" s="5" t="s">
        <v>776</v>
      </c>
      <c r="I3594" s="10">
        <f>IF(OR(D3594="", F3594=""), "", F3594 * VLOOKUP(D3594, Products!A:E, 5, FALSE) * (1 - G3594))</f>
        <v>4378.8959999999997</v>
      </c>
      <c r="J3594" s="10"/>
    </row>
    <row r="3595" spans="1:10" ht="15.75" customHeight="1" x14ac:dyDescent="0.3">
      <c r="A3595" s="5" t="s">
        <v>4462</v>
      </c>
      <c r="B3595" s="11">
        <v>45837</v>
      </c>
      <c r="C3595" s="5" t="s">
        <v>758</v>
      </c>
      <c r="D3595" s="5" t="s">
        <v>122</v>
      </c>
      <c r="E3595" s="5" t="s">
        <v>29</v>
      </c>
      <c r="F3595" s="5">
        <v>2</v>
      </c>
      <c r="G3595" s="19">
        <v>0.05</v>
      </c>
      <c r="H3595" s="5" t="s">
        <v>697</v>
      </c>
      <c r="I3595" s="10">
        <f>IF(OR(D3595="", F3595=""), "", F3595 * VLOOKUP(D3595, Products!A:E, 5, FALSE) * (1 - G3595))</f>
        <v>3349.5479999999998</v>
      </c>
      <c r="J3595" s="10"/>
    </row>
    <row r="3596" spans="1:10" ht="15.75" customHeight="1" x14ac:dyDescent="0.3">
      <c r="A3596" s="5" t="s">
        <v>4463</v>
      </c>
      <c r="B3596" s="11">
        <v>45772</v>
      </c>
      <c r="C3596" s="5" t="s">
        <v>322</v>
      </c>
      <c r="D3596" s="5" t="s">
        <v>153</v>
      </c>
      <c r="E3596" s="5" t="s">
        <v>29</v>
      </c>
      <c r="F3596" s="5">
        <v>3</v>
      </c>
      <c r="G3596" s="19">
        <v>0.05</v>
      </c>
      <c r="H3596" s="5" t="s">
        <v>697</v>
      </c>
      <c r="I3596" s="10">
        <f>IF(OR(D3596="", F3596=""), "", F3596 * VLOOKUP(D3596, Products!A:E, 5, FALSE) * (1 - G3596))</f>
        <v>4239.1185000000005</v>
      </c>
      <c r="J3596" s="10"/>
    </row>
    <row r="3597" spans="1:10" ht="15.75" customHeight="1" x14ac:dyDescent="0.3">
      <c r="A3597" s="5" t="s">
        <v>4464</v>
      </c>
      <c r="B3597" s="11">
        <v>45887</v>
      </c>
      <c r="C3597" s="5" t="s">
        <v>474</v>
      </c>
      <c r="D3597" s="5" t="s">
        <v>243</v>
      </c>
      <c r="E3597" s="5" t="s">
        <v>37</v>
      </c>
      <c r="F3597" s="5">
        <v>3</v>
      </c>
      <c r="G3597" s="19">
        <v>0.1</v>
      </c>
      <c r="H3597" s="5" t="s">
        <v>637</v>
      </c>
      <c r="I3597" s="10">
        <f>IF(OR(D3597="", F3597=""), "", F3597 * VLOOKUP(D3597, Products!A:E, 5, FALSE) * (1 - G3597))</f>
        <v>1460.5380000000002</v>
      </c>
      <c r="J3597" s="10"/>
    </row>
    <row r="3598" spans="1:10" ht="15.75" customHeight="1" x14ac:dyDescent="0.3">
      <c r="A3598" s="5" t="s">
        <v>4465</v>
      </c>
      <c r="B3598" s="11">
        <v>45325</v>
      </c>
      <c r="C3598" s="5" t="s">
        <v>261</v>
      </c>
      <c r="D3598" s="5" t="s">
        <v>212</v>
      </c>
      <c r="E3598" s="5" t="s">
        <v>33</v>
      </c>
      <c r="F3598" s="5">
        <v>4</v>
      </c>
      <c r="G3598" s="19">
        <v>0.15</v>
      </c>
      <c r="H3598" s="5" t="s">
        <v>697</v>
      </c>
      <c r="I3598" s="10">
        <f>IF(OR(D3598="", F3598=""), "", F3598 * VLOOKUP(D3598, Products!A:E, 5, FALSE) * (1 - G3598))</f>
        <v>6116.4979999999996</v>
      </c>
      <c r="J3598" s="10"/>
    </row>
    <row r="3599" spans="1:10" ht="15.75" customHeight="1" x14ac:dyDescent="0.3">
      <c r="A3599" s="5" t="s">
        <v>4466</v>
      </c>
      <c r="B3599" s="11">
        <v>45547</v>
      </c>
      <c r="C3599" s="5" t="s">
        <v>317</v>
      </c>
      <c r="D3599" s="5" t="s">
        <v>269</v>
      </c>
      <c r="E3599" s="5" t="s">
        <v>33</v>
      </c>
      <c r="F3599" s="5">
        <v>3</v>
      </c>
      <c r="G3599" s="19">
        <v>0.05</v>
      </c>
      <c r="H3599" s="5" t="s">
        <v>776</v>
      </c>
      <c r="I3599" s="10">
        <f>IF(OR(D3599="", F3599=""), "", F3599 * VLOOKUP(D3599, Products!A:E, 5, FALSE) * (1 - G3599))</f>
        <v>5355.3779999999997</v>
      </c>
      <c r="J3599" s="10"/>
    </row>
    <row r="3600" spans="1:10" ht="15.75" customHeight="1" x14ac:dyDescent="0.3">
      <c r="A3600" s="5" t="s">
        <v>4467</v>
      </c>
      <c r="B3600" s="11">
        <v>45756</v>
      </c>
      <c r="C3600" s="5" t="s">
        <v>705</v>
      </c>
      <c r="D3600" s="5" t="s">
        <v>61</v>
      </c>
      <c r="E3600" s="5" t="s">
        <v>29</v>
      </c>
      <c r="F3600" s="5">
        <v>3</v>
      </c>
      <c r="G3600" s="19">
        <v>0.1</v>
      </c>
      <c r="H3600" s="5" t="s">
        <v>637</v>
      </c>
      <c r="I3600" s="10">
        <f>IF(OR(D3600="", F3600=""), "", F3600 * VLOOKUP(D3600, Products!A:E, 5, FALSE) * (1 - G3600))</f>
        <v>858.73500000000013</v>
      </c>
      <c r="J3600" s="10"/>
    </row>
    <row r="3601" spans="1:10" ht="15.75" customHeight="1" x14ac:dyDescent="0.3">
      <c r="A3601" s="5" t="s">
        <v>4468</v>
      </c>
      <c r="B3601" s="11">
        <v>45363</v>
      </c>
      <c r="C3601" s="5" t="s">
        <v>736</v>
      </c>
      <c r="D3601" s="5" t="s">
        <v>47</v>
      </c>
      <c r="E3601" s="5" t="s">
        <v>21</v>
      </c>
      <c r="F3601" s="5">
        <v>2</v>
      </c>
      <c r="G3601" s="19">
        <v>0.15</v>
      </c>
      <c r="H3601" s="5" t="s">
        <v>637</v>
      </c>
      <c r="I3601" s="10">
        <f>IF(OR(D3601="", F3601=""), "", F3601 * VLOOKUP(D3601, Products!A:E, 5, FALSE) * (1 - G3601))</f>
        <v>1391.8920000000001</v>
      </c>
      <c r="J3601" s="10"/>
    </row>
    <row r="3602" spans="1:10" ht="15.75" customHeight="1" x14ac:dyDescent="0.3">
      <c r="A3602" s="5" t="s">
        <v>4469</v>
      </c>
      <c r="B3602" s="11">
        <v>45453</v>
      </c>
      <c r="C3602" s="5" t="s">
        <v>16</v>
      </c>
      <c r="D3602" s="5" t="s">
        <v>188</v>
      </c>
      <c r="E3602" s="5" t="s">
        <v>25</v>
      </c>
      <c r="F3602" s="5">
        <v>5</v>
      </c>
      <c r="G3602" s="19">
        <v>0.05</v>
      </c>
      <c r="H3602" s="5" t="s">
        <v>637</v>
      </c>
      <c r="I3602" s="10">
        <f>IF(OR(D3602="", F3602=""), "", F3602 * VLOOKUP(D3602, Products!A:E, 5, FALSE) * (1 - G3602))</f>
        <v>7053.9874999999993</v>
      </c>
      <c r="J3602" s="10"/>
    </row>
    <row r="3603" spans="1:10" ht="15.75" customHeight="1" x14ac:dyDescent="0.3">
      <c r="A3603" s="5" t="s">
        <v>4470</v>
      </c>
      <c r="B3603" s="11">
        <v>45711</v>
      </c>
      <c r="C3603" s="5" t="s">
        <v>181</v>
      </c>
      <c r="D3603" s="5" t="s">
        <v>61</v>
      </c>
      <c r="E3603" s="5" t="s">
        <v>25</v>
      </c>
      <c r="F3603" s="5">
        <v>1</v>
      </c>
      <c r="G3603" s="19">
        <v>0.1</v>
      </c>
      <c r="H3603" s="5" t="s">
        <v>697</v>
      </c>
      <c r="I3603" s="10">
        <f>IF(OR(D3603="", F3603=""), "", F3603 * VLOOKUP(D3603, Products!A:E, 5, FALSE) * (1 - G3603))</f>
        <v>286.245</v>
      </c>
      <c r="J3603" s="10"/>
    </row>
    <row r="3604" spans="1:10" ht="15.75" customHeight="1" x14ac:dyDescent="0.3">
      <c r="A3604" s="5" t="s">
        <v>4471</v>
      </c>
      <c r="B3604" s="11">
        <v>45480</v>
      </c>
      <c r="C3604" s="5" t="s">
        <v>602</v>
      </c>
      <c r="D3604" s="5" t="s">
        <v>140</v>
      </c>
      <c r="E3604" s="5" t="s">
        <v>37</v>
      </c>
      <c r="F3604" s="5">
        <v>4</v>
      </c>
      <c r="G3604" s="19">
        <v>0.15</v>
      </c>
      <c r="H3604" s="5" t="s">
        <v>776</v>
      </c>
      <c r="I3604" s="10">
        <f>IF(OR(D3604="", F3604=""), "", F3604 * VLOOKUP(D3604, Products!A:E, 5, FALSE) * (1 - G3604))</f>
        <v>86.938000000000002</v>
      </c>
      <c r="J3604" s="10"/>
    </row>
    <row r="3605" spans="1:10" ht="15.75" customHeight="1" x14ac:dyDescent="0.3">
      <c r="A3605" s="5" t="s">
        <v>4472</v>
      </c>
      <c r="B3605" s="11">
        <v>45788</v>
      </c>
      <c r="C3605" s="5" t="s">
        <v>368</v>
      </c>
      <c r="D3605" s="5" t="s">
        <v>217</v>
      </c>
      <c r="E3605" s="5" t="s">
        <v>33</v>
      </c>
      <c r="F3605" s="5">
        <v>3</v>
      </c>
      <c r="G3605" s="19">
        <v>0.05</v>
      </c>
      <c r="H3605" s="5" t="s">
        <v>697</v>
      </c>
      <c r="I3605" s="10">
        <f>IF(OR(D3605="", F3605=""), "", F3605 * VLOOKUP(D3605, Products!A:E, 5, FALSE) * (1 - G3605))</f>
        <v>1219.9425000000001</v>
      </c>
      <c r="J3605" s="10"/>
    </row>
    <row r="3606" spans="1:10" ht="15.75" customHeight="1" x14ac:dyDescent="0.3">
      <c r="A3606" s="5" t="s">
        <v>4473</v>
      </c>
      <c r="B3606" s="11">
        <v>45823</v>
      </c>
      <c r="C3606" s="5" t="s">
        <v>281</v>
      </c>
      <c r="D3606" s="5" t="s">
        <v>134</v>
      </c>
      <c r="E3606" s="5" t="s">
        <v>25</v>
      </c>
      <c r="F3606" s="5">
        <v>1</v>
      </c>
      <c r="G3606" s="19">
        <v>0</v>
      </c>
      <c r="H3606" s="5" t="s">
        <v>697</v>
      </c>
      <c r="I3606" s="10">
        <f>IF(OR(D3606="", F3606=""), "", F3606 * VLOOKUP(D3606, Products!A:E, 5, FALSE) * (1 - G3606))</f>
        <v>1227.24</v>
      </c>
      <c r="J3606" s="10"/>
    </row>
    <row r="3607" spans="1:10" ht="15.75" customHeight="1" x14ac:dyDescent="0.3">
      <c r="A3607" s="5" t="s">
        <v>4474</v>
      </c>
      <c r="B3607" s="11">
        <v>45698</v>
      </c>
      <c r="C3607" s="5" t="s">
        <v>519</v>
      </c>
      <c r="D3607" s="5" t="s">
        <v>153</v>
      </c>
      <c r="E3607" s="5" t="s">
        <v>33</v>
      </c>
      <c r="F3607" s="5">
        <v>1</v>
      </c>
      <c r="G3607" s="19">
        <v>0.05</v>
      </c>
      <c r="H3607" s="5" t="s">
        <v>697</v>
      </c>
      <c r="I3607" s="10">
        <f>IF(OR(D3607="", F3607=""), "", F3607 * VLOOKUP(D3607, Products!A:E, 5, FALSE) * (1 - G3607))</f>
        <v>1413.0395000000001</v>
      </c>
      <c r="J3607" s="10"/>
    </row>
    <row r="3608" spans="1:10" ht="15.75" customHeight="1" x14ac:dyDescent="0.3">
      <c r="A3608" s="5" t="s">
        <v>4475</v>
      </c>
      <c r="B3608" s="11">
        <v>45750</v>
      </c>
      <c r="C3608" s="5" t="s">
        <v>137</v>
      </c>
      <c r="D3608" s="5" t="s">
        <v>276</v>
      </c>
      <c r="E3608" s="5" t="s">
        <v>21</v>
      </c>
      <c r="F3608" s="5">
        <v>3</v>
      </c>
      <c r="G3608" s="19">
        <v>0.15</v>
      </c>
      <c r="H3608" s="5" t="s">
        <v>637</v>
      </c>
      <c r="I3608" s="10">
        <f>IF(OR(D3608="", F3608=""), "", F3608 * VLOOKUP(D3608, Products!A:E, 5, FALSE) * (1 - G3608))</f>
        <v>3052.8089999999997</v>
      </c>
      <c r="J3608" s="10"/>
    </row>
    <row r="3609" spans="1:10" ht="15.75" customHeight="1" x14ac:dyDescent="0.3">
      <c r="A3609" s="5" t="s">
        <v>4476</v>
      </c>
      <c r="B3609" s="11">
        <v>45771</v>
      </c>
      <c r="C3609" s="5" t="s">
        <v>657</v>
      </c>
      <c r="D3609" s="5" t="s">
        <v>200</v>
      </c>
      <c r="E3609" s="5" t="s">
        <v>37</v>
      </c>
      <c r="F3609" s="5">
        <v>5</v>
      </c>
      <c r="G3609" s="19">
        <v>0.15</v>
      </c>
      <c r="H3609" s="5" t="s">
        <v>454</v>
      </c>
      <c r="I3609" s="10">
        <f>IF(OR(D3609="", F3609=""), "", F3609 * VLOOKUP(D3609, Products!A:E, 5, FALSE) * (1 - G3609))</f>
        <v>4656.8100000000004</v>
      </c>
      <c r="J3609" s="10"/>
    </row>
    <row r="3610" spans="1:10" ht="15.75" customHeight="1" x14ac:dyDescent="0.3">
      <c r="A3610" s="5" t="s">
        <v>4477</v>
      </c>
      <c r="B3610" s="11">
        <v>45259</v>
      </c>
      <c r="C3610" s="5" t="s">
        <v>800</v>
      </c>
      <c r="D3610" s="5" t="s">
        <v>95</v>
      </c>
      <c r="E3610" s="5" t="s">
        <v>25</v>
      </c>
      <c r="F3610" s="5">
        <v>3</v>
      </c>
      <c r="G3610" s="19">
        <v>0.1</v>
      </c>
      <c r="H3610" s="5" t="s">
        <v>697</v>
      </c>
      <c r="I3610" s="10">
        <f>IF(OR(D3610="", F3610=""), "", F3610 * VLOOKUP(D3610, Products!A:E, 5, FALSE) * (1 - G3610))</f>
        <v>3625.4250000000002</v>
      </c>
      <c r="J3610" s="10"/>
    </row>
    <row r="3611" spans="1:10" ht="15.75" customHeight="1" x14ac:dyDescent="0.3">
      <c r="A3611" s="5" t="s">
        <v>4478</v>
      </c>
      <c r="B3611" s="11">
        <v>45265</v>
      </c>
      <c r="C3611" s="5" t="s">
        <v>393</v>
      </c>
      <c r="D3611" s="5" t="s">
        <v>77</v>
      </c>
      <c r="E3611" s="5" t="s">
        <v>37</v>
      </c>
      <c r="F3611" s="5">
        <v>4</v>
      </c>
      <c r="G3611" s="19">
        <v>0</v>
      </c>
      <c r="H3611" s="5" t="s">
        <v>776</v>
      </c>
      <c r="I3611" s="10">
        <f>IF(OR(D3611="", F3611=""), "", F3611 * VLOOKUP(D3611, Products!A:E, 5, FALSE) * (1 - G3611))</f>
        <v>994.28</v>
      </c>
      <c r="J3611" s="10"/>
    </row>
    <row r="3612" spans="1:10" ht="15.75" customHeight="1" x14ac:dyDescent="0.3">
      <c r="A3612" s="5" t="s">
        <v>4479</v>
      </c>
      <c r="B3612" s="11">
        <v>45393</v>
      </c>
      <c r="C3612" s="5" t="s">
        <v>357</v>
      </c>
      <c r="D3612" s="5" t="s">
        <v>221</v>
      </c>
      <c r="E3612" s="5" t="s">
        <v>21</v>
      </c>
      <c r="F3612" s="5">
        <v>3</v>
      </c>
      <c r="G3612" s="19">
        <v>0.1</v>
      </c>
      <c r="H3612" s="5" t="s">
        <v>697</v>
      </c>
      <c r="I3612" s="10">
        <f>IF(OR(D3612="", F3612=""), "", F3612 * VLOOKUP(D3612, Products!A:E, 5, FALSE) * (1 - G3612))</f>
        <v>4218.5609999999997</v>
      </c>
      <c r="J3612" s="10"/>
    </row>
    <row r="3613" spans="1:10" ht="15.75" customHeight="1" x14ac:dyDescent="0.3">
      <c r="A3613" s="5" t="s">
        <v>4480</v>
      </c>
      <c r="B3613" s="11">
        <v>45617</v>
      </c>
      <c r="C3613" s="5" t="s">
        <v>539</v>
      </c>
      <c r="D3613" s="5" t="s">
        <v>95</v>
      </c>
      <c r="E3613" s="5" t="s">
        <v>21</v>
      </c>
      <c r="F3613" s="5">
        <v>5</v>
      </c>
      <c r="G3613" s="19">
        <v>0.1</v>
      </c>
      <c r="H3613" s="5" t="s">
        <v>776</v>
      </c>
      <c r="I3613" s="10">
        <f>IF(OR(D3613="", F3613=""), "", F3613 * VLOOKUP(D3613, Products!A:E, 5, FALSE) * (1 - G3613))</f>
        <v>6042.375</v>
      </c>
      <c r="J3613" s="10"/>
    </row>
    <row r="3614" spans="1:10" ht="15.75" customHeight="1" x14ac:dyDescent="0.3">
      <c r="A3614" s="5" t="s">
        <v>4481</v>
      </c>
      <c r="B3614" s="11">
        <v>45239</v>
      </c>
      <c r="C3614" s="5" t="s">
        <v>604</v>
      </c>
      <c r="D3614" s="5" t="s">
        <v>82</v>
      </c>
      <c r="E3614" s="5" t="s">
        <v>21</v>
      </c>
      <c r="F3614" s="5">
        <v>3</v>
      </c>
      <c r="G3614" s="19">
        <v>0.05</v>
      </c>
      <c r="H3614" s="5" t="s">
        <v>697</v>
      </c>
      <c r="I3614" s="10">
        <f>IF(OR(D3614="", F3614=""), "", F3614 * VLOOKUP(D3614, Products!A:E, 5, FALSE) * (1 - G3614))</f>
        <v>3400.3064999999992</v>
      </c>
      <c r="J3614" s="10"/>
    </row>
    <row r="3615" spans="1:10" ht="15.75" customHeight="1" x14ac:dyDescent="0.3">
      <c r="A3615" s="5" t="s">
        <v>4482</v>
      </c>
      <c r="B3615" s="11">
        <v>45881</v>
      </c>
      <c r="C3615" s="5" t="s">
        <v>837</v>
      </c>
      <c r="D3615" s="5" t="s">
        <v>128</v>
      </c>
      <c r="E3615" s="5" t="s">
        <v>37</v>
      </c>
      <c r="F3615" s="5">
        <v>1</v>
      </c>
      <c r="G3615" s="19">
        <v>0</v>
      </c>
      <c r="H3615" s="5" t="s">
        <v>697</v>
      </c>
      <c r="I3615" s="10">
        <f>IF(OR(D3615="", F3615=""), "", F3615 * VLOOKUP(D3615, Products!A:E, 5, FALSE) * (1 - G3615))</f>
        <v>323.92</v>
      </c>
      <c r="J3615" s="10"/>
    </row>
    <row r="3616" spans="1:10" ht="15.75" customHeight="1" x14ac:dyDescent="0.3">
      <c r="A3616" s="5" t="s">
        <v>4483</v>
      </c>
      <c r="B3616" s="11">
        <v>45200</v>
      </c>
      <c r="C3616" s="5" t="s">
        <v>762</v>
      </c>
      <c r="D3616" s="5" t="s">
        <v>168</v>
      </c>
      <c r="E3616" s="5" t="s">
        <v>37</v>
      </c>
      <c r="F3616" s="5">
        <v>2</v>
      </c>
      <c r="G3616" s="19">
        <v>0.1</v>
      </c>
      <c r="H3616" s="5" t="s">
        <v>776</v>
      </c>
      <c r="I3616" s="10">
        <f>IF(OR(D3616="", F3616=""), "", F3616 * VLOOKUP(D3616, Products!A:E, 5, FALSE) * (1 - G3616))</f>
        <v>1828.3679999999999</v>
      </c>
      <c r="J3616" s="10"/>
    </row>
    <row r="3617" spans="1:10" ht="15.75" customHeight="1" x14ac:dyDescent="0.3">
      <c r="A3617" s="5" t="s">
        <v>4484</v>
      </c>
      <c r="B3617" s="11">
        <v>45570</v>
      </c>
      <c r="C3617" s="5" t="s">
        <v>215</v>
      </c>
      <c r="D3617" s="5" t="s">
        <v>256</v>
      </c>
      <c r="E3617" s="5" t="s">
        <v>29</v>
      </c>
      <c r="F3617" s="5">
        <v>2</v>
      </c>
      <c r="G3617" s="19">
        <v>0.15</v>
      </c>
      <c r="H3617" s="5" t="s">
        <v>454</v>
      </c>
      <c r="I3617" s="10">
        <f>IF(OR(D3617="", F3617=""), "", F3617 * VLOOKUP(D3617, Products!A:E, 5, FALSE) * (1 - G3617))</f>
        <v>2779.5169999999998</v>
      </c>
      <c r="J3617" s="10"/>
    </row>
    <row r="3618" spans="1:10" ht="15.75" customHeight="1" x14ac:dyDescent="0.3">
      <c r="A3618" s="5" t="s">
        <v>4485</v>
      </c>
      <c r="B3618" s="11">
        <v>45567</v>
      </c>
      <c r="C3618" s="5" t="s">
        <v>774</v>
      </c>
      <c r="D3618" s="5" t="s">
        <v>280</v>
      </c>
      <c r="E3618" s="5" t="s">
        <v>37</v>
      </c>
      <c r="F3618" s="5">
        <v>2</v>
      </c>
      <c r="G3618" s="19">
        <v>0</v>
      </c>
      <c r="H3618" s="5" t="s">
        <v>697</v>
      </c>
      <c r="I3618" s="10">
        <f>IF(OR(D3618="", F3618=""), "", F3618 * VLOOKUP(D3618, Products!A:E, 5, FALSE) * (1 - G3618))</f>
        <v>2432.7199999999998</v>
      </c>
      <c r="J3618" s="10"/>
    </row>
    <row r="3619" spans="1:10" ht="15.75" customHeight="1" x14ac:dyDescent="0.3">
      <c r="A3619" s="5" t="s">
        <v>4486</v>
      </c>
      <c r="B3619" s="11">
        <v>45411</v>
      </c>
      <c r="C3619" s="5" t="s">
        <v>69</v>
      </c>
      <c r="D3619" s="5" t="s">
        <v>109</v>
      </c>
      <c r="E3619" s="5" t="s">
        <v>37</v>
      </c>
      <c r="F3619" s="5">
        <v>4</v>
      </c>
      <c r="G3619" s="19">
        <v>0.15</v>
      </c>
      <c r="H3619" s="5" t="s">
        <v>776</v>
      </c>
      <c r="I3619" s="10">
        <f>IF(OR(D3619="", F3619=""), "", F3619 * VLOOKUP(D3619, Products!A:E, 5, FALSE) * (1 - G3619))</f>
        <v>6319.75</v>
      </c>
      <c r="J3619" s="10"/>
    </row>
    <row r="3620" spans="1:10" ht="15.75" customHeight="1" x14ac:dyDescent="0.3">
      <c r="A3620" s="5" t="s">
        <v>4487</v>
      </c>
      <c r="B3620" s="11">
        <v>45453</v>
      </c>
      <c r="C3620" s="5" t="s">
        <v>365</v>
      </c>
      <c r="D3620" s="5" t="s">
        <v>43</v>
      </c>
      <c r="E3620" s="5" t="s">
        <v>37</v>
      </c>
      <c r="F3620" s="5">
        <v>4</v>
      </c>
      <c r="G3620" s="19">
        <v>0</v>
      </c>
      <c r="H3620" s="5" t="s">
        <v>776</v>
      </c>
      <c r="I3620" s="10">
        <f>IF(OR(D3620="", F3620=""), "", F3620 * VLOOKUP(D3620, Products!A:E, 5, FALSE) * (1 - G3620))</f>
        <v>6694.76</v>
      </c>
      <c r="J3620" s="10"/>
    </row>
    <row r="3621" spans="1:10" ht="15.75" customHeight="1" x14ac:dyDescent="0.3">
      <c r="A3621" s="5" t="s">
        <v>4488</v>
      </c>
      <c r="B3621" s="11">
        <v>45331</v>
      </c>
      <c r="C3621" s="5" t="s">
        <v>300</v>
      </c>
      <c r="D3621" s="5" t="s">
        <v>267</v>
      </c>
      <c r="E3621" s="5" t="s">
        <v>33</v>
      </c>
      <c r="F3621" s="5">
        <v>1</v>
      </c>
      <c r="G3621" s="19">
        <v>0.05</v>
      </c>
      <c r="H3621" s="5" t="s">
        <v>697</v>
      </c>
      <c r="I3621" s="10">
        <f>IF(OR(D3621="", F3621=""), "", F3621 * VLOOKUP(D3621, Products!A:E, 5, FALSE) * (1 - G3621))</f>
        <v>1222.2224999999999</v>
      </c>
      <c r="J3621" s="10"/>
    </row>
    <row r="3622" spans="1:10" ht="15.75" customHeight="1" x14ac:dyDescent="0.3">
      <c r="A3622" s="5" t="s">
        <v>4489</v>
      </c>
      <c r="B3622" s="11">
        <v>45533</v>
      </c>
      <c r="C3622" s="5" t="s">
        <v>250</v>
      </c>
      <c r="D3622" s="5" t="s">
        <v>67</v>
      </c>
      <c r="E3622" s="5" t="s">
        <v>25</v>
      </c>
      <c r="F3622" s="5">
        <v>2</v>
      </c>
      <c r="G3622" s="19">
        <v>0</v>
      </c>
      <c r="H3622" s="5" t="s">
        <v>637</v>
      </c>
      <c r="I3622" s="10">
        <f>IF(OR(D3622="", F3622=""), "", F3622 * VLOOKUP(D3622, Products!A:E, 5, FALSE) * (1 - G3622))</f>
        <v>219.56</v>
      </c>
      <c r="J3622" s="10"/>
    </row>
    <row r="3623" spans="1:10" ht="15.75" customHeight="1" x14ac:dyDescent="0.3">
      <c r="A3623" s="5" t="s">
        <v>4490</v>
      </c>
      <c r="B3623" s="11">
        <v>45599</v>
      </c>
      <c r="C3623" s="5" t="s">
        <v>557</v>
      </c>
      <c r="D3623" s="5" t="s">
        <v>285</v>
      </c>
      <c r="E3623" s="5" t="s">
        <v>33</v>
      </c>
      <c r="F3623" s="5">
        <v>2</v>
      </c>
      <c r="G3623" s="19">
        <v>0</v>
      </c>
      <c r="H3623" s="5" t="s">
        <v>776</v>
      </c>
      <c r="I3623" s="10">
        <f>IF(OR(D3623="", F3623=""), "", F3623 * VLOOKUP(D3623, Products!A:E, 5, FALSE) * (1 - G3623))</f>
        <v>776.52</v>
      </c>
      <c r="J3623" s="10"/>
    </row>
    <row r="3624" spans="1:10" ht="15.75" customHeight="1" x14ac:dyDescent="0.3">
      <c r="A3624" s="5" t="s">
        <v>4491</v>
      </c>
      <c r="B3624" s="11">
        <v>45790</v>
      </c>
      <c r="C3624" s="5" t="s">
        <v>733</v>
      </c>
      <c r="D3624" s="5" t="s">
        <v>128</v>
      </c>
      <c r="E3624" s="5" t="s">
        <v>21</v>
      </c>
      <c r="F3624" s="5">
        <v>1</v>
      </c>
      <c r="G3624" s="19">
        <v>0</v>
      </c>
      <c r="H3624" s="5" t="s">
        <v>637</v>
      </c>
      <c r="I3624" s="10">
        <f>IF(OR(D3624="", F3624=""), "", F3624 * VLOOKUP(D3624, Products!A:E, 5, FALSE) * (1 - G3624))</f>
        <v>323.92</v>
      </c>
      <c r="J3624" s="10"/>
    </row>
    <row r="3625" spans="1:10" ht="15.75" customHeight="1" x14ac:dyDescent="0.3">
      <c r="A3625" s="5" t="s">
        <v>4492</v>
      </c>
      <c r="B3625" s="11">
        <v>45438</v>
      </c>
      <c r="C3625" s="5" t="s">
        <v>554</v>
      </c>
      <c r="D3625" s="5" t="s">
        <v>168</v>
      </c>
      <c r="E3625" s="5" t="s">
        <v>21</v>
      </c>
      <c r="F3625" s="5">
        <v>2</v>
      </c>
      <c r="G3625" s="19">
        <v>0.05</v>
      </c>
      <c r="H3625" s="5" t="s">
        <v>776</v>
      </c>
      <c r="I3625" s="10">
        <f>IF(OR(D3625="", F3625=""), "", F3625 * VLOOKUP(D3625, Products!A:E, 5, FALSE) * (1 - G3625))</f>
        <v>1929.944</v>
      </c>
      <c r="J3625" s="10"/>
    </row>
    <row r="3626" spans="1:10" ht="15.75" customHeight="1" x14ac:dyDescent="0.3">
      <c r="A3626" s="5" t="s">
        <v>4493</v>
      </c>
      <c r="B3626" s="11">
        <v>45438</v>
      </c>
      <c r="C3626" s="5" t="s">
        <v>255</v>
      </c>
      <c r="D3626" s="5" t="s">
        <v>103</v>
      </c>
      <c r="E3626" s="5" t="s">
        <v>37</v>
      </c>
      <c r="F3626" s="5">
        <v>1</v>
      </c>
      <c r="G3626" s="19">
        <v>0.15</v>
      </c>
      <c r="H3626" s="5" t="s">
        <v>697</v>
      </c>
      <c r="I3626" s="10">
        <f>IF(OR(D3626="", F3626=""), "", F3626 * VLOOKUP(D3626, Products!A:E, 5, FALSE) * (1 - G3626))</f>
        <v>229.88249999999999</v>
      </c>
      <c r="J3626" s="10"/>
    </row>
    <row r="3627" spans="1:10" ht="15.75" customHeight="1" x14ac:dyDescent="0.3">
      <c r="A3627" s="5" t="s">
        <v>4494</v>
      </c>
      <c r="B3627" s="11">
        <v>45456</v>
      </c>
      <c r="C3627" s="5" t="s">
        <v>833</v>
      </c>
      <c r="D3627" s="5" t="s">
        <v>43</v>
      </c>
      <c r="E3627" s="5" t="s">
        <v>29</v>
      </c>
      <c r="F3627" s="5">
        <v>5</v>
      </c>
      <c r="G3627" s="19">
        <v>0.15</v>
      </c>
      <c r="H3627" s="5" t="s">
        <v>697</v>
      </c>
      <c r="I3627" s="10">
        <f>IF(OR(D3627="", F3627=""), "", F3627 * VLOOKUP(D3627, Products!A:E, 5, FALSE) * (1 - G3627))</f>
        <v>7113.1825000000008</v>
      </c>
      <c r="J3627" s="10"/>
    </row>
    <row r="3628" spans="1:10" ht="15.75" customHeight="1" x14ac:dyDescent="0.3">
      <c r="A3628" s="5" t="s">
        <v>4495</v>
      </c>
      <c r="B3628" s="11">
        <v>45865</v>
      </c>
      <c r="C3628" s="5" t="s">
        <v>353</v>
      </c>
      <c r="D3628" s="5" t="s">
        <v>147</v>
      </c>
      <c r="E3628" s="5" t="s">
        <v>37</v>
      </c>
      <c r="F3628" s="5">
        <v>2</v>
      </c>
      <c r="G3628" s="19">
        <v>0</v>
      </c>
      <c r="H3628" s="5" t="s">
        <v>454</v>
      </c>
      <c r="I3628" s="10">
        <f>IF(OR(D3628="", F3628=""), "", F3628 * VLOOKUP(D3628, Products!A:E, 5, FALSE) * (1 - G3628))</f>
        <v>3756.94</v>
      </c>
      <c r="J3628" s="10"/>
    </row>
    <row r="3629" spans="1:10" ht="15.75" customHeight="1" x14ac:dyDescent="0.3">
      <c r="A3629" s="5" t="s">
        <v>4496</v>
      </c>
      <c r="B3629" s="11">
        <v>45554</v>
      </c>
      <c r="C3629" s="5" t="s">
        <v>705</v>
      </c>
      <c r="D3629" s="5" t="s">
        <v>65</v>
      </c>
      <c r="E3629" s="5" t="s">
        <v>25</v>
      </c>
      <c r="F3629" s="5">
        <v>4</v>
      </c>
      <c r="G3629" s="19">
        <v>0.15</v>
      </c>
      <c r="H3629" s="5" t="s">
        <v>454</v>
      </c>
      <c r="I3629" s="10">
        <f>IF(OR(D3629="", F3629=""), "", F3629 * VLOOKUP(D3629, Products!A:E, 5, FALSE) * (1 - G3629))</f>
        <v>5012.0079999999998</v>
      </c>
      <c r="J3629" s="10"/>
    </row>
    <row r="3630" spans="1:10" ht="15.75" customHeight="1" x14ac:dyDescent="0.3">
      <c r="A3630" s="5" t="s">
        <v>4497</v>
      </c>
      <c r="B3630" s="11">
        <v>45358</v>
      </c>
      <c r="C3630" s="5" t="s">
        <v>365</v>
      </c>
      <c r="D3630" s="5" t="s">
        <v>276</v>
      </c>
      <c r="E3630" s="5" t="s">
        <v>37</v>
      </c>
      <c r="F3630" s="5">
        <v>1</v>
      </c>
      <c r="G3630" s="19">
        <v>0.05</v>
      </c>
      <c r="H3630" s="5" t="s">
        <v>637</v>
      </c>
      <c r="I3630" s="10">
        <f>IF(OR(D3630="", F3630=""), "", F3630 * VLOOKUP(D3630, Products!A:E, 5, FALSE) * (1 - G3630))</f>
        <v>1137.3209999999999</v>
      </c>
      <c r="J3630" s="10"/>
    </row>
    <row r="3631" spans="1:10" ht="15.75" customHeight="1" x14ac:dyDescent="0.3">
      <c r="A3631" s="5" t="s">
        <v>4498</v>
      </c>
      <c r="B3631" s="11">
        <v>45651</v>
      </c>
      <c r="C3631" s="5" t="s">
        <v>770</v>
      </c>
      <c r="D3631" s="5" t="s">
        <v>115</v>
      </c>
      <c r="E3631" s="5" t="s">
        <v>29</v>
      </c>
      <c r="F3631" s="5">
        <v>5</v>
      </c>
      <c r="G3631" s="19">
        <v>0</v>
      </c>
      <c r="H3631" s="5" t="s">
        <v>697</v>
      </c>
      <c r="I3631" s="10">
        <f>IF(OR(D3631="", F3631=""), "", F3631 * VLOOKUP(D3631, Products!A:E, 5, FALSE) * (1 - G3631))</f>
        <v>6230.5499999999993</v>
      </c>
      <c r="J3631" s="10"/>
    </row>
    <row r="3632" spans="1:10" ht="15.75" customHeight="1" x14ac:dyDescent="0.3">
      <c r="A3632" s="5" t="s">
        <v>4499</v>
      </c>
      <c r="B3632" s="11">
        <v>45490</v>
      </c>
      <c r="C3632" s="5" t="s">
        <v>865</v>
      </c>
      <c r="D3632" s="5" t="s">
        <v>140</v>
      </c>
      <c r="E3632" s="5" t="s">
        <v>29</v>
      </c>
      <c r="F3632" s="5">
        <v>2</v>
      </c>
      <c r="G3632" s="19">
        <v>0</v>
      </c>
      <c r="H3632" s="5" t="s">
        <v>776</v>
      </c>
      <c r="I3632" s="10">
        <f>IF(OR(D3632="", F3632=""), "", F3632 * VLOOKUP(D3632, Products!A:E, 5, FALSE) * (1 - G3632))</f>
        <v>51.14</v>
      </c>
      <c r="J3632" s="10"/>
    </row>
    <row r="3633" spans="1:10" ht="15.75" customHeight="1" x14ac:dyDescent="0.3">
      <c r="A3633" s="5" t="s">
        <v>4500</v>
      </c>
      <c r="B3633" s="11">
        <v>45709</v>
      </c>
      <c r="C3633" s="5" t="s">
        <v>440</v>
      </c>
      <c r="D3633" s="5" t="s">
        <v>193</v>
      </c>
      <c r="E3633" s="5" t="s">
        <v>21</v>
      </c>
      <c r="F3633" s="5">
        <v>5</v>
      </c>
      <c r="G3633" s="19">
        <v>0.15</v>
      </c>
      <c r="H3633" s="5" t="s">
        <v>697</v>
      </c>
      <c r="I3633" s="10">
        <f>IF(OR(D3633="", F3633=""), "", F3633 * VLOOKUP(D3633, Products!A:E, 5, FALSE) * (1 - G3633))</f>
        <v>124.26999999999998</v>
      </c>
      <c r="J3633" s="10"/>
    </row>
    <row r="3634" spans="1:10" ht="15.75" customHeight="1" x14ac:dyDescent="0.3">
      <c r="A3634" s="5" t="s">
        <v>4501</v>
      </c>
      <c r="B3634" s="11">
        <v>45227</v>
      </c>
      <c r="C3634" s="5" t="s">
        <v>491</v>
      </c>
      <c r="D3634" s="5" t="s">
        <v>128</v>
      </c>
      <c r="E3634" s="5" t="s">
        <v>21</v>
      </c>
      <c r="F3634" s="5">
        <v>5</v>
      </c>
      <c r="G3634" s="19">
        <v>0.1</v>
      </c>
      <c r="H3634" s="5" t="s">
        <v>697</v>
      </c>
      <c r="I3634" s="10">
        <f>IF(OR(D3634="", F3634=""), "", F3634 * VLOOKUP(D3634, Products!A:E, 5, FALSE) * (1 - G3634))</f>
        <v>1457.64</v>
      </c>
      <c r="J3634" s="10"/>
    </row>
    <row r="3635" spans="1:10" ht="15.75" customHeight="1" x14ac:dyDescent="0.3">
      <c r="A3635" s="5" t="s">
        <v>4502</v>
      </c>
      <c r="B3635" s="11">
        <v>45838</v>
      </c>
      <c r="C3635" s="5" t="s">
        <v>304</v>
      </c>
      <c r="D3635" s="5" t="s">
        <v>119</v>
      </c>
      <c r="E3635" s="5" t="s">
        <v>37</v>
      </c>
      <c r="F3635" s="5">
        <v>3</v>
      </c>
      <c r="G3635" s="19">
        <v>0.15</v>
      </c>
      <c r="H3635" s="5" t="s">
        <v>697</v>
      </c>
      <c r="I3635" s="10">
        <f>IF(OR(D3635="", F3635=""), "", F3635 * VLOOKUP(D3635, Products!A:E, 5, FALSE) * (1 - G3635))</f>
        <v>2753.7195000000002</v>
      </c>
      <c r="J3635" s="10"/>
    </row>
    <row r="3636" spans="1:10" ht="15.75" customHeight="1" x14ac:dyDescent="0.3">
      <c r="A3636" s="5" t="s">
        <v>4503</v>
      </c>
      <c r="B3636" s="11">
        <v>45617</v>
      </c>
      <c r="C3636" s="5" t="s">
        <v>100</v>
      </c>
      <c r="D3636" s="5" t="s">
        <v>119</v>
      </c>
      <c r="E3636" s="5" t="s">
        <v>37</v>
      </c>
      <c r="F3636" s="5">
        <v>2</v>
      </c>
      <c r="G3636" s="19">
        <v>0.1</v>
      </c>
      <c r="H3636" s="5" t="s">
        <v>454</v>
      </c>
      <c r="I3636" s="10">
        <f>IF(OR(D3636="", F3636=""), "", F3636 * VLOOKUP(D3636, Products!A:E, 5, FALSE) * (1 - G3636))</f>
        <v>1943.8020000000001</v>
      </c>
      <c r="J3636" s="10"/>
    </row>
    <row r="3637" spans="1:10" ht="15.75" customHeight="1" x14ac:dyDescent="0.3">
      <c r="A3637" s="5" t="s">
        <v>4504</v>
      </c>
      <c r="B3637" s="11">
        <v>45676</v>
      </c>
      <c r="C3637" s="5" t="s">
        <v>829</v>
      </c>
      <c r="D3637" s="5" t="s">
        <v>89</v>
      </c>
      <c r="E3637" s="5" t="s">
        <v>33</v>
      </c>
      <c r="F3637" s="5">
        <v>1</v>
      </c>
      <c r="G3637" s="19">
        <v>0</v>
      </c>
      <c r="H3637" s="5" t="s">
        <v>697</v>
      </c>
      <c r="I3637" s="10">
        <f>IF(OR(D3637="", F3637=""), "", F3637 * VLOOKUP(D3637, Products!A:E, 5, FALSE) * (1 - G3637))</f>
        <v>1134.8</v>
      </c>
      <c r="J3637" s="10"/>
    </row>
    <row r="3638" spans="1:10" ht="15.75" customHeight="1" x14ac:dyDescent="0.3">
      <c r="A3638" s="5" t="s">
        <v>4505</v>
      </c>
      <c r="B3638" s="11">
        <v>45482</v>
      </c>
      <c r="C3638" s="5" t="s">
        <v>826</v>
      </c>
      <c r="D3638" s="5" t="s">
        <v>54</v>
      </c>
      <c r="E3638" s="5" t="s">
        <v>37</v>
      </c>
      <c r="F3638" s="5">
        <v>5</v>
      </c>
      <c r="G3638" s="19">
        <v>0.1</v>
      </c>
      <c r="H3638" s="5" t="s">
        <v>697</v>
      </c>
      <c r="I3638" s="10">
        <f>IF(OR(D3638="", F3638=""), "", F3638 * VLOOKUP(D3638, Products!A:E, 5, FALSE) * (1 - G3638))</f>
        <v>8341.9650000000001</v>
      </c>
      <c r="J3638" s="10"/>
    </row>
    <row r="3639" spans="1:10" ht="15.75" customHeight="1" x14ac:dyDescent="0.3">
      <c r="A3639" s="5" t="s">
        <v>4506</v>
      </c>
      <c r="B3639" s="11">
        <v>45552</v>
      </c>
      <c r="C3639" s="5" t="s">
        <v>878</v>
      </c>
      <c r="D3639" s="5" t="s">
        <v>226</v>
      </c>
      <c r="E3639" s="5" t="s">
        <v>37</v>
      </c>
      <c r="F3639" s="5">
        <v>4</v>
      </c>
      <c r="G3639" s="19">
        <v>0</v>
      </c>
      <c r="H3639" s="5" t="s">
        <v>776</v>
      </c>
      <c r="I3639" s="10">
        <f>IF(OR(D3639="", F3639=""), "", F3639 * VLOOKUP(D3639, Products!A:E, 5, FALSE) * (1 - G3639))</f>
        <v>6005.84</v>
      </c>
      <c r="J3639" s="10"/>
    </row>
    <row r="3640" spans="1:10" ht="15.75" customHeight="1" x14ac:dyDescent="0.3">
      <c r="A3640" s="5" t="s">
        <v>4507</v>
      </c>
      <c r="B3640" s="11">
        <v>45756</v>
      </c>
      <c r="C3640" s="5" t="s">
        <v>387</v>
      </c>
      <c r="D3640" s="5" t="s">
        <v>291</v>
      </c>
      <c r="E3640" s="5" t="s">
        <v>33</v>
      </c>
      <c r="F3640" s="5">
        <v>1</v>
      </c>
      <c r="G3640" s="19">
        <v>0.05</v>
      </c>
      <c r="H3640" s="5" t="s">
        <v>454</v>
      </c>
      <c r="I3640" s="10">
        <f>IF(OR(D3640="", F3640=""), "", F3640 * VLOOKUP(D3640, Products!A:E, 5, FALSE) * (1 - G3640))</f>
        <v>992.40800000000002</v>
      </c>
      <c r="J3640" s="10"/>
    </row>
    <row r="3641" spans="1:10" ht="15.75" customHeight="1" x14ac:dyDescent="0.3">
      <c r="A3641" s="5" t="s">
        <v>4508</v>
      </c>
      <c r="B3641" s="11">
        <v>45818</v>
      </c>
      <c r="C3641" s="5" t="s">
        <v>346</v>
      </c>
      <c r="D3641" s="5" t="s">
        <v>221</v>
      </c>
      <c r="E3641" s="5" t="s">
        <v>33</v>
      </c>
      <c r="F3641" s="5">
        <v>3</v>
      </c>
      <c r="G3641" s="19">
        <v>0.1</v>
      </c>
      <c r="H3641" s="5" t="s">
        <v>454</v>
      </c>
      <c r="I3641" s="10">
        <f>IF(OR(D3641="", F3641=""), "", F3641 * VLOOKUP(D3641, Products!A:E, 5, FALSE) * (1 - G3641))</f>
        <v>4218.5609999999997</v>
      </c>
      <c r="J3641" s="10"/>
    </row>
    <row r="3642" spans="1:10" ht="15.75" customHeight="1" x14ac:dyDescent="0.3">
      <c r="A3642" s="5" t="s">
        <v>4509</v>
      </c>
      <c r="B3642" s="11">
        <v>45248</v>
      </c>
      <c r="C3642" s="5" t="s">
        <v>539</v>
      </c>
      <c r="D3642" s="5" t="s">
        <v>272</v>
      </c>
      <c r="E3642" s="5" t="s">
        <v>29</v>
      </c>
      <c r="F3642" s="5">
        <v>2</v>
      </c>
      <c r="G3642" s="19">
        <v>0.05</v>
      </c>
      <c r="H3642" s="5" t="s">
        <v>776</v>
      </c>
      <c r="I3642" s="10">
        <f>IF(OR(D3642="", F3642=""), "", F3642 * VLOOKUP(D3642, Products!A:E, 5, FALSE) * (1 - G3642))</f>
        <v>2214.2029999999995</v>
      </c>
      <c r="J3642" s="10"/>
    </row>
    <row r="3643" spans="1:10" ht="15.75" customHeight="1" x14ac:dyDescent="0.3">
      <c r="A3643" s="5" t="s">
        <v>4510</v>
      </c>
      <c r="B3643" s="11">
        <v>45412</v>
      </c>
      <c r="C3643" s="5" t="s">
        <v>416</v>
      </c>
      <c r="D3643" s="5" t="s">
        <v>162</v>
      </c>
      <c r="E3643" s="5" t="s">
        <v>21</v>
      </c>
      <c r="F3643" s="5">
        <v>2</v>
      </c>
      <c r="G3643" s="19">
        <v>0</v>
      </c>
      <c r="H3643" s="5" t="s">
        <v>697</v>
      </c>
      <c r="I3643" s="10">
        <f>IF(OR(D3643="", F3643=""), "", F3643 * VLOOKUP(D3643, Products!A:E, 5, FALSE) * (1 - G3643))</f>
        <v>858.3</v>
      </c>
      <c r="J3643" s="10"/>
    </row>
    <row r="3644" spans="1:10" ht="15.75" customHeight="1" x14ac:dyDescent="0.3">
      <c r="A3644" s="5" t="s">
        <v>4511</v>
      </c>
      <c r="B3644" s="11">
        <v>45289</v>
      </c>
      <c r="C3644" s="5" t="s">
        <v>624</v>
      </c>
      <c r="D3644" s="5" t="s">
        <v>89</v>
      </c>
      <c r="E3644" s="5" t="s">
        <v>21</v>
      </c>
      <c r="F3644" s="5">
        <v>4</v>
      </c>
      <c r="G3644" s="19">
        <v>0</v>
      </c>
      <c r="H3644" s="5" t="s">
        <v>454</v>
      </c>
      <c r="I3644" s="10">
        <f>IF(OR(D3644="", F3644=""), "", F3644 * VLOOKUP(D3644, Products!A:E, 5, FALSE) * (1 - G3644))</f>
        <v>4539.2</v>
      </c>
      <c r="J3644" s="10"/>
    </row>
    <row r="3645" spans="1:10" ht="15.75" customHeight="1" x14ac:dyDescent="0.3">
      <c r="A3645" s="5" t="s">
        <v>4512</v>
      </c>
      <c r="B3645" s="11">
        <v>45618</v>
      </c>
      <c r="C3645" s="5" t="s">
        <v>740</v>
      </c>
      <c r="D3645" s="5" t="s">
        <v>256</v>
      </c>
      <c r="E3645" s="5" t="s">
        <v>25</v>
      </c>
      <c r="F3645" s="5">
        <v>4</v>
      </c>
      <c r="G3645" s="19">
        <v>0.05</v>
      </c>
      <c r="H3645" s="5" t="s">
        <v>637</v>
      </c>
      <c r="I3645" s="10">
        <f>IF(OR(D3645="", F3645=""), "", F3645 * VLOOKUP(D3645, Products!A:E, 5, FALSE) * (1 - G3645))</f>
        <v>6213.0379999999996</v>
      </c>
      <c r="J3645" s="10"/>
    </row>
    <row r="3646" spans="1:10" ht="15.75" customHeight="1" x14ac:dyDescent="0.3">
      <c r="A3646" s="5" t="s">
        <v>4513</v>
      </c>
      <c r="B3646" s="11">
        <v>45490</v>
      </c>
      <c r="C3646" s="5" t="s">
        <v>437</v>
      </c>
      <c r="D3646" s="5" t="s">
        <v>226</v>
      </c>
      <c r="E3646" s="5" t="s">
        <v>21</v>
      </c>
      <c r="F3646" s="5">
        <v>2</v>
      </c>
      <c r="G3646" s="19">
        <v>0</v>
      </c>
      <c r="H3646" s="5" t="s">
        <v>637</v>
      </c>
      <c r="I3646" s="10">
        <f>IF(OR(D3646="", F3646=""), "", F3646 * VLOOKUP(D3646, Products!A:E, 5, FALSE) * (1 - G3646))</f>
        <v>3002.92</v>
      </c>
      <c r="J3646" s="10"/>
    </row>
    <row r="3647" spans="1:10" ht="15.75" customHeight="1" x14ac:dyDescent="0.3">
      <c r="A3647" s="5" t="s">
        <v>4514</v>
      </c>
      <c r="B3647" s="11">
        <v>45582</v>
      </c>
      <c r="C3647" s="5" t="s">
        <v>829</v>
      </c>
      <c r="D3647" s="5" t="s">
        <v>65</v>
      </c>
      <c r="E3647" s="5" t="s">
        <v>21</v>
      </c>
      <c r="F3647" s="5">
        <v>4</v>
      </c>
      <c r="G3647" s="19">
        <v>0.15</v>
      </c>
      <c r="H3647" s="5" t="s">
        <v>776</v>
      </c>
      <c r="I3647" s="10">
        <f>IF(OR(D3647="", F3647=""), "", F3647 * VLOOKUP(D3647, Products!A:E, 5, FALSE) * (1 - G3647))</f>
        <v>5012.0079999999998</v>
      </c>
      <c r="J3647" s="10"/>
    </row>
    <row r="3648" spans="1:10" ht="15.75" customHeight="1" x14ac:dyDescent="0.3">
      <c r="A3648" s="5" t="s">
        <v>4515</v>
      </c>
      <c r="B3648" s="11">
        <v>45380</v>
      </c>
      <c r="C3648" s="5" t="s">
        <v>560</v>
      </c>
      <c r="D3648" s="5" t="s">
        <v>95</v>
      </c>
      <c r="E3648" s="5" t="s">
        <v>25</v>
      </c>
      <c r="F3648" s="5">
        <v>2</v>
      </c>
      <c r="G3648" s="19">
        <v>0.05</v>
      </c>
      <c r="H3648" s="5" t="s">
        <v>454</v>
      </c>
      <c r="I3648" s="10">
        <f>IF(OR(D3648="", F3648=""), "", F3648 * VLOOKUP(D3648, Products!A:E, 5, FALSE) * (1 - G3648))</f>
        <v>2551.2249999999999</v>
      </c>
      <c r="J3648" s="10"/>
    </row>
    <row r="3649" spans="1:10" ht="15.75" customHeight="1" x14ac:dyDescent="0.3">
      <c r="A3649" s="5" t="s">
        <v>4516</v>
      </c>
      <c r="B3649" s="11">
        <v>45190</v>
      </c>
      <c r="C3649" s="5" t="s">
        <v>669</v>
      </c>
      <c r="D3649" s="5" t="s">
        <v>153</v>
      </c>
      <c r="E3649" s="5" t="s">
        <v>21</v>
      </c>
      <c r="F3649" s="5">
        <v>3</v>
      </c>
      <c r="G3649" s="19">
        <v>0.1</v>
      </c>
      <c r="H3649" s="5" t="s">
        <v>454</v>
      </c>
      <c r="I3649" s="10">
        <f>IF(OR(D3649="", F3649=""), "", F3649 * VLOOKUP(D3649, Products!A:E, 5, FALSE) * (1 - G3649))</f>
        <v>4016.0070000000005</v>
      </c>
      <c r="J3649" s="10"/>
    </row>
    <row r="3650" spans="1:10" ht="15.75" customHeight="1" x14ac:dyDescent="0.3">
      <c r="A3650" s="5" t="s">
        <v>4517</v>
      </c>
      <c r="B3650" s="11">
        <v>45340</v>
      </c>
      <c r="C3650" s="5" t="s">
        <v>312</v>
      </c>
      <c r="D3650" s="5" t="s">
        <v>50</v>
      </c>
      <c r="E3650" s="5" t="s">
        <v>21</v>
      </c>
      <c r="F3650" s="5">
        <v>2</v>
      </c>
      <c r="G3650" s="19">
        <v>0.1</v>
      </c>
      <c r="H3650" s="5" t="s">
        <v>776</v>
      </c>
      <c r="I3650" s="10">
        <f>IF(OR(D3650="", F3650=""), "", F3650 * VLOOKUP(D3650, Products!A:E, 5, FALSE) * (1 - G3650))</f>
        <v>607.73400000000004</v>
      </c>
      <c r="J3650" s="10"/>
    </row>
    <row r="3651" spans="1:10" ht="15.75" customHeight="1" x14ac:dyDescent="0.3">
      <c r="A3651" s="5" t="s">
        <v>4518</v>
      </c>
      <c r="B3651" s="11">
        <v>45557</v>
      </c>
      <c r="C3651" s="5" t="s">
        <v>405</v>
      </c>
      <c r="D3651" s="5" t="s">
        <v>188</v>
      </c>
      <c r="E3651" s="5" t="s">
        <v>21</v>
      </c>
      <c r="F3651" s="5">
        <v>1</v>
      </c>
      <c r="G3651" s="19">
        <v>0</v>
      </c>
      <c r="H3651" s="5" t="s">
        <v>454</v>
      </c>
      <c r="I3651" s="10">
        <f>IF(OR(D3651="", F3651=""), "", F3651 * VLOOKUP(D3651, Products!A:E, 5, FALSE) * (1 - G3651))</f>
        <v>1485.05</v>
      </c>
      <c r="J3651" s="10"/>
    </row>
    <row r="3652" spans="1:10" ht="15.75" customHeight="1" x14ac:dyDescent="0.3">
      <c r="A3652" s="5" t="s">
        <v>4519</v>
      </c>
      <c r="B3652" s="11">
        <v>45305</v>
      </c>
      <c r="C3652" s="5" t="s">
        <v>554</v>
      </c>
      <c r="D3652" s="5" t="s">
        <v>217</v>
      </c>
      <c r="E3652" s="5" t="s">
        <v>33</v>
      </c>
      <c r="F3652" s="5">
        <v>5</v>
      </c>
      <c r="G3652" s="19">
        <v>0.15</v>
      </c>
      <c r="H3652" s="5" t="s">
        <v>454</v>
      </c>
      <c r="I3652" s="10">
        <f>IF(OR(D3652="", F3652=""), "", F3652 * VLOOKUP(D3652, Products!A:E, 5, FALSE) * (1 - G3652))</f>
        <v>1819.2124999999999</v>
      </c>
      <c r="J3652" s="10"/>
    </row>
    <row r="3653" spans="1:10" ht="15.75" customHeight="1" x14ac:dyDescent="0.3">
      <c r="A3653" s="5" t="s">
        <v>4520</v>
      </c>
      <c r="B3653" s="11">
        <v>45426</v>
      </c>
      <c r="C3653" s="5" t="s">
        <v>571</v>
      </c>
      <c r="D3653" s="5" t="s">
        <v>67</v>
      </c>
      <c r="E3653" s="5" t="s">
        <v>29</v>
      </c>
      <c r="F3653" s="5">
        <v>5</v>
      </c>
      <c r="G3653" s="19">
        <v>0</v>
      </c>
      <c r="H3653" s="5" t="s">
        <v>454</v>
      </c>
      <c r="I3653" s="10">
        <f>IF(OR(D3653="", F3653=""), "", F3653 * VLOOKUP(D3653, Products!A:E, 5, FALSE) * (1 - G3653))</f>
        <v>548.9</v>
      </c>
      <c r="J3653" s="10"/>
    </row>
    <row r="3654" spans="1:10" ht="15.75" customHeight="1" x14ac:dyDescent="0.3">
      <c r="A3654" s="5" t="s">
        <v>4521</v>
      </c>
      <c r="B3654" s="11">
        <v>45541</v>
      </c>
      <c r="C3654" s="5" t="s">
        <v>590</v>
      </c>
      <c r="D3654" s="5" t="s">
        <v>265</v>
      </c>
      <c r="E3654" s="5" t="s">
        <v>37</v>
      </c>
      <c r="F3654" s="5">
        <v>3</v>
      </c>
      <c r="G3654" s="19">
        <v>0.1</v>
      </c>
      <c r="H3654" s="5" t="s">
        <v>454</v>
      </c>
      <c r="I3654" s="10">
        <f>IF(OR(D3654="", F3654=""), "", F3654 * VLOOKUP(D3654, Products!A:E, 5, FALSE) * (1 - G3654))</f>
        <v>1523.9339999999997</v>
      </c>
      <c r="J3654" s="10"/>
    </row>
    <row r="3655" spans="1:10" ht="15.75" customHeight="1" x14ac:dyDescent="0.3">
      <c r="A3655" s="5" t="s">
        <v>4522</v>
      </c>
      <c r="B3655" s="11">
        <v>45683</v>
      </c>
      <c r="C3655" s="5" t="s">
        <v>571</v>
      </c>
      <c r="D3655" s="5" t="s">
        <v>67</v>
      </c>
      <c r="E3655" s="5" t="s">
        <v>25</v>
      </c>
      <c r="F3655" s="5">
        <v>2</v>
      </c>
      <c r="G3655" s="19">
        <v>0.1</v>
      </c>
      <c r="H3655" s="5" t="s">
        <v>637</v>
      </c>
      <c r="I3655" s="10">
        <f>IF(OR(D3655="", F3655=""), "", F3655 * VLOOKUP(D3655, Products!A:E, 5, FALSE) * (1 - G3655))</f>
        <v>197.60400000000001</v>
      </c>
      <c r="J3655" s="10"/>
    </row>
    <row r="3656" spans="1:10" ht="15.75" customHeight="1" x14ac:dyDescent="0.3">
      <c r="A3656" s="5" t="s">
        <v>4523</v>
      </c>
      <c r="B3656" s="11">
        <v>45686</v>
      </c>
      <c r="C3656" s="5" t="s">
        <v>240</v>
      </c>
      <c r="D3656" s="5" t="s">
        <v>276</v>
      </c>
      <c r="E3656" s="5" t="s">
        <v>25</v>
      </c>
      <c r="F3656" s="5">
        <v>3</v>
      </c>
      <c r="G3656" s="19">
        <v>0.15</v>
      </c>
      <c r="H3656" s="5" t="s">
        <v>637</v>
      </c>
      <c r="I3656" s="10">
        <f>IF(OR(D3656="", F3656=""), "", F3656 * VLOOKUP(D3656, Products!A:E, 5, FALSE) * (1 - G3656))</f>
        <v>3052.8089999999997</v>
      </c>
      <c r="J3656" s="10"/>
    </row>
    <row r="3657" spans="1:10" ht="15.75" customHeight="1" x14ac:dyDescent="0.3">
      <c r="A3657" s="5" t="s">
        <v>4524</v>
      </c>
      <c r="B3657" s="11">
        <v>45559</v>
      </c>
      <c r="C3657" s="5" t="s">
        <v>16</v>
      </c>
      <c r="D3657" s="5" t="s">
        <v>168</v>
      </c>
      <c r="E3657" s="5" t="s">
        <v>21</v>
      </c>
      <c r="F3657" s="5">
        <v>1</v>
      </c>
      <c r="G3657" s="19">
        <v>0</v>
      </c>
      <c r="H3657" s="5" t="s">
        <v>776</v>
      </c>
      <c r="I3657" s="10">
        <f>IF(OR(D3657="", F3657=""), "", F3657 * VLOOKUP(D3657, Products!A:E, 5, FALSE) * (1 - G3657))</f>
        <v>1015.76</v>
      </c>
      <c r="J3657" s="10"/>
    </row>
    <row r="3658" spans="1:10" ht="15.75" customHeight="1" x14ac:dyDescent="0.3">
      <c r="A3658" s="5" t="s">
        <v>4525</v>
      </c>
      <c r="B3658" s="11">
        <v>45898</v>
      </c>
      <c r="C3658" s="5" t="s">
        <v>652</v>
      </c>
      <c r="D3658" s="5" t="s">
        <v>272</v>
      </c>
      <c r="E3658" s="5" t="s">
        <v>21</v>
      </c>
      <c r="F3658" s="5">
        <v>1</v>
      </c>
      <c r="G3658" s="19">
        <v>0.05</v>
      </c>
      <c r="H3658" s="5" t="s">
        <v>776</v>
      </c>
      <c r="I3658" s="10">
        <f>IF(OR(D3658="", F3658=""), "", F3658 * VLOOKUP(D3658, Products!A:E, 5, FALSE) * (1 - G3658))</f>
        <v>1107.1014999999998</v>
      </c>
      <c r="J3658" s="10"/>
    </row>
    <row r="3659" spans="1:10" ht="15.75" customHeight="1" x14ac:dyDescent="0.3">
      <c r="A3659" s="5" t="s">
        <v>4526</v>
      </c>
      <c r="B3659" s="11">
        <v>45868</v>
      </c>
      <c r="C3659" s="5" t="s">
        <v>842</v>
      </c>
      <c r="D3659" s="5" t="s">
        <v>243</v>
      </c>
      <c r="E3659" s="5" t="s">
        <v>33</v>
      </c>
      <c r="F3659" s="5">
        <v>5</v>
      </c>
      <c r="G3659" s="19">
        <v>0.05</v>
      </c>
      <c r="H3659" s="5" t="s">
        <v>776</v>
      </c>
      <c r="I3659" s="10">
        <f>IF(OR(D3659="", F3659=""), "", F3659 * VLOOKUP(D3659, Products!A:E, 5, FALSE) * (1 - G3659))</f>
        <v>2569.4650000000001</v>
      </c>
      <c r="J3659" s="10"/>
    </row>
    <row r="3660" spans="1:10" ht="15.75" customHeight="1" x14ac:dyDescent="0.3">
      <c r="A3660" s="5" t="s">
        <v>4527</v>
      </c>
      <c r="B3660" s="11">
        <v>45326</v>
      </c>
      <c r="C3660" s="5" t="s">
        <v>597</v>
      </c>
      <c r="D3660" s="5" t="s">
        <v>65</v>
      </c>
      <c r="E3660" s="5" t="s">
        <v>33</v>
      </c>
      <c r="F3660" s="5">
        <v>3</v>
      </c>
      <c r="G3660" s="19">
        <v>0</v>
      </c>
      <c r="H3660" s="5" t="s">
        <v>637</v>
      </c>
      <c r="I3660" s="10">
        <f>IF(OR(D3660="", F3660=""), "", F3660 * VLOOKUP(D3660, Products!A:E, 5, FALSE) * (1 - G3660))</f>
        <v>4422.3599999999997</v>
      </c>
      <c r="J3660" s="10"/>
    </row>
    <row r="3661" spans="1:10" ht="15.75" customHeight="1" x14ac:dyDescent="0.3">
      <c r="A3661" s="5" t="s">
        <v>4528</v>
      </c>
      <c r="B3661" s="11">
        <v>45789</v>
      </c>
      <c r="C3661" s="5" t="s">
        <v>317</v>
      </c>
      <c r="D3661" s="5" t="s">
        <v>262</v>
      </c>
      <c r="E3661" s="5" t="s">
        <v>33</v>
      </c>
      <c r="F3661" s="5">
        <v>5</v>
      </c>
      <c r="G3661" s="19">
        <v>0</v>
      </c>
      <c r="H3661" s="5" t="s">
        <v>776</v>
      </c>
      <c r="I3661" s="10">
        <f>IF(OR(D3661="", F3661=""), "", F3661 * VLOOKUP(D3661, Products!A:E, 5, FALSE) * (1 - G3661))</f>
        <v>2268.1</v>
      </c>
      <c r="J3661" s="10"/>
    </row>
    <row r="3662" spans="1:10" ht="15.75" customHeight="1" x14ac:dyDescent="0.3">
      <c r="A3662" s="5" t="s">
        <v>4529</v>
      </c>
      <c r="B3662" s="11">
        <v>45494</v>
      </c>
      <c r="C3662" s="5" t="s">
        <v>657</v>
      </c>
      <c r="D3662" s="5" t="s">
        <v>262</v>
      </c>
      <c r="E3662" s="5" t="s">
        <v>21</v>
      </c>
      <c r="F3662" s="5">
        <v>3</v>
      </c>
      <c r="G3662" s="19">
        <v>0.15</v>
      </c>
      <c r="H3662" s="5" t="s">
        <v>776</v>
      </c>
      <c r="I3662" s="10">
        <f>IF(OR(D3662="", F3662=""), "", F3662 * VLOOKUP(D3662, Products!A:E, 5, FALSE) * (1 - G3662))</f>
        <v>1156.731</v>
      </c>
      <c r="J3662" s="10"/>
    </row>
    <row r="3663" spans="1:10" ht="15.75" customHeight="1" x14ac:dyDescent="0.3">
      <c r="A3663" s="5" t="s">
        <v>4530</v>
      </c>
      <c r="B3663" s="11">
        <v>45451</v>
      </c>
      <c r="C3663" s="5" t="s">
        <v>300</v>
      </c>
      <c r="D3663" s="5" t="s">
        <v>188</v>
      </c>
      <c r="E3663" s="5" t="s">
        <v>37</v>
      </c>
      <c r="F3663" s="5">
        <v>1</v>
      </c>
      <c r="G3663" s="19">
        <v>0</v>
      </c>
      <c r="H3663" s="5" t="s">
        <v>454</v>
      </c>
      <c r="I3663" s="10">
        <f>IF(OR(D3663="", F3663=""), "", F3663 * VLOOKUP(D3663, Products!A:E, 5, FALSE) * (1 - G3663))</f>
        <v>1485.05</v>
      </c>
      <c r="J3663" s="10"/>
    </row>
    <row r="3664" spans="1:10" ht="15.75" customHeight="1" x14ac:dyDescent="0.3">
      <c r="A3664" s="5" t="s">
        <v>4531</v>
      </c>
      <c r="B3664" s="11">
        <v>45458</v>
      </c>
      <c r="C3664" s="5" t="s">
        <v>815</v>
      </c>
      <c r="D3664" s="5" t="s">
        <v>291</v>
      </c>
      <c r="E3664" s="5" t="s">
        <v>21</v>
      </c>
      <c r="F3664" s="5">
        <v>4</v>
      </c>
      <c r="G3664" s="19">
        <v>0</v>
      </c>
      <c r="H3664" s="5" t="s">
        <v>697</v>
      </c>
      <c r="I3664" s="10">
        <f>IF(OR(D3664="", F3664=""), "", F3664 * VLOOKUP(D3664, Products!A:E, 5, FALSE) * (1 - G3664))</f>
        <v>4178.5600000000004</v>
      </c>
      <c r="J3664" s="10"/>
    </row>
    <row r="3665" spans="1:10" ht="15.75" customHeight="1" x14ac:dyDescent="0.3">
      <c r="A3665" s="5" t="s">
        <v>4532</v>
      </c>
      <c r="B3665" s="11">
        <v>45504</v>
      </c>
      <c r="C3665" s="5" t="s">
        <v>649</v>
      </c>
      <c r="D3665" s="5" t="s">
        <v>206</v>
      </c>
      <c r="E3665" s="5" t="s">
        <v>21</v>
      </c>
      <c r="F3665" s="5">
        <v>4</v>
      </c>
      <c r="G3665" s="19">
        <v>0.15</v>
      </c>
      <c r="H3665" s="5" t="s">
        <v>776</v>
      </c>
      <c r="I3665" s="10">
        <f>IF(OR(D3665="", F3665=""), "", F3665 * VLOOKUP(D3665, Products!A:E, 5, FALSE) * (1 - G3665))</f>
        <v>1036.0139999999999</v>
      </c>
      <c r="J3665" s="10"/>
    </row>
    <row r="3666" spans="1:10" ht="15.75" customHeight="1" x14ac:dyDescent="0.3">
      <c r="A3666" s="5" t="s">
        <v>4533</v>
      </c>
      <c r="B3666" s="11">
        <v>45803</v>
      </c>
      <c r="C3666" s="5" t="s">
        <v>405</v>
      </c>
      <c r="D3666" s="5" t="s">
        <v>147</v>
      </c>
      <c r="E3666" s="5" t="s">
        <v>21</v>
      </c>
      <c r="F3666" s="5">
        <v>4</v>
      </c>
      <c r="G3666" s="19">
        <v>0.05</v>
      </c>
      <c r="H3666" s="5" t="s">
        <v>454</v>
      </c>
      <c r="I3666" s="10">
        <f>IF(OR(D3666="", F3666=""), "", F3666 * VLOOKUP(D3666, Products!A:E, 5, FALSE) * (1 - G3666))</f>
        <v>7138.1859999999997</v>
      </c>
      <c r="J3666" s="10"/>
    </row>
    <row r="3667" spans="1:10" ht="15.75" customHeight="1" x14ac:dyDescent="0.3">
      <c r="A3667" s="5" t="s">
        <v>4534</v>
      </c>
      <c r="B3667" s="11">
        <v>45204</v>
      </c>
      <c r="C3667" s="5" t="s">
        <v>197</v>
      </c>
      <c r="D3667" s="5" t="s">
        <v>237</v>
      </c>
      <c r="E3667" s="5" t="s">
        <v>21</v>
      </c>
      <c r="F3667" s="5">
        <v>3</v>
      </c>
      <c r="G3667" s="19">
        <v>0.1</v>
      </c>
      <c r="H3667" s="5" t="s">
        <v>454</v>
      </c>
      <c r="I3667" s="10">
        <f>IF(OR(D3667="", F3667=""), "", F3667 * VLOOKUP(D3667, Products!A:E, 5, FALSE) * (1 - G3667))</f>
        <v>990.71100000000001</v>
      </c>
      <c r="J3667" s="10"/>
    </row>
    <row r="3668" spans="1:10" ht="15.75" customHeight="1" x14ac:dyDescent="0.3">
      <c r="A3668" s="5" t="s">
        <v>4535</v>
      </c>
      <c r="B3668" s="11">
        <v>45200</v>
      </c>
      <c r="C3668" s="5" t="s">
        <v>631</v>
      </c>
      <c r="D3668" s="5" t="s">
        <v>262</v>
      </c>
      <c r="E3668" s="5" t="s">
        <v>29</v>
      </c>
      <c r="F3668" s="5">
        <v>2</v>
      </c>
      <c r="G3668" s="19">
        <v>0.15</v>
      </c>
      <c r="H3668" s="5" t="s">
        <v>697</v>
      </c>
      <c r="I3668" s="10">
        <f>IF(OR(D3668="", F3668=""), "", F3668 * VLOOKUP(D3668, Products!A:E, 5, FALSE) * (1 - G3668))</f>
        <v>771.154</v>
      </c>
      <c r="J3668" s="10"/>
    </row>
    <row r="3669" spans="1:10" ht="15.75" customHeight="1" x14ac:dyDescent="0.3">
      <c r="A3669" s="5" t="s">
        <v>4536</v>
      </c>
      <c r="B3669" s="11">
        <v>45795</v>
      </c>
      <c r="C3669" s="5" t="s">
        <v>250</v>
      </c>
      <c r="D3669" s="5" t="s">
        <v>103</v>
      </c>
      <c r="E3669" s="5" t="s">
        <v>25</v>
      </c>
      <c r="F3669" s="5">
        <v>1</v>
      </c>
      <c r="G3669" s="19">
        <v>0</v>
      </c>
      <c r="H3669" s="5" t="s">
        <v>637</v>
      </c>
      <c r="I3669" s="10">
        <f>IF(OR(D3669="", F3669=""), "", F3669 * VLOOKUP(D3669, Products!A:E, 5, FALSE) * (1 - G3669))</f>
        <v>270.45</v>
      </c>
      <c r="J3669" s="10"/>
    </row>
    <row r="3670" spans="1:10" ht="15.75" customHeight="1" x14ac:dyDescent="0.3">
      <c r="A3670" s="5" t="s">
        <v>4537</v>
      </c>
      <c r="B3670" s="11">
        <v>45334</v>
      </c>
      <c r="C3670" s="5" t="s">
        <v>338</v>
      </c>
      <c r="D3670" s="5" t="s">
        <v>272</v>
      </c>
      <c r="E3670" s="5" t="s">
        <v>29</v>
      </c>
      <c r="F3670" s="5">
        <v>5</v>
      </c>
      <c r="G3670" s="19">
        <v>0.1</v>
      </c>
      <c r="H3670" s="5" t="s">
        <v>637</v>
      </c>
      <c r="I3670" s="10">
        <f>IF(OR(D3670="", F3670=""), "", F3670 * VLOOKUP(D3670, Products!A:E, 5, FALSE) * (1 - G3670))</f>
        <v>5244.165</v>
      </c>
      <c r="J3670" s="10"/>
    </row>
    <row r="3671" spans="1:10" ht="15.75" customHeight="1" x14ac:dyDescent="0.3">
      <c r="A3671" s="5" t="s">
        <v>4538</v>
      </c>
      <c r="B3671" s="11">
        <v>45664</v>
      </c>
      <c r="C3671" s="5" t="s">
        <v>575</v>
      </c>
      <c r="D3671" s="5" t="s">
        <v>180</v>
      </c>
      <c r="E3671" s="5" t="s">
        <v>33</v>
      </c>
      <c r="F3671" s="5">
        <v>5</v>
      </c>
      <c r="G3671" s="19">
        <v>0.1</v>
      </c>
      <c r="H3671" s="5" t="s">
        <v>637</v>
      </c>
      <c r="I3671" s="10">
        <f>IF(OR(D3671="", F3671=""), "", F3671 * VLOOKUP(D3671, Products!A:E, 5, FALSE) * (1 - G3671))</f>
        <v>3032.0099999999998</v>
      </c>
      <c r="J3671" s="10"/>
    </row>
    <row r="3672" spans="1:10" ht="15.75" customHeight="1" x14ac:dyDescent="0.3">
      <c r="A3672" s="5" t="s">
        <v>4539</v>
      </c>
      <c r="B3672" s="11">
        <v>45884</v>
      </c>
      <c r="C3672" s="5" t="s">
        <v>121</v>
      </c>
      <c r="D3672" s="5" t="s">
        <v>280</v>
      </c>
      <c r="E3672" s="5" t="s">
        <v>25</v>
      </c>
      <c r="F3672" s="5">
        <v>1</v>
      </c>
      <c r="G3672" s="19">
        <v>0</v>
      </c>
      <c r="H3672" s="5" t="s">
        <v>454</v>
      </c>
      <c r="I3672" s="10">
        <f>IF(OR(D3672="", F3672=""), "", F3672 * VLOOKUP(D3672, Products!A:E, 5, FALSE) * (1 - G3672))</f>
        <v>1216.3599999999999</v>
      </c>
      <c r="J3672" s="10"/>
    </row>
    <row r="3673" spans="1:10" ht="15.75" customHeight="1" x14ac:dyDescent="0.3">
      <c r="A3673" s="5" t="s">
        <v>4540</v>
      </c>
      <c r="B3673" s="11">
        <v>45561</v>
      </c>
      <c r="C3673" s="5" t="s">
        <v>353</v>
      </c>
      <c r="D3673" s="5" t="s">
        <v>221</v>
      </c>
      <c r="E3673" s="5" t="s">
        <v>25</v>
      </c>
      <c r="F3673" s="5">
        <v>5</v>
      </c>
      <c r="G3673" s="19">
        <v>0.15</v>
      </c>
      <c r="H3673" s="5" t="s">
        <v>697</v>
      </c>
      <c r="I3673" s="10">
        <f>IF(OR(D3673="", F3673=""), "", F3673 * VLOOKUP(D3673, Products!A:E, 5, FALSE) * (1 - G3673))</f>
        <v>6640.3275000000003</v>
      </c>
      <c r="J3673" s="10"/>
    </row>
    <row r="3674" spans="1:10" ht="15.75" customHeight="1" x14ac:dyDescent="0.3">
      <c r="A3674" s="5" t="s">
        <v>4541</v>
      </c>
      <c r="B3674" s="11">
        <v>45829</v>
      </c>
      <c r="C3674" s="5" t="s">
        <v>586</v>
      </c>
      <c r="D3674" s="5" t="s">
        <v>140</v>
      </c>
      <c r="E3674" s="5" t="s">
        <v>29</v>
      </c>
      <c r="F3674" s="5">
        <v>4</v>
      </c>
      <c r="G3674" s="19">
        <v>0.15</v>
      </c>
      <c r="H3674" s="5" t="s">
        <v>637</v>
      </c>
      <c r="I3674" s="10">
        <f>IF(OR(D3674="", F3674=""), "", F3674 * VLOOKUP(D3674, Products!A:E, 5, FALSE) * (1 - G3674))</f>
        <v>86.938000000000002</v>
      </c>
      <c r="J3674" s="10"/>
    </row>
    <row r="3675" spans="1:10" ht="15.75" customHeight="1" x14ac:dyDescent="0.3">
      <c r="A3675" s="5" t="s">
        <v>4542</v>
      </c>
      <c r="B3675" s="11">
        <v>45798</v>
      </c>
      <c r="C3675" s="5" t="s">
        <v>304</v>
      </c>
      <c r="D3675" s="5" t="s">
        <v>168</v>
      </c>
      <c r="E3675" s="5" t="s">
        <v>21</v>
      </c>
      <c r="F3675" s="5">
        <v>3</v>
      </c>
      <c r="G3675" s="19">
        <v>0</v>
      </c>
      <c r="H3675" s="5" t="s">
        <v>697</v>
      </c>
      <c r="I3675" s="10">
        <f>IF(OR(D3675="", F3675=""), "", F3675 * VLOOKUP(D3675, Products!A:E, 5, FALSE) * (1 - G3675))</f>
        <v>3047.2799999999997</v>
      </c>
      <c r="J3675" s="10"/>
    </row>
    <row r="3676" spans="1:10" ht="15.75" customHeight="1" x14ac:dyDescent="0.3">
      <c r="A3676" s="5" t="s">
        <v>4543</v>
      </c>
      <c r="B3676" s="11">
        <v>45618</v>
      </c>
      <c r="C3676" s="5" t="s">
        <v>292</v>
      </c>
      <c r="D3676" s="5" t="s">
        <v>50</v>
      </c>
      <c r="E3676" s="5" t="s">
        <v>33</v>
      </c>
      <c r="F3676" s="5">
        <v>1</v>
      </c>
      <c r="G3676" s="19">
        <v>0</v>
      </c>
      <c r="H3676" s="5" t="s">
        <v>776</v>
      </c>
      <c r="I3676" s="10">
        <f>IF(OR(D3676="", F3676=""), "", F3676 * VLOOKUP(D3676, Products!A:E, 5, FALSE) * (1 - G3676))</f>
        <v>337.63</v>
      </c>
      <c r="J3676" s="10"/>
    </row>
    <row r="3677" spans="1:10" ht="15.75" customHeight="1" x14ac:dyDescent="0.3">
      <c r="A3677" s="5" t="s">
        <v>4544</v>
      </c>
      <c r="B3677" s="11">
        <v>45517</v>
      </c>
      <c r="C3677" s="5" t="s">
        <v>425</v>
      </c>
      <c r="D3677" s="5" t="s">
        <v>243</v>
      </c>
      <c r="E3677" s="5" t="s">
        <v>33</v>
      </c>
      <c r="F3677" s="5">
        <v>4</v>
      </c>
      <c r="G3677" s="19">
        <v>0.15</v>
      </c>
      <c r="H3677" s="5" t="s">
        <v>776</v>
      </c>
      <c r="I3677" s="10">
        <f>IF(OR(D3677="", F3677=""), "", F3677 * VLOOKUP(D3677, Products!A:E, 5, FALSE) * (1 - G3677))</f>
        <v>1839.1960000000001</v>
      </c>
      <c r="J3677" s="10"/>
    </row>
    <row r="3678" spans="1:10" ht="15.75" customHeight="1" x14ac:dyDescent="0.3">
      <c r="A3678" s="5" t="s">
        <v>4545</v>
      </c>
      <c r="B3678" s="11">
        <v>45595</v>
      </c>
      <c r="C3678" s="5" t="s">
        <v>466</v>
      </c>
      <c r="D3678" s="5" t="s">
        <v>206</v>
      </c>
      <c r="E3678" s="5" t="s">
        <v>29</v>
      </c>
      <c r="F3678" s="5">
        <v>5</v>
      </c>
      <c r="G3678" s="19">
        <v>0</v>
      </c>
      <c r="H3678" s="5" t="s">
        <v>776</v>
      </c>
      <c r="I3678" s="10">
        <f>IF(OR(D3678="", F3678=""), "", F3678 * VLOOKUP(D3678, Products!A:E, 5, FALSE) * (1 - G3678))</f>
        <v>1523.55</v>
      </c>
      <c r="J3678" s="10"/>
    </row>
    <row r="3679" spans="1:10" ht="15.75" customHeight="1" x14ac:dyDescent="0.3">
      <c r="A3679" s="5" t="s">
        <v>4546</v>
      </c>
      <c r="B3679" s="11">
        <v>45366</v>
      </c>
      <c r="C3679" s="5" t="s">
        <v>250</v>
      </c>
      <c r="D3679" s="5" t="s">
        <v>95</v>
      </c>
      <c r="E3679" s="5" t="s">
        <v>21</v>
      </c>
      <c r="F3679" s="5">
        <v>4</v>
      </c>
      <c r="G3679" s="19">
        <v>0.15</v>
      </c>
      <c r="H3679" s="5" t="s">
        <v>637</v>
      </c>
      <c r="I3679" s="10">
        <f>IF(OR(D3679="", F3679=""), "", F3679 * VLOOKUP(D3679, Products!A:E, 5, FALSE) * (1 - G3679))</f>
        <v>4565.3499999999995</v>
      </c>
      <c r="J3679" s="10"/>
    </row>
    <row r="3680" spans="1:10" ht="15.75" customHeight="1" x14ac:dyDescent="0.3">
      <c r="A3680" s="5" t="s">
        <v>4547</v>
      </c>
      <c r="B3680" s="11">
        <v>45718</v>
      </c>
      <c r="C3680" s="5" t="s">
        <v>261</v>
      </c>
      <c r="D3680" s="5" t="s">
        <v>188</v>
      </c>
      <c r="E3680" s="5" t="s">
        <v>29</v>
      </c>
      <c r="F3680" s="5">
        <v>1</v>
      </c>
      <c r="G3680" s="19">
        <v>0</v>
      </c>
      <c r="H3680" s="5" t="s">
        <v>454</v>
      </c>
      <c r="I3680" s="10">
        <f>IF(OR(D3680="", F3680=""), "", F3680 * VLOOKUP(D3680, Products!A:E, 5, FALSE) * (1 - G3680))</f>
        <v>1485.05</v>
      </c>
      <c r="J3680" s="10"/>
    </row>
    <row r="3681" spans="1:10" ht="15.75" customHeight="1" x14ac:dyDescent="0.3">
      <c r="A3681" s="5" t="s">
        <v>4548</v>
      </c>
      <c r="B3681" s="11">
        <v>45261</v>
      </c>
      <c r="C3681" s="5" t="s">
        <v>715</v>
      </c>
      <c r="D3681" s="5" t="s">
        <v>119</v>
      </c>
      <c r="E3681" s="5" t="s">
        <v>25</v>
      </c>
      <c r="F3681" s="5">
        <v>5</v>
      </c>
      <c r="G3681" s="19">
        <v>0</v>
      </c>
      <c r="H3681" s="5" t="s">
        <v>454</v>
      </c>
      <c r="I3681" s="10">
        <f>IF(OR(D3681="", F3681=""), "", F3681 * VLOOKUP(D3681, Products!A:E, 5, FALSE) * (1 - G3681))</f>
        <v>5399.4500000000007</v>
      </c>
      <c r="J3681" s="10"/>
    </row>
    <row r="3682" spans="1:10" ht="15.75" customHeight="1" x14ac:dyDescent="0.3">
      <c r="A3682" s="5" t="s">
        <v>4549</v>
      </c>
      <c r="B3682" s="11">
        <v>45761</v>
      </c>
      <c r="C3682" s="5" t="s">
        <v>705</v>
      </c>
      <c r="D3682" s="5" t="s">
        <v>188</v>
      </c>
      <c r="E3682" s="5" t="s">
        <v>21</v>
      </c>
      <c r="F3682" s="5">
        <v>3</v>
      </c>
      <c r="G3682" s="19">
        <v>0.05</v>
      </c>
      <c r="H3682" s="5" t="s">
        <v>776</v>
      </c>
      <c r="I3682" s="10">
        <f>IF(OR(D3682="", F3682=""), "", F3682 * VLOOKUP(D3682, Products!A:E, 5, FALSE) * (1 - G3682))</f>
        <v>4232.392499999999</v>
      </c>
      <c r="J3682" s="10"/>
    </row>
    <row r="3683" spans="1:10" ht="15.75" customHeight="1" x14ac:dyDescent="0.3">
      <c r="A3683" s="5" t="s">
        <v>4550</v>
      </c>
      <c r="B3683" s="11">
        <v>45525</v>
      </c>
      <c r="C3683" s="5" t="s">
        <v>474</v>
      </c>
      <c r="D3683" s="5" t="s">
        <v>162</v>
      </c>
      <c r="E3683" s="5" t="s">
        <v>25</v>
      </c>
      <c r="F3683" s="5">
        <v>1</v>
      </c>
      <c r="G3683" s="19">
        <v>0.1</v>
      </c>
      <c r="H3683" s="5" t="s">
        <v>776</v>
      </c>
      <c r="I3683" s="10">
        <f>IF(OR(D3683="", F3683=""), "", F3683 * VLOOKUP(D3683, Products!A:E, 5, FALSE) * (1 - G3683))</f>
        <v>386.23500000000001</v>
      </c>
      <c r="J3683" s="10"/>
    </row>
    <row r="3684" spans="1:10" ht="15.75" customHeight="1" x14ac:dyDescent="0.3">
      <c r="A3684" s="5" t="s">
        <v>4551</v>
      </c>
      <c r="B3684" s="11">
        <v>45592</v>
      </c>
      <c r="C3684" s="5" t="s">
        <v>718</v>
      </c>
      <c r="D3684" s="5" t="s">
        <v>103</v>
      </c>
      <c r="E3684" s="5" t="s">
        <v>29</v>
      </c>
      <c r="F3684" s="5">
        <v>5</v>
      </c>
      <c r="G3684" s="19">
        <v>0.15</v>
      </c>
      <c r="H3684" s="5" t="s">
        <v>637</v>
      </c>
      <c r="I3684" s="10">
        <f>IF(OR(D3684="", F3684=""), "", F3684 * VLOOKUP(D3684, Products!A:E, 5, FALSE) * (1 - G3684))</f>
        <v>1149.4124999999999</v>
      </c>
      <c r="J3684" s="10"/>
    </row>
    <row r="3685" spans="1:10" ht="15.75" customHeight="1" x14ac:dyDescent="0.3">
      <c r="A3685" s="5" t="s">
        <v>4552</v>
      </c>
      <c r="B3685" s="11">
        <v>45768</v>
      </c>
      <c r="C3685" s="5" t="s">
        <v>733</v>
      </c>
      <c r="D3685" s="5" t="s">
        <v>280</v>
      </c>
      <c r="E3685" s="5" t="s">
        <v>37</v>
      </c>
      <c r="F3685" s="5">
        <v>4</v>
      </c>
      <c r="G3685" s="19">
        <v>0.05</v>
      </c>
      <c r="H3685" s="5" t="s">
        <v>776</v>
      </c>
      <c r="I3685" s="10">
        <f>IF(OR(D3685="", F3685=""), "", F3685 * VLOOKUP(D3685, Products!A:E, 5, FALSE) * (1 - G3685))</f>
        <v>4622.1679999999997</v>
      </c>
      <c r="J3685" s="10"/>
    </row>
    <row r="3686" spans="1:10" ht="15.75" customHeight="1" x14ac:dyDescent="0.3">
      <c r="A3686" s="5" t="s">
        <v>4553</v>
      </c>
      <c r="B3686" s="11">
        <v>45844</v>
      </c>
      <c r="C3686" s="5" t="s">
        <v>353</v>
      </c>
      <c r="D3686" s="5" t="s">
        <v>180</v>
      </c>
      <c r="E3686" s="5" t="s">
        <v>33</v>
      </c>
      <c r="F3686" s="5">
        <v>5</v>
      </c>
      <c r="G3686" s="19">
        <v>0.15</v>
      </c>
      <c r="H3686" s="5" t="s">
        <v>776</v>
      </c>
      <c r="I3686" s="10">
        <f>IF(OR(D3686="", F3686=""), "", F3686 * VLOOKUP(D3686, Products!A:E, 5, FALSE) * (1 - G3686))</f>
        <v>2863.5649999999996</v>
      </c>
      <c r="J3686" s="10"/>
    </row>
    <row r="3687" spans="1:10" ht="15.75" customHeight="1" x14ac:dyDescent="0.3">
      <c r="A3687" s="5" t="s">
        <v>4554</v>
      </c>
      <c r="B3687" s="11">
        <v>45828</v>
      </c>
      <c r="C3687" s="5" t="s">
        <v>563</v>
      </c>
      <c r="D3687" s="5" t="s">
        <v>280</v>
      </c>
      <c r="E3687" s="5" t="s">
        <v>33</v>
      </c>
      <c r="F3687" s="5">
        <v>5</v>
      </c>
      <c r="G3687" s="19">
        <v>0.1</v>
      </c>
      <c r="H3687" s="5" t="s">
        <v>776</v>
      </c>
      <c r="I3687" s="10">
        <f>IF(OR(D3687="", F3687=""), "", F3687 * VLOOKUP(D3687, Products!A:E, 5, FALSE) * (1 - G3687))</f>
        <v>5473.62</v>
      </c>
      <c r="J3687" s="10"/>
    </row>
    <row r="3688" spans="1:10" ht="15.75" customHeight="1" x14ac:dyDescent="0.3">
      <c r="A3688" s="5" t="s">
        <v>4555</v>
      </c>
      <c r="B3688" s="11">
        <v>45362</v>
      </c>
      <c r="C3688" s="5" t="s">
        <v>560</v>
      </c>
      <c r="D3688" s="5" t="s">
        <v>109</v>
      </c>
      <c r="E3688" s="5" t="s">
        <v>33</v>
      </c>
      <c r="F3688" s="5">
        <v>1</v>
      </c>
      <c r="G3688" s="19">
        <v>0.05</v>
      </c>
      <c r="H3688" s="5" t="s">
        <v>697</v>
      </c>
      <c r="I3688" s="10">
        <f>IF(OR(D3688="", F3688=""), "", F3688 * VLOOKUP(D3688, Products!A:E, 5, FALSE) * (1 - G3688))</f>
        <v>1765.8125</v>
      </c>
      <c r="J3688" s="10"/>
    </row>
    <row r="3689" spans="1:10" ht="15.75" customHeight="1" x14ac:dyDescent="0.3">
      <c r="A3689" s="5" t="s">
        <v>4556</v>
      </c>
      <c r="B3689" s="11">
        <v>45196</v>
      </c>
      <c r="C3689" s="5" t="s">
        <v>628</v>
      </c>
      <c r="D3689" s="5" t="s">
        <v>226</v>
      </c>
      <c r="E3689" s="5" t="s">
        <v>29</v>
      </c>
      <c r="F3689" s="5">
        <v>1</v>
      </c>
      <c r="G3689" s="19">
        <v>0.15</v>
      </c>
      <c r="H3689" s="5" t="s">
        <v>637</v>
      </c>
      <c r="I3689" s="10">
        <f>IF(OR(D3689="", F3689=""), "", F3689 * VLOOKUP(D3689, Products!A:E, 5, FALSE) * (1 - G3689))</f>
        <v>1276.241</v>
      </c>
      <c r="J3689" s="10"/>
    </row>
    <row r="3690" spans="1:10" ht="15.75" customHeight="1" x14ac:dyDescent="0.3">
      <c r="A3690" s="5" t="s">
        <v>4557</v>
      </c>
      <c r="B3690" s="11">
        <v>45824</v>
      </c>
      <c r="C3690" s="5" t="s">
        <v>705</v>
      </c>
      <c r="D3690" s="5" t="s">
        <v>89</v>
      </c>
      <c r="E3690" s="5" t="s">
        <v>29</v>
      </c>
      <c r="F3690" s="5">
        <v>2</v>
      </c>
      <c r="G3690" s="19">
        <v>0.05</v>
      </c>
      <c r="H3690" s="5" t="s">
        <v>697</v>
      </c>
      <c r="I3690" s="10">
        <f>IF(OR(D3690="", F3690=""), "", F3690 * VLOOKUP(D3690, Products!A:E, 5, FALSE) * (1 - G3690))</f>
        <v>2156.12</v>
      </c>
      <c r="J3690" s="10"/>
    </row>
    <row r="3691" spans="1:10" ht="15.75" customHeight="1" x14ac:dyDescent="0.3">
      <c r="A3691" s="5" t="s">
        <v>4558</v>
      </c>
      <c r="B3691" s="11">
        <v>45831</v>
      </c>
      <c r="C3691" s="5" t="s">
        <v>865</v>
      </c>
      <c r="D3691" s="5" t="s">
        <v>269</v>
      </c>
      <c r="E3691" s="5" t="s">
        <v>29</v>
      </c>
      <c r="F3691" s="5">
        <v>4</v>
      </c>
      <c r="G3691" s="19">
        <v>0.05</v>
      </c>
      <c r="H3691" s="5" t="s">
        <v>697</v>
      </c>
      <c r="I3691" s="10">
        <f>IF(OR(D3691="", F3691=""), "", F3691 * VLOOKUP(D3691, Products!A:E, 5, FALSE) * (1 - G3691))</f>
        <v>7140.503999999999</v>
      </c>
      <c r="J3691" s="10"/>
    </row>
    <row r="3692" spans="1:10" ht="15.75" customHeight="1" x14ac:dyDescent="0.3">
      <c r="A3692" s="5" t="s">
        <v>4559</v>
      </c>
      <c r="B3692" s="11">
        <v>45689</v>
      </c>
      <c r="C3692" s="5" t="s">
        <v>842</v>
      </c>
      <c r="D3692" s="5" t="s">
        <v>122</v>
      </c>
      <c r="E3692" s="5" t="s">
        <v>37</v>
      </c>
      <c r="F3692" s="5">
        <v>5</v>
      </c>
      <c r="G3692" s="19">
        <v>0.1</v>
      </c>
      <c r="H3692" s="5" t="s">
        <v>776</v>
      </c>
      <c r="I3692" s="10">
        <f>IF(OR(D3692="", F3692=""), "", F3692 * VLOOKUP(D3692, Products!A:E, 5, FALSE) * (1 - G3692))</f>
        <v>7933.14</v>
      </c>
      <c r="J3692" s="10"/>
    </row>
    <row r="3693" spans="1:10" ht="15.75" customHeight="1" x14ac:dyDescent="0.3">
      <c r="A3693" s="5" t="s">
        <v>4560</v>
      </c>
      <c r="B3693" s="11">
        <v>45672</v>
      </c>
      <c r="C3693" s="5" t="s">
        <v>736</v>
      </c>
      <c r="D3693" s="5" t="s">
        <v>50</v>
      </c>
      <c r="E3693" s="5" t="s">
        <v>33</v>
      </c>
      <c r="F3693" s="5">
        <v>1</v>
      </c>
      <c r="G3693" s="19">
        <v>0</v>
      </c>
      <c r="H3693" s="5" t="s">
        <v>454</v>
      </c>
      <c r="I3693" s="10">
        <f>IF(OR(D3693="", F3693=""), "", F3693 * VLOOKUP(D3693, Products!A:E, 5, FALSE) * (1 - G3693))</f>
        <v>337.63</v>
      </c>
      <c r="J3693" s="10"/>
    </row>
    <row r="3694" spans="1:10" ht="15.75" customHeight="1" x14ac:dyDescent="0.3">
      <c r="A3694" s="5" t="s">
        <v>4561</v>
      </c>
      <c r="B3694" s="11">
        <v>45576</v>
      </c>
      <c r="C3694" s="5" t="s">
        <v>322</v>
      </c>
      <c r="D3694" s="5" t="s">
        <v>180</v>
      </c>
      <c r="E3694" s="5" t="s">
        <v>33</v>
      </c>
      <c r="F3694" s="5">
        <v>2</v>
      </c>
      <c r="G3694" s="19">
        <v>0</v>
      </c>
      <c r="H3694" s="5" t="s">
        <v>697</v>
      </c>
      <c r="I3694" s="10">
        <f>IF(OR(D3694="", F3694=""), "", F3694 * VLOOKUP(D3694, Products!A:E, 5, FALSE) * (1 - G3694))</f>
        <v>1347.56</v>
      </c>
      <c r="J3694" s="10"/>
    </row>
    <row r="3695" spans="1:10" ht="15.75" customHeight="1" x14ac:dyDescent="0.3">
      <c r="A3695" s="5" t="s">
        <v>4562</v>
      </c>
      <c r="B3695" s="11">
        <v>45771</v>
      </c>
      <c r="C3695" s="5" t="s">
        <v>611</v>
      </c>
      <c r="D3695" s="5" t="s">
        <v>291</v>
      </c>
      <c r="E3695" s="5" t="s">
        <v>21</v>
      </c>
      <c r="F3695" s="5">
        <v>5</v>
      </c>
      <c r="G3695" s="19">
        <v>0.15</v>
      </c>
      <c r="H3695" s="5" t="s">
        <v>697</v>
      </c>
      <c r="I3695" s="10">
        <f>IF(OR(D3695="", F3695=""), "", F3695 * VLOOKUP(D3695, Products!A:E, 5, FALSE) * (1 - G3695))</f>
        <v>4439.72</v>
      </c>
      <c r="J3695" s="10"/>
    </row>
    <row r="3696" spans="1:10" ht="15.75" customHeight="1" x14ac:dyDescent="0.3">
      <c r="A3696" s="5" t="s">
        <v>4563</v>
      </c>
      <c r="B3696" s="11">
        <v>45730</v>
      </c>
      <c r="C3696" s="5" t="s">
        <v>240</v>
      </c>
      <c r="D3696" s="5" t="s">
        <v>180</v>
      </c>
      <c r="E3696" s="5" t="s">
        <v>21</v>
      </c>
      <c r="F3696" s="5">
        <v>4</v>
      </c>
      <c r="G3696" s="19">
        <v>0</v>
      </c>
      <c r="H3696" s="5" t="s">
        <v>697</v>
      </c>
      <c r="I3696" s="10">
        <f>IF(OR(D3696="", F3696=""), "", F3696 * VLOOKUP(D3696, Products!A:E, 5, FALSE) * (1 - G3696))</f>
        <v>2695.12</v>
      </c>
      <c r="J3696" s="10"/>
    </row>
    <row r="3697" spans="1:10" ht="15.75" customHeight="1" x14ac:dyDescent="0.3">
      <c r="A3697" s="5" t="s">
        <v>4564</v>
      </c>
      <c r="B3697" s="11">
        <v>45387</v>
      </c>
      <c r="C3697" s="5" t="s">
        <v>779</v>
      </c>
      <c r="D3697" s="5" t="s">
        <v>134</v>
      </c>
      <c r="E3697" s="5" t="s">
        <v>21</v>
      </c>
      <c r="F3697" s="5">
        <v>3</v>
      </c>
      <c r="G3697" s="19">
        <v>0</v>
      </c>
      <c r="H3697" s="5" t="s">
        <v>776</v>
      </c>
      <c r="I3697" s="10">
        <f>IF(OR(D3697="", F3697=""), "", F3697 * VLOOKUP(D3697, Products!A:E, 5, FALSE) * (1 - G3697))</f>
        <v>3681.7200000000003</v>
      </c>
      <c r="J3697" s="10"/>
    </row>
    <row r="3698" spans="1:10" ht="15.75" customHeight="1" x14ac:dyDescent="0.3">
      <c r="A3698" s="5" t="s">
        <v>4565</v>
      </c>
      <c r="B3698" s="11">
        <v>45300</v>
      </c>
      <c r="C3698" s="5" t="s">
        <v>393</v>
      </c>
      <c r="D3698" s="5" t="s">
        <v>65</v>
      </c>
      <c r="E3698" s="5" t="s">
        <v>29</v>
      </c>
      <c r="F3698" s="5">
        <v>5</v>
      </c>
      <c r="G3698" s="19">
        <v>0.15</v>
      </c>
      <c r="H3698" s="5" t="s">
        <v>697</v>
      </c>
      <c r="I3698" s="10">
        <f>IF(OR(D3698="", F3698=""), "", F3698 * VLOOKUP(D3698, Products!A:E, 5, FALSE) * (1 - G3698))</f>
        <v>6265.0099999999993</v>
      </c>
      <c r="J3698" s="10"/>
    </row>
    <row r="3699" spans="1:10" ht="15.75" customHeight="1" x14ac:dyDescent="0.3">
      <c r="A3699" s="5" t="s">
        <v>4566</v>
      </c>
      <c r="B3699" s="11">
        <v>45677</v>
      </c>
      <c r="C3699" s="5" t="s">
        <v>245</v>
      </c>
      <c r="D3699" s="5" t="s">
        <v>269</v>
      </c>
      <c r="E3699" s="5" t="s">
        <v>21</v>
      </c>
      <c r="F3699" s="5">
        <v>4</v>
      </c>
      <c r="G3699" s="19">
        <v>0</v>
      </c>
      <c r="H3699" s="5" t="s">
        <v>454</v>
      </c>
      <c r="I3699" s="10">
        <f>IF(OR(D3699="", F3699=""), "", F3699 * VLOOKUP(D3699, Products!A:E, 5, FALSE) * (1 - G3699))</f>
        <v>7516.32</v>
      </c>
      <c r="J3699" s="10"/>
    </row>
    <row r="3700" spans="1:10" ht="15.75" customHeight="1" x14ac:dyDescent="0.3">
      <c r="A3700" s="5" t="s">
        <v>4567</v>
      </c>
      <c r="B3700" s="11">
        <v>45723</v>
      </c>
      <c r="C3700" s="5" t="s">
        <v>779</v>
      </c>
      <c r="D3700" s="5" t="s">
        <v>140</v>
      </c>
      <c r="E3700" s="5" t="s">
        <v>37</v>
      </c>
      <c r="F3700" s="5">
        <v>1</v>
      </c>
      <c r="G3700" s="19">
        <v>0</v>
      </c>
      <c r="H3700" s="5" t="s">
        <v>637</v>
      </c>
      <c r="I3700" s="10">
        <f>IF(OR(D3700="", F3700=""), "", F3700 * VLOOKUP(D3700, Products!A:E, 5, FALSE) * (1 - G3700))</f>
        <v>25.57</v>
      </c>
      <c r="J3700" s="10"/>
    </row>
    <row r="3701" spans="1:10" ht="15.75" customHeight="1" x14ac:dyDescent="0.3">
      <c r="A3701" s="5" t="s">
        <v>4568</v>
      </c>
      <c r="B3701" s="11">
        <v>45285</v>
      </c>
      <c r="C3701" s="5" t="s">
        <v>416</v>
      </c>
      <c r="D3701" s="5" t="s">
        <v>47</v>
      </c>
      <c r="E3701" s="5" t="s">
        <v>29</v>
      </c>
      <c r="F3701" s="5">
        <v>5</v>
      </c>
      <c r="G3701" s="19">
        <v>0.05</v>
      </c>
      <c r="H3701" s="5" t="s">
        <v>697</v>
      </c>
      <c r="I3701" s="10">
        <f>IF(OR(D3701="", F3701=""), "", F3701 * VLOOKUP(D3701, Products!A:E, 5, FALSE) * (1 - G3701))</f>
        <v>3889.11</v>
      </c>
      <c r="J3701" s="10"/>
    </row>
    <row r="3702" spans="1:10" ht="15.75" customHeight="1" x14ac:dyDescent="0.3">
      <c r="A3702" s="5" t="s">
        <v>4569</v>
      </c>
      <c r="B3702" s="11">
        <v>45187</v>
      </c>
      <c r="C3702" s="5" t="s">
        <v>862</v>
      </c>
      <c r="D3702" s="5" t="s">
        <v>280</v>
      </c>
      <c r="E3702" s="5" t="s">
        <v>21</v>
      </c>
      <c r="F3702" s="5">
        <v>4</v>
      </c>
      <c r="G3702" s="19">
        <v>0.1</v>
      </c>
      <c r="H3702" s="5" t="s">
        <v>697</v>
      </c>
      <c r="I3702" s="10">
        <f>IF(OR(D3702="", F3702=""), "", F3702 * VLOOKUP(D3702, Products!A:E, 5, FALSE) * (1 - G3702))</f>
        <v>4378.8959999999997</v>
      </c>
      <c r="J3702" s="10"/>
    </row>
    <row r="3703" spans="1:10" ht="15.75" customHeight="1" x14ac:dyDescent="0.3">
      <c r="A3703" s="5" t="s">
        <v>4570</v>
      </c>
      <c r="B3703" s="11">
        <v>45578</v>
      </c>
      <c r="C3703" s="5" t="s">
        <v>705</v>
      </c>
      <c r="D3703" s="5" t="s">
        <v>168</v>
      </c>
      <c r="E3703" s="5" t="s">
        <v>33</v>
      </c>
      <c r="F3703" s="5">
        <v>5</v>
      </c>
      <c r="G3703" s="19">
        <v>0.1</v>
      </c>
      <c r="H3703" s="5" t="s">
        <v>637</v>
      </c>
      <c r="I3703" s="10">
        <f>IF(OR(D3703="", F3703=""), "", F3703 * VLOOKUP(D3703, Products!A:E, 5, FALSE) * (1 - G3703))</f>
        <v>4570.92</v>
      </c>
      <c r="J3703" s="10"/>
    </row>
    <row r="3704" spans="1:10" ht="15.75" customHeight="1" x14ac:dyDescent="0.3">
      <c r="A3704" s="5" t="s">
        <v>4571</v>
      </c>
      <c r="B3704" s="11">
        <v>45277</v>
      </c>
      <c r="C3704" s="5" t="s">
        <v>81</v>
      </c>
      <c r="D3704" s="5" t="s">
        <v>272</v>
      </c>
      <c r="E3704" s="5" t="s">
        <v>37</v>
      </c>
      <c r="F3704" s="5">
        <v>2</v>
      </c>
      <c r="G3704" s="19">
        <v>0</v>
      </c>
      <c r="H3704" s="5" t="s">
        <v>776</v>
      </c>
      <c r="I3704" s="10">
        <f>IF(OR(D3704="", F3704=""), "", F3704 * VLOOKUP(D3704, Products!A:E, 5, FALSE) * (1 - G3704))</f>
        <v>2330.7399999999998</v>
      </c>
      <c r="J3704" s="10"/>
    </row>
    <row r="3705" spans="1:10" ht="15.75" customHeight="1" x14ac:dyDescent="0.3">
      <c r="A3705" s="5" t="s">
        <v>4572</v>
      </c>
      <c r="B3705" s="11">
        <v>45668</v>
      </c>
      <c r="C3705" s="5" t="s">
        <v>416</v>
      </c>
      <c r="D3705" s="5" t="s">
        <v>153</v>
      </c>
      <c r="E3705" s="5" t="s">
        <v>37</v>
      </c>
      <c r="F3705" s="5">
        <v>1</v>
      </c>
      <c r="G3705" s="19">
        <v>0.15</v>
      </c>
      <c r="H3705" s="5" t="s">
        <v>637</v>
      </c>
      <c r="I3705" s="10">
        <f>IF(OR(D3705="", F3705=""), "", F3705 * VLOOKUP(D3705, Products!A:E, 5, FALSE) * (1 - G3705))</f>
        <v>1264.2985000000001</v>
      </c>
      <c r="J3705" s="10"/>
    </row>
    <row r="3706" spans="1:10" ht="15.75" customHeight="1" x14ac:dyDescent="0.3">
      <c r="A3706" s="5" t="s">
        <v>4573</v>
      </c>
      <c r="B3706" s="11">
        <v>45339</v>
      </c>
      <c r="C3706" s="5" t="s">
        <v>474</v>
      </c>
      <c r="D3706" s="5" t="s">
        <v>168</v>
      </c>
      <c r="E3706" s="5" t="s">
        <v>33</v>
      </c>
      <c r="F3706" s="5">
        <v>1</v>
      </c>
      <c r="G3706" s="19">
        <v>0.05</v>
      </c>
      <c r="H3706" s="5" t="s">
        <v>697</v>
      </c>
      <c r="I3706" s="10">
        <f>IF(OR(D3706="", F3706=""), "", F3706 * VLOOKUP(D3706, Products!A:E, 5, FALSE) * (1 - G3706))</f>
        <v>964.97199999999998</v>
      </c>
      <c r="J3706" s="10"/>
    </row>
    <row r="3707" spans="1:10" ht="15.75" customHeight="1" x14ac:dyDescent="0.3">
      <c r="A3707" s="5" t="s">
        <v>4574</v>
      </c>
      <c r="B3707" s="11">
        <v>45198</v>
      </c>
      <c r="C3707" s="5" t="s">
        <v>532</v>
      </c>
      <c r="D3707" s="5" t="s">
        <v>276</v>
      </c>
      <c r="E3707" s="5" t="s">
        <v>37</v>
      </c>
      <c r="F3707" s="5">
        <v>1</v>
      </c>
      <c r="G3707" s="19">
        <v>0.1</v>
      </c>
      <c r="H3707" s="5" t="s">
        <v>637</v>
      </c>
      <c r="I3707" s="10">
        <f>IF(OR(D3707="", F3707=""), "", F3707 * VLOOKUP(D3707, Products!A:E, 5, FALSE) * (1 - G3707))</f>
        <v>1077.462</v>
      </c>
      <c r="J3707" s="10"/>
    </row>
    <row r="3708" spans="1:10" ht="15.75" customHeight="1" x14ac:dyDescent="0.3">
      <c r="A3708" s="5" t="s">
        <v>4575</v>
      </c>
      <c r="B3708" s="11">
        <v>45330</v>
      </c>
      <c r="C3708" s="5" t="s">
        <v>215</v>
      </c>
      <c r="D3708" s="5" t="s">
        <v>43</v>
      </c>
      <c r="E3708" s="5" t="s">
        <v>21</v>
      </c>
      <c r="F3708" s="5">
        <v>2</v>
      </c>
      <c r="G3708" s="19">
        <v>0.15</v>
      </c>
      <c r="H3708" s="5" t="s">
        <v>454</v>
      </c>
      <c r="I3708" s="10">
        <f>IF(OR(D3708="", F3708=""), "", F3708 * VLOOKUP(D3708, Products!A:E, 5, FALSE) * (1 - G3708))</f>
        <v>2845.2730000000001</v>
      </c>
      <c r="J3708" s="10"/>
    </row>
    <row r="3709" spans="1:10" ht="15.75" customHeight="1" x14ac:dyDescent="0.3">
      <c r="A3709" s="5" t="s">
        <v>4576</v>
      </c>
      <c r="B3709" s="11">
        <v>45518</v>
      </c>
      <c r="C3709" s="5" t="s">
        <v>322</v>
      </c>
      <c r="D3709" s="5" t="s">
        <v>77</v>
      </c>
      <c r="E3709" s="5" t="s">
        <v>37</v>
      </c>
      <c r="F3709" s="5">
        <v>4</v>
      </c>
      <c r="G3709" s="19">
        <v>0.05</v>
      </c>
      <c r="H3709" s="5" t="s">
        <v>637</v>
      </c>
      <c r="I3709" s="10">
        <f>IF(OR(D3709="", F3709=""), "", F3709 * VLOOKUP(D3709, Products!A:E, 5, FALSE) * (1 - G3709))</f>
        <v>944.56599999999992</v>
      </c>
      <c r="J3709" s="10"/>
    </row>
    <row r="3710" spans="1:10" ht="15.75" customHeight="1" x14ac:dyDescent="0.3">
      <c r="A3710" s="5" t="s">
        <v>4577</v>
      </c>
      <c r="B3710" s="11">
        <v>45840</v>
      </c>
      <c r="C3710" s="5" t="s">
        <v>833</v>
      </c>
      <c r="D3710" s="5" t="s">
        <v>267</v>
      </c>
      <c r="E3710" s="5" t="s">
        <v>33</v>
      </c>
      <c r="F3710" s="5">
        <v>5</v>
      </c>
      <c r="G3710" s="19">
        <v>0.15</v>
      </c>
      <c r="H3710" s="5" t="s">
        <v>776</v>
      </c>
      <c r="I3710" s="10">
        <f>IF(OR(D3710="", F3710=""), "", F3710 * VLOOKUP(D3710, Products!A:E, 5, FALSE) * (1 - G3710))</f>
        <v>5467.8374999999996</v>
      </c>
      <c r="J3710" s="10"/>
    </row>
    <row r="3711" spans="1:10" ht="15.75" customHeight="1" x14ac:dyDescent="0.3">
      <c r="A3711" s="5" t="s">
        <v>4578</v>
      </c>
      <c r="B3711" s="11">
        <v>45665</v>
      </c>
      <c r="C3711" s="5" t="s">
        <v>425</v>
      </c>
      <c r="D3711" s="5" t="s">
        <v>109</v>
      </c>
      <c r="E3711" s="5" t="s">
        <v>21</v>
      </c>
      <c r="F3711" s="5">
        <v>5</v>
      </c>
      <c r="G3711" s="19">
        <v>0.1</v>
      </c>
      <c r="H3711" s="5" t="s">
        <v>697</v>
      </c>
      <c r="I3711" s="10">
        <f>IF(OR(D3711="", F3711=""), "", F3711 * VLOOKUP(D3711, Products!A:E, 5, FALSE) * (1 - G3711))</f>
        <v>8364.375</v>
      </c>
      <c r="J3711" s="10"/>
    </row>
    <row r="3712" spans="1:10" ht="15.75" customHeight="1" x14ac:dyDescent="0.3">
      <c r="A3712" s="5" t="s">
        <v>4579</v>
      </c>
      <c r="B3712" s="11">
        <v>45617</v>
      </c>
      <c r="C3712" s="5" t="s">
        <v>823</v>
      </c>
      <c r="D3712" s="5" t="s">
        <v>180</v>
      </c>
      <c r="E3712" s="5" t="s">
        <v>21</v>
      </c>
      <c r="F3712" s="5">
        <v>3</v>
      </c>
      <c r="G3712" s="19">
        <v>0</v>
      </c>
      <c r="H3712" s="5" t="s">
        <v>637</v>
      </c>
      <c r="I3712" s="10">
        <f>IF(OR(D3712="", F3712=""), "", F3712 * VLOOKUP(D3712, Products!A:E, 5, FALSE) * (1 - G3712))</f>
        <v>2021.34</v>
      </c>
      <c r="J3712" s="10"/>
    </row>
    <row r="3713" spans="1:10" ht="15.75" customHeight="1" x14ac:dyDescent="0.3">
      <c r="A3713" s="5" t="s">
        <v>4580</v>
      </c>
      <c r="B3713" s="11">
        <v>45549</v>
      </c>
      <c r="C3713" s="5" t="s">
        <v>245</v>
      </c>
      <c r="D3713" s="5" t="s">
        <v>70</v>
      </c>
      <c r="E3713" s="5" t="s">
        <v>29</v>
      </c>
      <c r="F3713" s="5">
        <v>4</v>
      </c>
      <c r="G3713" s="19">
        <v>0</v>
      </c>
      <c r="H3713" s="5" t="s">
        <v>637</v>
      </c>
      <c r="I3713" s="10">
        <f>IF(OR(D3713="", F3713=""), "", F3713 * VLOOKUP(D3713, Products!A:E, 5, FALSE) * (1 - G3713))</f>
        <v>492.76</v>
      </c>
      <c r="J3713" s="10"/>
    </row>
    <row r="3714" spans="1:10" ht="15.75" customHeight="1" x14ac:dyDescent="0.3">
      <c r="A3714" s="5" t="s">
        <v>4581</v>
      </c>
      <c r="B3714" s="11">
        <v>45622</v>
      </c>
      <c r="C3714" s="5" t="s">
        <v>635</v>
      </c>
      <c r="D3714" s="5" t="s">
        <v>206</v>
      </c>
      <c r="E3714" s="5" t="s">
        <v>25</v>
      </c>
      <c r="F3714" s="5">
        <v>2</v>
      </c>
      <c r="G3714" s="19">
        <v>0.15</v>
      </c>
      <c r="H3714" s="5" t="s">
        <v>454</v>
      </c>
      <c r="I3714" s="10">
        <f>IF(OR(D3714="", F3714=""), "", F3714 * VLOOKUP(D3714, Products!A:E, 5, FALSE) * (1 - G3714))</f>
        <v>518.00699999999995</v>
      </c>
      <c r="J3714" s="10"/>
    </row>
    <row r="3715" spans="1:10" ht="15.75" customHeight="1" x14ac:dyDescent="0.3">
      <c r="A3715" s="5" t="s">
        <v>4582</v>
      </c>
      <c r="B3715" s="11">
        <v>45843</v>
      </c>
      <c r="C3715" s="5" t="s">
        <v>789</v>
      </c>
      <c r="D3715" s="5" t="s">
        <v>272</v>
      </c>
      <c r="E3715" s="5" t="s">
        <v>37</v>
      </c>
      <c r="F3715" s="5">
        <v>5</v>
      </c>
      <c r="G3715" s="19">
        <v>0.05</v>
      </c>
      <c r="H3715" s="5" t="s">
        <v>454</v>
      </c>
      <c r="I3715" s="10">
        <f>IF(OR(D3715="", F3715=""), "", F3715 * VLOOKUP(D3715, Products!A:E, 5, FALSE) * (1 - G3715))</f>
        <v>5535.5074999999988</v>
      </c>
      <c r="J3715" s="10"/>
    </row>
    <row r="3716" spans="1:10" ht="15.75" customHeight="1" x14ac:dyDescent="0.3">
      <c r="A3716" s="5" t="s">
        <v>4583</v>
      </c>
      <c r="B3716" s="11">
        <v>45824</v>
      </c>
      <c r="C3716" s="5" t="s">
        <v>833</v>
      </c>
      <c r="D3716" s="5" t="s">
        <v>276</v>
      </c>
      <c r="E3716" s="5" t="s">
        <v>33</v>
      </c>
      <c r="F3716" s="5">
        <v>3</v>
      </c>
      <c r="G3716" s="19">
        <v>0</v>
      </c>
      <c r="H3716" s="5" t="s">
        <v>637</v>
      </c>
      <c r="I3716" s="10">
        <f>IF(OR(D3716="", F3716=""), "", F3716 * VLOOKUP(D3716, Products!A:E, 5, FALSE) * (1 - G3716))</f>
        <v>3591.54</v>
      </c>
      <c r="J3716" s="10"/>
    </row>
    <row r="3717" spans="1:10" ht="15.75" customHeight="1" x14ac:dyDescent="0.3">
      <c r="A3717" s="5" t="s">
        <v>4584</v>
      </c>
      <c r="B3717" s="11">
        <v>45291</v>
      </c>
      <c r="C3717" s="5" t="s">
        <v>711</v>
      </c>
      <c r="D3717" s="5" t="s">
        <v>82</v>
      </c>
      <c r="E3717" s="5" t="s">
        <v>33</v>
      </c>
      <c r="F3717" s="5">
        <v>2</v>
      </c>
      <c r="G3717" s="19">
        <v>0.1</v>
      </c>
      <c r="H3717" s="5" t="s">
        <v>776</v>
      </c>
      <c r="I3717" s="10">
        <f>IF(OR(D3717="", F3717=""), "", F3717 * VLOOKUP(D3717, Products!A:E, 5, FALSE) * (1 - G3717))</f>
        <v>2147.5619999999999</v>
      </c>
      <c r="J3717" s="10"/>
    </row>
    <row r="3718" spans="1:10" ht="15.75" customHeight="1" x14ac:dyDescent="0.3">
      <c r="A3718" s="5" t="s">
        <v>4585</v>
      </c>
      <c r="B3718" s="11">
        <v>45196</v>
      </c>
      <c r="C3718" s="5" t="s">
        <v>729</v>
      </c>
      <c r="D3718" s="5" t="s">
        <v>119</v>
      </c>
      <c r="E3718" s="5" t="s">
        <v>33</v>
      </c>
      <c r="F3718" s="5">
        <v>3</v>
      </c>
      <c r="G3718" s="19">
        <v>0.15</v>
      </c>
      <c r="H3718" s="5" t="s">
        <v>637</v>
      </c>
      <c r="I3718" s="10">
        <f>IF(OR(D3718="", F3718=""), "", F3718 * VLOOKUP(D3718, Products!A:E, 5, FALSE) * (1 - G3718))</f>
        <v>2753.7195000000002</v>
      </c>
      <c r="J3718" s="10"/>
    </row>
    <row r="3719" spans="1:10" ht="15.75" customHeight="1" x14ac:dyDescent="0.3">
      <c r="A3719" s="5" t="s">
        <v>4586</v>
      </c>
      <c r="B3719" s="11">
        <v>45675</v>
      </c>
      <c r="C3719" s="5" t="s">
        <v>680</v>
      </c>
      <c r="D3719" s="5" t="s">
        <v>168</v>
      </c>
      <c r="E3719" s="5" t="s">
        <v>25</v>
      </c>
      <c r="F3719" s="5">
        <v>3</v>
      </c>
      <c r="G3719" s="19">
        <v>0.15</v>
      </c>
      <c r="H3719" s="5" t="s">
        <v>776</v>
      </c>
      <c r="I3719" s="10">
        <f>IF(OR(D3719="", F3719=""), "", F3719 * VLOOKUP(D3719, Products!A:E, 5, FALSE) * (1 - G3719))</f>
        <v>2590.1879999999996</v>
      </c>
      <c r="J3719" s="10"/>
    </row>
    <row r="3720" spans="1:10" ht="15.75" customHeight="1" x14ac:dyDescent="0.3">
      <c r="A3720" s="5" t="s">
        <v>4587</v>
      </c>
      <c r="B3720" s="11">
        <v>45826</v>
      </c>
      <c r="C3720" s="5" t="s">
        <v>425</v>
      </c>
      <c r="D3720" s="5" t="s">
        <v>193</v>
      </c>
      <c r="E3720" s="5" t="s">
        <v>33</v>
      </c>
      <c r="F3720" s="5">
        <v>5</v>
      </c>
      <c r="G3720" s="19">
        <v>0.1</v>
      </c>
      <c r="H3720" s="5" t="s">
        <v>697</v>
      </c>
      <c r="I3720" s="10">
        <f>IF(OR(D3720="", F3720=""), "", F3720 * VLOOKUP(D3720, Products!A:E, 5, FALSE) * (1 - G3720))</f>
        <v>131.57999999999998</v>
      </c>
      <c r="J3720" s="10"/>
    </row>
    <row r="3721" spans="1:10" ht="15.75" customHeight="1" x14ac:dyDescent="0.3">
      <c r="A3721" s="5" t="s">
        <v>4588</v>
      </c>
      <c r="B3721" s="11">
        <v>45734</v>
      </c>
      <c r="C3721" s="5" t="s">
        <v>177</v>
      </c>
      <c r="D3721" s="5" t="s">
        <v>232</v>
      </c>
      <c r="E3721" s="5" t="s">
        <v>33</v>
      </c>
      <c r="F3721" s="5">
        <v>1</v>
      </c>
      <c r="G3721" s="19">
        <v>0.05</v>
      </c>
      <c r="H3721" s="5" t="s">
        <v>454</v>
      </c>
      <c r="I3721" s="10">
        <f>IF(OR(D3721="", F3721=""), "", F3721 * VLOOKUP(D3721, Products!A:E, 5, FALSE) * (1 - G3721))</f>
        <v>1855.0174999999999</v>
      </c>
      <c r="J3721" s="10"/>
    </row>
    <row r="3722" spans="1:10" ht="15.75" customHeight="1" x14ac:dyDescent="0.3">
      <c r="A3722" s="5" t="s">
        <v>4589</v>
      </c>
      <c r="B3722" s="11">
        <v>45732</v>
      </c>
      <c r="C3722" s="5" t="s">
        <v>235</v>
      </c>
      <c r="D3722" s="5" t="s">
        <v>50</v>
      </c>
      <c r="E3722" s="5" t="s">
        <v>33</v>
      </c>
      <c r="F3722" s="5">
        <v>2</v>
      </c>
      <c r="G3722" s="19">
        <v>0.05</v>
      </c>
      <c r="H3722" s="5" t="s">
        <v>454</v>
      </c>
      <c r="I3722" s="10">
        <f>IF(OR(D3722="", F3722=""), "", F3722 * VLOOKUP(D3722, Products!A:E, 5, FALSE) * (1 - G3722))</f>
        <v>641.49699999999996</v>
      </c>
      <c r="J3722" s="10"/>
    </row>
    <row r="3723" spans="1:10" ht="15.75" customHeight="1" x14ac:dyDescent="0.3">
      <c r="A3723" s="5" t="s">
        <v>4590</v>
      </c>
      <c r="B3723" s="11">
        <v>45534</v>
      </c>
      <c r="C3723" s="5" t="s">
        <v>711</v>
      </c>
      <c r="D3723" s="5" t="s">
        <v>67</v>
      </c>
      <c r="E3723" s="5" t="s">
        <v>25</v>
      </c>
      <c r="F3723" s="5">
        <v>4</v>
      </c>
      <c r="G3723" s="19">
        <v>0.1</v>
      </c>
      <c r="H3723" s="5" t="s">
        <v>697</v>
      </c>
      <c r="I3723" s="10">
        <f>IF(OR(D3723="", F3723=""), "", F3723 * VLOOKUP(D3723, Products!A:E, 5, FALSE) * (1 - G3723))</f>
        <v>395.20800000000003</v>
      </c>
      <c r="J3723" s="10"/>
    </row>
    <row r="3724" spans="1:10" ht="15.75" customHeight="1" x14ac:dyDescent="0.3">
      <c r="A3724" s="5" t="s">
        <v>4591</v>
      </c>
      <c r="B3724" s="11">
        <v>45902</v>
      </c>
      <c r="C3724" s="5" t="s">
        <v>16</v>
      </c>
      <c r="D3724" s="5" t="s">
        <v>95</v>
      </c>
      <c r="E3724" s="5" t="s">
        <v>37</v>
      </c>
      <c r="F3724" s="5">
        <v>5</v>
      </c>
      <c r="G3724" s="19">
        <v>0.05</v>
      </c>
      <c r="H3724" s="5" t="s">
        <v>454</v>
      </c>
      <c r="I3724" s="10">
        <f>IF(OR(D3724="", F3724=""), "", F3724 * VLOOKUP(D3724, Products!A:E, 5, FALSE) * (1 - G3724))</f>
        <v>6378.0625</v>
      </c>
      <c r="J3724" s="10"/>
    </row>
    <row r="3725" spans="1:10" ht="15.75" customHeight="1" x14ac:dyDescent="0.3">
      <c r="A3725" s="5" t="s">
        <v>4592</v>
      </c>
      <c r="B3725" s="11">
        <v>45856</v>
      </c>
      <c r="C3725" s="5" t="s">
        <v>671</v>
      </c>
      <c r="D3725" s="5" t="s">
        <v>269</v>
      </c>
      <c r="E3725" s="5" t="s">
        <v>33</v>
      </c>
      <c r="F3725" s="5">
        <v>5</v>
      </c>
      <c r="G3725" s="19">
        <v>0.05</v>
      </c>
      <c r="H3725" s="5" t="s">
        <v>776</v>
      </c>
      <c r="I3725" s="10">
        <f>IF(OR(D3725="", F3725=""), "", F3725 * VLOOKUP(D3725, Products!A:E, 5, FALSE) * (1 - G3725))</f>
        <v>8925.6299999999992</v>
      </c>
      <c r="J3725" s="10"/>
    </row>
    <row r="3726" spans="1:10" ht="15.75" customHeight="1" x14ac:dyDescent="0.3">
      <c r="A3726" s="5" t="s">
        <v>4593</v>
      </c>
      <c r="B3726" s="11">
        <v>45343</v>
      </c>
      <c r="C3726" s="5" t="s">
        <v>583</v>
      </c>
      <c r="D3726" s="5" t="s">
        <v>276</v>
      </c>
      <c r="E3726" s="5" t="s">
        <v>25</v>
      </c>
      <c r="F3726" s="5">
        <v>3</v>
      </c>
      <c r="G3726" s="19">
        <v>0.15</v>
      </c>
      <c r="H3726" s="5" t="s">
        <v>637</v>
      </c>
      <c r="I3726" s="10">
        <f>IF(OR(D3726="", F3726=""), "", F3726 * VLOOKUP(D3726, Products!A:E, 5, FALSE) * (1 - G3726))</f>
        <v>3052.8089999999997</v>
      </c>
      <c r="J3726" s="10"/>
    </row>
    <row r="3727" spans="1:10" ht="15.75" customHeight="1" x14ac:dyDescent="0.3">
      <c r="A3727" s="5" t="s">
        <v>4594</v>
      </c>
      <c r="B3727" s="11">
        <v>45599</v>
      </c>
      <c r="C3727" s="5" t="s">
        <v>304</v>
      </c>
      <c r="D3727" s="5" t="s">
        <v>77</v>
      </c>
      <c r="E3727" s="5" t="s">
        <v>37</v>
      </c>
      <c r="F3727" s="5">
        <v>4</v>
      </c>
      <c r="G3727" s="19">
        <v>0</v>
      </c>
      <c r="H3727" s="5" t="s">
        <v>637</v>
      </c>
      <c r="I3727" s="10">
        <f>IF(OR(D3727="", F3727=""), "", F3727 * VLOOKUP(D3727, Products!A:E, 5, FALSE) * (1 - G3727))</f>
        <v>994.28</v>
      </c>
      <c r="J3727" s="10"/>
    </row>
    <row r="3728" spans="1:10" ht="15.75" customHeight="1" x14ac:dyDescent="0.3">
      <c r="A3728" s="5" t="s">
        <v>4595</v>
      </c>
      <c r="B3728" s="11">
        <v>45581</v>
      </c>
      <c r="C3728" s="5" t="s">
        <v>106</v>
      </c>
      <c r="D3728" s="5" t="s">
        <v>74</v>
      </c>
      <c r="E3728" s="5" t="s">
        <v>37</v>
      </c>
      <c r="F3728" s="5">
        <v>1</v>
      </c>
      <c r="G3728" s="19">
        <v>0</v>
      </c>
      <c r="H3728" s="5" t="s">
        <v>454</v>
      </c>
      <c r="I3728" s="10">
        <f>IF(OR(D3728="", F3728=""), "", F3728 * VLOOKUP(D3728, Products!A:E, 5, FALSE) * (1 - G3728))</f>
        <v>1194.1199999999999</v>
      </c>
      <c r="J3728" s="10"/>
    </row>
    <row r="3729" spans="1:10" ht="15.75" customHeight="1" x14ac:dyDescent="0.3">
      <c r="A3729" s="5" t="s">
        <v>4596</v>
      </c>
      <c r="B3729" s="11">
        <v>45698</v>
      </c>
      <c r="C3729" s="5" t="s">
        <v>185</v>
      </c>
      <c r="D3729" s="5" t="s">
        <v>267</v>
      </c>
      <c r="E3729" s="5" t="s">
        <v>25</v>
      </c>
      <c r="F3729" s="5">
        <v>1</v>
      </c>
      <c r="G3729" s="19">
        <v>0.05</v>
      </c>
      <c r="H3729" s="5" t="s">
        <v>454</v>
      </c>
      <c r="I3729" s="10">
        <f>IF(OR(D3729="", F3729=""), "", F3729 * VLOOKUP(D3729, Products!A:E, 5, FALSE) * (1 - G3729))</f>
        <v>1222.2224999999999</v>
      </c>
      <c r="J3729" s="10"/>
    </row>
    <row r="3730" spans="1:10" ht="15.75" customHeight="1" x14ac:dyDescent="0.3">
      <c r="A3730" s="5" t="s">
        <v>4597</v>
      </c>
      <c r="B3730" s="11">
        <v>45440</v>
      </c>
      <c r="C3730" s="5" t="s">
        <v>779</v>
      </c>
      <c r="D3730" s="5" t="s">
        <v>232</v>
      </c>
      <c r="E3730" s="5" t="s">
        <v>37</v>
      </c>
      <c r="F3730" s="5">
        <v>2</v>
      </c>
      <c r="G3730" s="19">
        <v>0.05</v>
      </c>
      <c r="H3730" s="5" t="s">
        <v>637</v>
      </c>
      <c r="I3730" s="10">
        <f>IF(OR(D3730="", F3730=""), "", F3730 * VLOOKUP(D3730, Products!A:E, 5, FALSE) * (1 - G3730))</f>
        <v>3710.0349999999999</v>
      </c>
      <c r="J3730" s="10"/>
    </row>
    <row r="3731" spans="1:10" ht="15.75" customHeight="1" x14ac:dyDescent="0.3">
      <c r="A3731" s="5" t="s">
        <v>4598</v>
      </c>
      <c r="B3731" s="11">
        <v>45831</v>
      </c>
      <c r="C3731" s="5" t="s">
        <v>240</v>
      </c>
      <c r="D3731" s="5" t="s">
        <v>249</v>
      </c>
      <c r="E3731" s="5" t="s">
        <v>25</v>
      </c>
      <c r="F3731" s="5">
        <v>2</v>
      </c>
      <c r="G3731" s="19">
        <v>0.15</v>
      </c>
      <c r="H3731" s="5" t="s">
        <v>637</v>
      </c>
      <c r="I3731" s="10">
        <f>IF(OR(D3731="", F3731=""), "", F3731 * VLOOKUP(D3731, Products!A:E, 5, FALSE) * (1 - G3731))</f>
        <v>2967.5369999999998</v>
      </c>
      <c r="J3731" s="10"/>
    </row>
    <row r="3732" spans="1:10" ht="15.75" customHeight="1" x14ac:dyDescent="0.3">
      <c r="A3732" s="5" t="s">
        <v>4599</v>
      </c>
      <c r="B3732" s="11">
        <v>45602</v>
      </c>
      <c r="C3732" s="5" t="s">
        <v>16</v>
      </c>
      <c r="D3732" s="5" t="s">
        <v>74</v>
      </c>
      <c r="E3732" s="5" t="s">
        <v>29</v>
      </c>
      <c r="F3732" s="5">
        <v>2</v>
      </c>
      <c r="G3732" s="19">
        <v>0.05</v>
      </c>
      <c r="H3732" s="5" t="s">
        <v>776</v>
      </c>
      <c r="I3732" s="10">
        <f>IF(OR(D3732="", F3732=""), "", F3732 * VLOOKUP(D3732, Products!A:E, 5, FALSE) * (1 - G3732))</f>
        <v>2268.8279999999995</v>
      </c>
      <c r="J3732" s="10"/>
    </row>
    <row r="3733" spans="1:10" ht="15.75" customHeight="1" x14ac:dyDescent="0.3">
      <c r="A3733" s="5" t="s">
        <v>4600</v>
      </c>
      <c r="B3733" s="11">
        <v>45697</v>
      </c>
      <c r="C3733" s="5" t="s">
        <v>412</v>
      </c>
      <c r="D3733" s="5" t="s">
        <v>217</v>
      </c>
      <c r="E3733" s="5" t="s">
        <v>29</v>
      </c>
      <c r="F3733" s="5">
        <v>5</v>
      </c>
      <c r="G3733" s="19">
        <v>0</v>
      </c>
      <c r="H3733" s="5" t="s">
        <v>637</v>
      </c>
      <c r="I3733" s="10">
        <f>IF(OR(D3733="", F3733=""), "", F3733 * VLOOKUP(D3733, Products!A:E, 5, FALSE) * (1 - G3733))</f>
        <v>2140.25</v>
      </c>
      <c r="J3733" s="10"/>
    </row>
    <row r="3734" spans="1:10" ht="15.75" customHeight="1" x14ac:dyDescent="0.3">
      <c r="A3734" s="5" t="s">
        <v>4601</v>
      </c>
      <c r="B3734" s="11">
        <v>45871</v>
      </c>
      <c r="C3734" s="5" t="s">
        <v>488</v>
      </c>
      <c r="D3734" s="5" t="s">
        <v>276</v>
      </c>
      <c r="E3734" s="5" t="s">
        <v>21</v>
      </c>
      <c r="F3734" s="5">
        <v>2</v>
      </c>
      <c r="G3734" s="19">
        <v>0.1</v>
      </c>
      <c r="H3734" s="5" t="s">
        <v>454</v>
      </c>
      <c r="I3734" s="10">
        <f>IF(OR(D3734="", F3734=""), "", F3734 * VLOOKUP(D3734, Products!A:E, 5, FALSE) * (1 - G3734))</f>
        <v>2154.924</v>
      </c>
      <c r="J3734" s="10"/>
    </row>
    <row r="3735" spans="1:10" ht="15.75" customHeight="1" x14ac:dyDescent="0.3">
      <c r="A3735" s="5" t="s">
        <v>4602</v>
      </c>
      <c r="B3735" s="11">
        <v>45909</v>
      </c>
      <c r="C3735" s="5" t="s">
        <v>799</v>
      </c>
      <c r="D3735" s="5" t="s">
        <v>180</v>
      </c>
      <c r="E3735" s="5" t="s">
        <v>29</v>
      </c>
      <c r="F3735" s="5">
        <v>4</v>
      </c>
      <c r="G3735" s="19">
        <v>0.05</v>
      </c>
      <c r="H3735" s="5" t="s">
        <v>454</v>
      </c>
      <c r="I3735" s="10">
        <f>IF(OR(D3735="", F3735=""), "", F3735 * VLOOKUP(D3735, Products!A:E, 5, FALSE) * (1 - G3735))</f>
        <v>2560.3639999999996</v>
      </c>
      <c r="J3735" s="10"/>
    </row>
    <row r="3736" spans="1:10" ht="15.75" customHeight="1" x14ac:dyDescent="0.3">
      <c r="A3736" s="5" t="s">
        <v>4603</v>
      </c>
      <c r="B3736" s="11">
        <v>45270</v>
      </c>
      <c r="C3736" s="5" t="s">
        <v>261</v>
      </c>
      <c r="D3736" s="5" t="s">
        <v>57</v>
      </c>
      <c r="E3736" s="5" t="s">
        <v>37</v>
      </c>
      <c r="F3736" s="5">
        <v>1</v>
      </c>
      <c r="G3736" s="19">
        <v>0.15</v>
      </c>
      <c r="H3736" s="5" t="s">
        <v>454</v>
      </c>
      <c r="I3736" s="10">
        <f>IF(OR(D3736="", F3736=""), "", F3736 * VLOOKUP(D3736, Products!A:E, 5, FALSE) * (1 - G3736))</f>
        <v>1186.787</v>
      </c>
      <c r="J3736" s="10"/>
    </row>
    <row r="3737" spans="1:10" ht="15.75" customHeight="1" x14ac:dyDescent="0.3">
      <c r="A3737" s="5" t="s">
        <v>4604</v>
      </c>
      <c r="B3737" s="11">
        <v>45358</v>
      </c>
      <c r="C3737" s="5" t="s">
        <v>770</v>
      </c>
      <c r="D3737" s="5" t="s">
        <v>249</v>
      </c>
      <c r="E3737" s="5" t="s">
        <v>21</v>
      </c>
      <c r="F3737" s="5">
        <v>2</v>
      </c>
      <c r="G3737" s="19">
        <v>0.1</v>
      </c>
      <c r="H3737" s="5" t="s">
        <v>454</v>
      </c>
      <c r="I3737" s="10">
        <f>IF(OR(D3737="", F3737=""), "", F3737 * VLOOKUP(D3737, Products!A:E, 5, FALSE) * (1 - G3737))</f>
        <v>3142.098</v>
      </c>
      <c r="J3737" s="10"/>
    </row>
    <row r="3738" spans="1:10" ht="15.75" customHeight="1" x14ac:dyDescent="0.3">
      <c r="A3738" s="5" t="s">
        <v>4605</v>
      </c>
      <c r="B3738" s="11">
        <v>45284</v>
      </c>
      <c r="C3738" s="5" t="s">
        <v>121</v>
      </c>
      <c r="D3738" s="5" t="s">
        <v>206</v>
      </c>
      <c r="E3738" s="5" t="s">
        <v>37</v>
      </c>
      <c r="F3738" s="5">
        <v>4</v>
      </c>
      <c r="G3738" s="19">
        <v>0.15</v>
      </c>
      <c r="H3738" s="5" t="s">
        <v>776</v>
      </c>
      <c r="I3738" s="10">
        <f>IF(OR(D3738="", F3738=""), "", F3738 * VLOOKUP(D3738, Products!A:E, 5, FALSE) * (1 - G3738))</f>
        <v>1036.0139999999999</v>
      </c>
      <c r="J3738" s="10"/>
    </row>
    <row r="3739" spans="1:10" ht="15.75" customHeight="1" x14ac:dyDescent="0.3">
      <c r="A3739" s="5" t="s">
        <v>4606</v>
      </c>
      <c r="B3739" s="11">
        <v>45199</v>
      </c>
      <c r="C3739" s="5" t="s">
        <v>615</v>
      </c>
      <c r="D3739" s="5" t="s">
        <v>262</v>
      </c>
      <c r="E3739" s="5" t="s">
        <v>33</v>
      </c>
      <c r="F3739" s="5">
        <v>1</v>
      </c>
      <c r="G3739" s="19">
        <v>0.05</v>
      </c>
      <c r="H3739" s="5" t="s">
        <v>454</v>
      </c>
      <c r="I3739" s="10">
        <f>IF(OR(D3739="", F3739=""), "", F3739 * VLOOKUP(D3739, Products!A:E, 5, FALSE) * (1 - G3739))</f>
        <v>430.93899999999996</v>
      </c>
      <c r="J3739" s="10"/>
    </row>
    <row r="3740" spans="1:10" ht="15.75" customHeight="1" x14ac:dyDescent="0.3">
      <c r="A3740" s="5" t="s">
        <v>4607</v>
      </c>
      <c r="B3740" s="11">
        <v>45516</v>
      </c>
      <c r="C3740" s="5" t="s">
        <v>724</v>
      </c>
      <c r="D3740" s="5" t="s">
        <v>285</v>
      </c>
      <c r="E3740" s="5" t="s">
        <v>37</v>
      </c>
      <c r="F3740" s="5">
        <v>5</v>
      </c>
      <c r="G3740" s="19">
        <v>0</v>
      </c>
      <c r="H3740" s="5" t="s">
        <v>776</v>
      </c>
      <c r="I3740" s="10">
        <f>IF(OR(D3740="", F3740=""), "", F3740 * VLOOKUP(D3740, Products!A:E, 5, FALSE) * (1 - G3740))</f>
        <v>1941.3</v>
      </c>
      <c r="J3740" s="10"/>
    </row>
    <row r="3741" spans="1:10" ht="15.75" customHeight="1" x14ac:dyDescent="0.3">
      <c r="A3741" s="5" t="s">
        <v>4608</v>
      </c>
      <c r="B3741" s="11">
        <v>45433</v>
      </c>
      <c r="C3741" s="5" t="s">
        <v>550</v>
      </c>
      <c r="D3741" s="5" t="s">
        <v>188</v>
      </c>
      <c r="E3741" s="5" t="s">
        <v>33</v>
      </c>
      <c r="F3741" s="5">
        <v>5</v>
      </c>
      <c r="G3741" s="19">
        <v>0.05</v>
      </c>
      <c r="H3741" s="5" t="s">
        <v>776</v>
      </c>
      <c r="I3741" s="10">
        <f>IF(OR(D3741="", F3741=""), "", F3741 * VLOOKUP(D3741, Products!A:E, 5, FALSE) * (1 - G3741))</f>
        <v>7053.9874999999993</v>
      </c>
      <c r="J3741" s="10"/>
    </row>
    <row r="3742" spans="1:10" ht="15.75" customHeight="1" x14ac:dyDescent="0.3">
      <c r="A3742" s="5" t="s">
        <v>4609</v>
      </c>
      <c r="B3742" s="11">
        <v>45792</v>
      </c>
      <c r="C3742" s="5" t="s">
        <v>429</v>
      </c>
      <c r="D3742" s="5" t="s">
        <v>89</v>
      </c>
      <c r="E3742" s="5" t="s">
        <v>21</v>
      </c>
      <c r="F3742" s="5">
        <v>4</v>
      </c>
      <c r="G3742" s="19">
        <v>0.1</v>
      </c>
      <c r="H3742" s="5" t="s">
        <v>637</v>
      </c>
      <c r="I3742" s="10">
        <f>IF(OR(D3742="", F3742=""), "", F3742 * VLOOKUP(D3742, Products!A:E, 5, FALSE) * (1 - G3742))</f>
        <v>4085.2799999999997</v>
      </c>
      <c r="J3742" s="10"/>
    </row>
    <row r="3743" spans="1:10" ht="15.75" customHeight="1" x14ac:dyDescent="0.3">
      <c r="A3743" s="5" t="s">
        <v>4610</v>
      </c>
      <c r="B3743" s="11">
        <v>45434</v>
      </c>
      <c r="C3743" s="5" t="s">
        <v>657</v>
      </c>
      <c r="D3743" s="5" t="s">
        <v>175</v>
      </c>
      <c r="E3743" s="5" t="s">
        <v>21</v>
      </c>
      <c r="F3743" s="5">
        <v>2</v>
      </c>
      <c r="G3743" s="19">
        <v>0.1</v>
      </c>
      <c r="H3743" s="5" t="s">
        <v>697</v>
      </c>
      <c r="I3743" s="10">
        <f>IF(OR(D3743="", F3743=""), "", F3743 * VLOOKUP(D3743, Products!A:E, 5, FALSE) * (1 - G3743))</f>
        <v>2290.0140000000001</v>
      </c>
      <c r="J3743" s="10"/>
    </row>
    <row r="3744" spans="1:10" ht="15.75" customHeight="1" x14ac:dyDescent="0.3">
      <c r="A3744" s="5" t="s">
        <v>4611</v>
      </c>
      <c r="B3744" s="11">
        <v>45585</v>
      </c>
      <c r="C3744" s="5" t="s">
        <v>543</v>
      </c>
      <c r="D3744" s="5" t="s">
        <v>103</v>
      </c>
      <c r="E3744" s="5" t="s">
        <v>33</v>
      </c>
      <c r="F3744" s="5">
        <v>3</v>
      </c>
      <c r="G3744" s="19">
        <v>0.15</v>
      </c>
      <c r="H3744" s="5" t="s">
        <v>697</v>
      </c>
      <c r="I3744" s="10">
        <f>IF(OR(D3744="", F3744=""), "", F3744 * VLOOKUP(D3744, Products!A:E, 5, FALSE) * (1 - G3744))</f>
        <v>689.64749999999992</v>
      </c>
      <c r="J3744" s="10"/>
    </row>
    <row r="3745" spans="1:10" ht="15.75" customHeight="1" x14ac:dyDescent="0.3">
      <c r="A3745" s="5" t="s">
        <v>4612</v>
      </c>
      <c r="B3745" s="11">
        <v>45470</v>
      </c>
      <c r="C3745" s="5" t="s">
        <v>808</v>
      </c>
      <c r="D3745" s="5" t="s">
        <v>47</v>
      </c>
      <c r="E3745" s="5" t="s">
        <v>37</v>
      </c>
      <c r="F3745" s="5">
        <v>4</v>
      </c>
      <c r="G3745" s="19">
        <v>0.15</v>
      </c>
      <c r="H3745" s="5" t="s">
        <v>454</v>
      </c>
      <c r="I3745" s="10">
        <f>IF(OR(D3745="", F3745=""), "", F3745 * VLOOKUP(D3745, Products!A:E, 5, FALSE) * (1 - G3745))</f>
        <v>2783.7840000000001</v>
      </c>
      <c r="J3745" s="10"/>
    </row>
    <row r="3746" spans="1:10" ht="15.75" customHeight="1" x14ac:dyDescent="0.3">
      <c r="A3746" s="5" t="s">
        <v>4613</v>
      </c>
      <c r="B3746" s="11">
        <v>45665</v>
      </c>
      <c r="C3746" s="5" t="s">
        <v>645</v>
      </c>
      <c r="D3746" s="5" t="s">
        <v>232</v>
      </c>
      <c r="E3746" s="5" t="s">
        <v>33</v>
      </c>
      <c r="F3746" s="5">
        <v>5</v>
      </c>
      <c r="G3746" s="19">
        <v>0.1</v>
      </c>
      <c r="H3746" s="5" t="s">
        <v>776</v>
      </c>
      <c r="I3746" s="10">
        <f>IF(OR(D3746="", F3746=""), "", F3746 * VLOOKUP(D3746, Products!A:E, 5, FALSE) * (1 - G3746))</f>
        <v>8786.9250000000011</v>
      </c>
      <c r="J3746" s="10"/>
    </row>
    <row r="3747" spans="1:10" ht="15.75" customHeight="1" x14ac:dyDescent="0.3">
      <c r="A3747" s="5" t="s">
        <v>4614</v>
      </c>
      <c r="B3747" s="11">
        <v>45831</v>
      </c>
      <c r="C3747" s="5" t="s">
        <v>481</v>
      </c>
      <c r="D3747" s="5" t="s">
        <v>147</v>
      </c>
      <c r="E3747" s="5" t="s">
        <v>29</v>
      </c>
      <c r="F3747" s="5">
        <v>5</v>
      </c>
      <c r="G3747" s="19">
        <v>0.1</v>
      </c>
      <c r="H3747" s="5" t="s">
        <v>454</v>
      </c>
      <c r="I3747" s="10">
        <f>IF(OR(D3747="", F3747=""), "", F3747 * VLOOKUP(D3747, Products!A:E, 5, FALSE) * (1 - G3747))</f>
        <v>8453.1149999999998</v>
      </c>
      <c r="J3747" s="10"/>
    </row>
    <row r="3748" spans="1:10" ht="15.75" customHeight="1" x14ac:dyDescent="0.3">
      <c r="A3748" s="5" t="s">
        <v>4615</v>
      </c>
      <c r="B3748" s="11">
        <v>45206</v>
      </c>
      <c r="C3748" s="5" t="s">
        <v>773</v>
      </c>
      <c r="D3748" s="5" t="s">
        <v>200</v>
      </c>
      <c r="E3748" s="5" t="s">
        <v>21</v>
      </c>
      <c r="F3748" s="5">
        <v>1</v>
      </c>
      <c r="G3748" s="19">
        <v>0</v>
      </c>
      <c r="H3748" s="5" t="s">
        <v>697</v>
      </c>
      <c r="I3748" s="10">
        <f>IF(OR(D3748="", F3748=""), "", F3748 * VLOOKUP(D3748, Products!A:E, 5, FALSE) * (1 - G3748))</f>
        <v>1095.72</v>
      </c>
      <c r="J3748" s="10"/>
    </row>
    <row r="3749" spans="1:10" ht="15.75" customHeight="1" x14ac:dyDescent="0.3">
      <c r="A3749" s="5" t="s">
        <v>4616</v>
      </c>
      <c r="B3749" s="11">
        <v>45882</v>
      </c>
      <c r="C3749" s="5" t="s">
        <v>829</v>
      </c>
      <c r="D3749" s="5" t="s">
        <v>147</v>
      </c>
      <c r="E3749" s="5" t="s">
        <v>37</v>
      </c>
      <c r="F3749" s="5">
        <v>2</v>
      </c>
      <c r="G3749" s="19">
        <v>0</v>
      </c>
      <c r="H3749" s="5" t="s">
        <v>637</v>
      </c>
      <c r="I3749" s="10">
        <f>IF(OR(D3749="", F3749=""), "", F3749 * VLOOKUP(D3749, Products!A:E, 5, FALSE) * (1 - G3749))</f>
        <v>3756.94</v>
      </c>
      <c r="J3749" s="10"/>
    </row>
    <row r="3750" spans="1:10" ht="15.75" customHeight="1" x14ac:dyDescent="0.3">
      <c r="A3750" s="5" t="s">
        <v>4617</v>
      </c>
      <c r="B3750" s="11">
        <v>45448</v>
      </c>
      <c r="C3750" s="5" t="s">
        <v>515</v>
      </c>
      <c r="D3750" s="5" t="s">
        <v>89</v>
      </c>
      <c r="E3750" s="5" t="s">
        <v>25</v>
      </c>
      <c r="F3750" s="5">
        <v>4</v>
      </c>
      <c r="G3750" s="19">
        <v>0</v>
      </c>
      <c r="H3750" s="5" t="s">
        <v>454</v>
      </c>
      <c r="I3750" s="10">
        <f>IF(OR(D3750="", F3750=""), "", F3750 * VLOOKUP(D3750, Products!A:E, 5, FALSE) * (1 - G3750))</f>
        <v>4539.2</v>
      </c>
      <c r="J3750" s="10"/>
    </row>
    <row r="3751" spans="1:10" ht="15.75" customHeight="1" x14ac:dyDescent="0.3">
      <c r="A3751" s="5" t="s">
        <v>4618</v>
      </c>
      <c r="B3751" s="11">
        <v>45686</v>
      </c>
      <c r="C3751" s="5" t="s">
        <v>250</v>
      </c>
      <c r="D3751" s="5" t="s">
        <v>237</v>
      </c>
      <c r="E3751" s="5" t="s">
        <v>21</v>
      </c>
      <c r="F3751" s="5">
        <v>4</v>
      </c>
      <c r="G3751" s="19">
        <v>0</v>
      </c>
      <c r="H3751" s="5" t="s">
        <v>637</v>
      </c>
      <c r="I3751" s="10">
        <f>IF(OR(D3751="", F3751=""), "", F3751 * VLOOKUP(D3751, Products!A:E, 5, FALSE) * (1 - G3751))</f>
        <v>1467.72</v>
      </c>
      <c r="J3751" s="10"/>
    </row>
    <row r="3752" spans="1:10" ht="15.75" customHeight="1" x14ac:dyDescent="0.3">
      <c r="A3752" s="5" t="s">
        <v>4619</v>
      </c>
      <c r="B3752" s="11">
        <v>45647</v>
      </c>
      <c r="C3752" s="5" t="s">
        <v>795</v>
      </c>
      <c r="D3752" s="5" t="s">
        <v>147</v>
      </c>
      <c r="E3752" s="5" t="s">
        <v>21</v>
      </c>
      <c r="F3752" s="5">
        <v>2</v>
      </c>
      <c r="G3752" s="19">
        <v>0.15</v>
      </c>
      <c r="H3752" s="5" t="s">
        <v>697</v>
      </c>
      <c r="I3752" s="10">
        <f>IF(OR(D3752="", F3752=""), "", F3752 * VLOOKUP(D3752, Products!A:E, 5, FALSE) * (1 - G3752))</f>
        <v>3193.3989999999999</v>
      </c>
      <c r="J3752" s="10"/>
    </row>
    <row r="3753" spans="1:10" ht="15.75" customHeight="1" x14ac:dyDescent="0.3">
      <c r="A3753" s="5" t="s">
        <v>4620</v>
      </c>
      <c r="B3753" s="11">
        <v>45454</v>
      </c>
      <c r="C3753" s="5" t="s">
        <v>567</v>
      </c>
      <c r="D3753" s="5" t="s">
        <v>67</v>
      </c>
      <c r="E3753" s="5" t="s">
        <v>29</v>
      </c>
      <c r="F3753" s="5">
        <v>2</v>
      </c>
      <c r="G3753" s="19">
        <v>0.15</v>
      </c>
      <c r="H3753" s="5" t="s">
        <v>697</v>
      </c>
      <c r="I3753" s="10">
        <f>IF(OR(D3753="", F3753=""), "", F3753 * VLOOKUP(D3753, Products!A:E, 5, FALSE) * (1 - G3753))</f>
        <v>186.626</v>
      </c>
      <c r="J3753" s="10"/>
    </row>
    <row r="3754" spans="1:10" ht="15.75" customHeight="1" x14ac:dyDescent="0.3">
      <c r="A3754" s="5" t="s">
        <v>4621</v>
      </c>
      <c r="B3754" s="11">
        <v>45789</v>
      </c>
      <c r="C3754" s="5" t="s">
        <v>229</v>
      </c>
      <c r="D3754" s="5" t="s">
        <v>200</v>
      </c>
      <c r="E3754" s="5" t="s">
        <v>37</v>
      </c>
      <c r="F3754" s="5">
        <v>5</v>
      </c>
      <c r="G3754" s="19">
        <v>0.1</v>
      </c>
      <c r="H3754" s="5" t="s">
        <v>454</v>
      </c>
      <c r="I3754" s="10">
        <f>IF(OR(D3754="", F3754=""), "", F3754 * VLOOKUP(D3754, Products!A:E, 5, FALSE) * (1 - G3754))</f>
        <v>4930.7400000000007</v>
      </c>
      <c r="J3754" s="10"/>
    </row>
    <row r="3755" spans="1:10" ht="15.75" customHeight="1" x14ac:dyDescent="0.3">
      <c r="A3755" s="5" t="s">
        <v>4622</v>
      </c>
      <c r="B3755" s="11">
        <v>45857</v>
      </c>
      <c r="C3755" s="5" t="s">
        <v>526</v>
      </c>
      <c r="D3755" s="5" t="s">
        <v>175</v>
      </c>
      <c r="E3755" s="5" t="s">
        <v>37</v>
      </c>
      <c r="F3755" s="5">
        <v>1</v>
      </c>
      <c r="G3755" s="19">
        <v>0.15</v>
      </c>
      <c r="H3755" s="5" t="s">
        <v>637</v>
      </c>
      <c r="I3755" s="10">
        <f>IF(OR(D3755="", F3755=""), "", F3755 * VLOOKUP(D3755, Products!A:E, 5, FALSE) * (1 - G3755))</f>
        <v>1081.3955000000001</v>
      </c>
      <c r="J3755" s="10"/>
    </row>
    <row r="3756" spans="1:10" ht="15.75" customHeight="1" x14ac:dyDescent="0.3">
      <c r="A3756" s="5" t="s">
        <v>4623</v>
      </c>
      <c r="B3756" s="11">
        <v>45649</v>
      </c>
      <c r="C3756" s="5" t="s">
        <v>69</v>
      </c>
      <c r="D3756" s="5" t="s">
        <v>188</v>
      </c>
      <c r="E3756" s="5" t="s">
        <v>21</v>
      </c>
      <c r="F3756" s="5">
        <v>1</v>
      </c>
      <c r="G3756" s="19">
        <v>0.1</v>
      </c>
      <c r="H3756" s="5" t="s">
        <v>697</v>
      </c>
      <c r="I3756" s="10">
        <f>IF(OR(D3756="", F3756=""), "", F3756 * VLOOKUP(D3756, Products!A:E, 5, FALSE) * (1 - G3756))</f>
        <v>1336.5450000000001</v>
      </c>
      <c r="J3756" s="10"/>
    </row>
    <row r="3757" spans="1:10" ht="15.75" customHeight="1" x14ac:dyDescent="0.3">
      <c r="A3757" s="5" t="s">
        <v>4624</v>
      </c>
      <c r="B3757" s="11">
        <v>45366</v>
      </c>
      <c r="C3757" s="5" t="s">
        <v>455</v>
      </c>
      <c r="D3757" s="5" t="s">
        <v>221</v>
      </c>
      <c r="E3757" s="5" t="s">
        <v>37</v>
      </c>
      <c r="F3757" s="5">
        <v>5</v>
      </c>
      <c r="G3757" s="19">
        <v>0.1</v>
      </c>
      <c r="H3757" s="5" t="s">
        <v>697</v>
      </c>
      <c r="I3757" s="10">
        <f>IF(OR(D3757="", F3757=""), "", F3757 * VLOOKUP(D3757, Products!A:E, 5, FALSE) * (1 - G3757))</f>
        <v>7030.9350000000004</v>
      </c>
      <c r="J3757" s="10"/>
    </row>
    <row r="3758" spans="1:10" ht="15.75" customHeight="1" x14ac:dyDescent="0.3">
      <c r="A3758" s="5" t="s">
        <v>4625</v>
      </c>
      <c r="B3758" s="11">
        <v>45333</v>
      </c>
      <c r="C3758" s="5" t="s">
        <v>155</v>
      </c>
      <c r="D3758" s="5" t="s">
        <v>200</v>
      </c>
      <c r="E3758" s="5" t="s">
        <v>29</v>
      </c>
      <c r="F3758" s="5">
        <v>4</v>
      </c>
      <c r="G3758" s="19">
        <v>0.15</v>
      </c>
      <c r="H3758" s="5" t="s">
        <v>454</v>
      </c>
      <c r="I3758" s="10">
        <f>IF(OR(D3758="", F3758=""), "", F3758 * VLOOKUP(D3758, Products!A:E, 5, FALSE) * (1 - G3758))</f>
        <v>3725.4479999999999</v>
      </c>
      <c r="J3758" s="10"/>
    </row>
    <row r="3759" spans="1:10" ht="15.75" customHeight="1" x14ac:dyDescent="0.3">
      <c r="A3759" s="5" t="s">
        <v>4626</v>
      </c>
      <c r="B3759" s="11">
        <v>45702</v>
      </c>
      <c r="C3759" s="5" t="s">
        <v>847</v>
      </c>
      <c r="D3759" s="5" t="s">
        <v>193</v>
      </c>
      <c r="E3759" s="5" t="s">
        <v>37</v>
      </c>
      <c r="F3759" s="5">
        <v>5</v>
      </c>
      <c r="G3759" s="19">
        <v>0.15</v>
      </c>
      <c r="H3759" s="5" t="s">
        <v>637</v>
      </c>
      <c r="I3759" s="10">
        <f>IF(OR(D3759="", F3759=""), "", F3759 * VLOOKUP(D3759, Products!A:E, 5, FALSE) * (1 - G3759))</f>
        <v>124.26999999999998</v>
      </c>
      <c r="J3759" s="10"/>
    </row>
    <row r="3760" spans="1:10" ht="15.75" customHeight="1" x14ac:dyDescent="0.3">
      <c r="A3760" s="5" t="s">
        <v>4627</v>
      </c>
      <c r="B3760" s="11">
        <v>45248</v>
      </c>
      <c r="C3760" s="5" t="s">
        <v>638</v>
      </c>
      <c r="D3760" s="5" t="s">
        <v>280</v>
      </c>
      <c r="E3760" s="5" t="s">
        <v>33</v>
      </c>
      <c r="F3760" s="5">
        <v>1</v>
      </c>
      <c r="G3760" s="19">
        <v>0.1</v>
      </c>
      <c r="H3760" s="5" t="s">
        <v>637</v>
      </c>
      <c r="I3760" s="10">
        <f>IF(OR(D3760="", F3760=""), "", F3760 * VLOOKUP(D3760, Products!A:E, 5, FALSE) * (1 - G3760))</f>
        <v>1094.7239999999999</v>
      </c>
      <c r="J3760" s="10"/>
    </row>
    <row r="3761" spans="1:10" ht="15.75" customHeight="1" x14ac:dyDescent="0.3">
      <c r="A3761" s="5" t="s">
        <v>4628</v>
      </c>
      <c r="B3761" s="11">
        <v>45395</v>
      </c>
      <c r="C3761" s="5" t="s">
        <v>420</v>
      </c>
      <c r="D3761" s="5" t="s">
        <v>147</v>
      </c>
      <c r="E3761" s="5" t="s">
        <v>25</v>
      </c>
      <c r="F3761" s="5">
        <v>1</v>
      </c>
      <c r="G3761" s="19">
        <v>0.1</v>
      </c>
      <c r="H3761" s="5" t="s">
        <v>454</v>
      </c>
      <c r="I3761" s="10">
        <f>IF(OR(D3761="", F3761=""), "", F3761 * VLOOKUP(D3761, Products!A:E, 5, FALSE) * (1 - G3761))</f>
        <v>1690.623</v>
      </c>
      <c r="J3761" s="10"/>
    </row>
    <row r="3762" spans="1:10" ht="15.75" customHeight="1" x14ac:dyDescent="0.3">
      <c r="A3762" s="5" t="s">
        <v>4629</v>
      </c>
      <c r="B3762" s="11">
        <v>45608</v>
      </c>
      <c r="C3762" s="5" t="s">
        <v>571</v>
      </c>
      <c r="D3762" s="5" t="s">
        <v>57</v>
      </c>
      <c r="E3762" s="5" t="s">
        <v>29</v>
      </c>
      <c r="F3762" s="5">
        <v>4</v>
      </c>
      <c r="G3762" s="19">
        <v>0.15</v>
      </c>
      <c r="H3762" s="5" t="s">
        <v>454</v>
      </c>
      <c r="I3762" s="10">
        <f>IF(OR(D3762="", F3762=""), "", F3762 * VLOOKUP(D3762, Products!A:E, 5, FALSE) * (1 - G3762))</f>
        <v>4747.1480000000001</v>
      </c>
      <c r="J3762" s="10"/>
    </row>
    <row r="3763" spans="1:10" ht="15.75" customHeight="1" x14ac:dyDescent="0.3">
      <c r="A3763" s="5" t="s">
        <v>4630</v>
      </c>
      <c r="B3763" s="11">
        <v>45803</v>
      </c>
      <c r="C3763" s="5" t="s">
        <v>674</v>
      </c>
      <c r="D3763" s="5" t="s">
        <v>267</v>
      </c>
      <c r="E3763" s="5" t="s">
        <v>21</v>
      </c>
      <c r="F3763" s="5">
        <v>5</v>
      </c>
      <c r="G3763" s="19">
        <v>0.15</v>
      </c>
      <c r="H3763" s="5" t="s">
        <v>454</v>
      </c>
      <c r="I3763" s="10">
        <f>IF(OR(D3763="", F3763=""), "", F3763 * VLOOKUP(D3763, Products!A:E, 5, FALSE) * (1 - G3763))</f>
        <v>5467.8374999999996</v>
      </c>
      <c r="J3763" s="10"/>
    </row>
    <row r="3764" spans="1:10" ht="15.75" customHeight="1" x14ac:dyDescent="0.3">
      <c r="A3764" s="5" t="s">
        <v>4631</v>
      </c>
      <c r="B3764" s="11">
        <v>45391</v>
      </c>
      <c r="C3764" s="5" t="s">
        <v>869</v>
      </c>
      <c r="D3764" s="5" t="s">
        <v>57</v>
      </c>
      <c r="E3764" s="5" t="s">
        <v>29</v>
      </c>
      <c r="F3764" s="5">
        <v>2</v>
      </c>
      <c r="G3764" s="19">
        <v>0.05</v>
      </c>
      <c r="H3764" s="5" t="s">
        <v>776</v>
      </c>
      <c r="I3764" s="10">
        <f>IF(OR(D3764="", F3764=""), "", F3764 * VLOOKUP(D3764, Products!A:E, 5, FALSE) * (1 - G3764))</f>
        <v>2652.8179999999998</v>
      </c>
      <c r="J3764" s="10"/>
    </row>
    <row r="3765" spans="1:10" ht="15.75" customHeight="1" x14ac:dyDescent="0.3">
      <c r="A3765" s="5" t="s">
        <v>4632</v>
      </c>
      <c r="B3765" s="11">
        <v>45839</v>
      </c>
      <c r="C3765" s="5" t="s">
        <v>571</v>
      </c>
      <c r="D3765" s="5" t="s">
        <v>43</v>
      </c>
      <c r="E3765" s="5" t="s">
        <v>25</v>
      </c>
      <c r="F3765" s="5">
        <v>2</v>
      </c>
      <c r="G3765" s="19">
        <v>0.1</v>
      </c>
      <c r="H3765" s="5" t="s">
        <v>454</v>
      </c>
      <c r="I3765" s="10">
        <f>IF(OR(D3765="", F3765=""), "", F3765 * VLOOKUP(D3765, Products!A:E, 5, FALSE) * (1 - G3765))</f>
        <v>3012.6420000000003</v>
      </c>
      <c r="J3765" s="10"/>
    </row>
    <row r="3766" spans="1:10" ht="15.75" customHeight="1" x14ac:dyDescent="0.3">
      <c r="A3766" s="5" t="s">
        <v>4633</v>
      </c>
      <c r="B3766" s="11">
        <v>45875</v>
      </c>
      <c r="C3766" s="5" t="s">
        <v>554</v>
      </c>
      <c r="D3766" s="5" t="s">
        <v>249</v>
      </c>
      <c r="E3766" s="5" t="s">
        <v>33</v>
      </c>
      <c r="F3766" s="5">
        <v>2</v>
      </c>
      <c r="G3766" s="19">
        <v>0.05</v>
      </c>
      <c r="H3766" s="5" t="s">
        <v>637</v>
      </c>
      <c r="I3766" s="10">
        <f>IF(OR(D3766="", F3766=""), "", F3766 * VLOOKUP(D3766, Products!A:E, 5, FALSE) * (1 - G3766))</f>
        <v>3316.6589999999997</v>
      </c>
      <c r="J3766" s="10"/>
    </row>
    <row r="3767" spans="1:10" ht="15.75" customHeight="1" x14ac:dyDescent="0.3">
      <c r="A3767" s="5" t="s">
        <v>4634</v>
      </c>
      <c r="B3767" s="11">
        <v>45232</v>
      </c>
      <c r="C3767" s="5" t="s">
        <v>491</v>
      </c>
      <c r="D3767" s="5" t="s">
        <v>243</v>
      </c>
      <c r="E3767" s="5" t="s">
        <v>29</v>
      </c>
      <c r="F3767" s="5">
        <v>1</v>
      </c>
      <c r="G3767" s="19">
        <v>0</v>
      </c>
      <c r="H3767" s="5" t="s">
        <v>637</v>
      </c>
      <c r="I3767" s="10">
        <f>IF(OR(D3767="", F3767=""), "", F3767 * VLOOKUP(D3767, Products!A:E, 5, FALSE) * (1 - G3767))</f>
        <v>540.94000000000005</v>
      </c>
      <c r="J3767" s="10"/>
    </row>
    <row r="3768" spans="1:10" ht="15.75" customHeight="1" x14ac:dyDescent="0.3">
      <c r="A3768" s="5" t="s">
        <v>4635</v>
      </c>
      <c r="B3768" s="11">
        <v>45907</v>
      </c>
      <c r="C3768" s="5" t="s">
        <v>752</v>
      </c>
      <c r="D3768" s="5" t="s">
        <v>175</v>
      </c>
      <c r="E3768" s="5" t="s">
        <v>29</v>
      </c>
      <c r="F3768" s="5">
        <v>5</v>
      </c>
      <c r="G3768" s="19">
        <v>0.1</v>
      </c>
      <c r="H3768" s="5" t="s">
        <v>697</v>
      </c>
      <c r="I3768" s="10">
        <f>IF(OR(D3768="", F3768=""), "", F3768 * VLOOKUP(D3768, Products!A:E, 5, FALSE) * (1 - G3768))</f>
        <v>5725.0349999999999</v>
      </c>
      <c r="J3768" s="10"/>
    </row>
    <row r="3769" spans="1:10" ht="15.75" customHeight="1" x14ac:dyDescent="0.3">
      <c r="A3769" s="5" t="s">
        <v>4636</v>
      </c>
      <c r="B3769" s="11">
        <v>45831</v>
      </c>
      <c r="C3769" s="5" t="s">
        <v>159</v>
      </c>
      <c r="D3769" s="5" t="s">
        <v>140</v>
      </c>
      <c r="E3769" s="5" t="s">
        <v>21</v>
      </c>
      <c r="F3769" s="5">
        <v>4</v>
      </c>
      <c r="G3769" s="19">
        <v>0.05</v>
      </c>
      <c r="H3769" s="5" t="s">
        <v>697</v>
      </c>
      <c r="I3769" s="10">
        <f>IF(OR(D3769="", F3769=""), "", F3769 * VLOOKUP(D3769, Products!A:E, 5, FALSE) * (1 - G3769))</f>
        <v>97.165999999999997</v>
      </c>
      <c r="J3769" s="10"/>
    </row>
    <row r="3770" spans="1:10" ht="15.75" customHeight="1" x14ac:dyDescent="0.3">
      <c r="A3770" s="5" t="s">
        <v>4637</v>
      </c>
      <c r="B3770" s="11">
        <v>45233</v>
      </c>
      <c r="C3770" s="5" t="s">
        <v>255</v>
      </c>
      <c r="D3770" s="5" t="s">
        <v>212</v>
      </c>
      <c r="E3770" s="5" t="s">
        <v>25</v>
      </c>
      <c r="F3770" s="5">
        <v>2</v>
      </c>
      <c r="G3770" s="19">
        <v>0.1</v>
      </c>
      <c r="H3770" s="5" t="s">
        <v>697</v>
      </c>
      <c r="I3770" s="10">
        <f>IF(OR(D3770="", F3770=""), "", F3770 * VLOOKUP(D3770, Products!A:E, 5, FALSE) * (1 - G3770))</f>
        <v>3238.1460000000002</v>
      </c>
      <c r="J3770" s="10"/>
    </row>
    <row r="3771" spans="1:10" ht="15.75" customHeight="1" x14ac:dyDescent="0.3">
      <c r="A3771" s="5" t="s">
        <v>4638</v>
      </c>
      <c r="B3771" s="11">
        <v>45731</v>
      </c>
      <c r="C3771" s="5" t="s">
        <v>865</v>
      </c>
      <c r="D3771" s="5" t="s">
        <v>115</v>
      </c>
      <c r="E3771" s="5" t="s">
        <v>33</v>
      </c>
      <c r="F3771" s="5">
        <v>4</v>
      </c>
      <c r="G3771" s="19">
        <v>0.15</v>
      </c>
      <c r="H3771" s="5" t="s">
        <v>637</v>
      </c>
      <c r="I3771" s="10">
        <f>IF(OR(D3771="", F3771=""), "", F3771 * VLOOKUP(D3771, Products!A:E, 5, FALSE) * (1 - G3771))</f>
        <v>4236.7739999999994</v>
      </c>
      <c r="J3771" s="10"/>
    </row>
    <row r="3772" spans="1:10" ht="15.75" customHeight="1" x14ac:dyDescent="0.3">
      <c r="A3772" s="5" t="s">
        <v>4639</v>
      </c>
      <c r="B3772" s="11">
        <v>45522</v>
      </c>
      <c r="C3772" s="5" t="s">
        <v>466</v>
      </c>
      <c r="D3772" s="5" t="s">
        <v>193</v>
      </c>
      <c r="E3772" s="5" t="s">
        <v>33</v>
      </c>
      <c r="F3772" s="5">
        <v>2</v>
      </c>
      <c r="G3772" s="19">
        <v>0.1</v>
      </c>
      <c r="H3772" s="5" t="s">
        <v>776</v>
      </c>
      <c r="I3772" s="10">
        <f>IF(OR(D3772="", F3772=""), "", F3772 * VLOOKUP(D3772, Products!A:E, 5, FALSE) * (1 - G3772))</f>
        <v>52.631999999999998</v>
      </c>
      <c r="J3772" s="10"/>
    </row>
    <row r="3773" spans="1:10" ht="15.75" customHeight="1" x14ac:dyDescent="0.3">
      <c r="A3773" s="5" t="s">
        <v>4640</v>
      </c>
      <c r="B3773" s="11">
        <v>45296</v>
      </c>
      <c r="C3773" s="5" t="s">
        <v>539</v>
      </c>
      <c r="D3773" s="5" t="s">
        <v>285</v>
      </c>
      <c r="E3773" s="5" t="s">
        <v>21</v>
      </c>
      <c r="F3773" s="5">
        <v>1</v>
      </c>
      <c r="G3773" s="19">
        <v>0</v>
      </c>
      <c r="H3773" s="5" t="s">
        <v>697</v>
      </c>
      <c r="I3773" s="10">
        <f>IF(OR(D3773="", F3773=""), "", F3773 * VLOOKUP(D3773, Products!A:E, 5, FALSE) * (1 - G3773))</f>
        <v>388.26</v>
      </c>
      <c r="J3773" s="10"/>
    </row>
    <row r="3774" spans="1:10" ht="15.75" customHeight="1" x14ac:dyDescent="0.3">
      <c r="A3774" s="5" t="s">
        <v>4641</v>
      </c>
      <c r="B3774" s="11">
        <v>45406</v>
      </c>
      <c r="C3774" s="5" t="s">
        <v>437</v>
      </c>
      <c r="D3774" s="5" t="s">
        <v>175</v>
      </c>
      <c r="E3774" s="5" t="s">
        <v>21</v>
      </c>
      <c r="F3774" s="5">
        <v>1</v>
      </c>
      <c r="G3774" s="19">
        <v>0.1</v>
      </c>
      <c r="H3774" s="5" t="s">
        <v>454</v>
      </c>
      <c r="I3774" s="10">
        <f>IF(OR(D3774="", F3774=""), "", F3774 * VLOOKUP(D3774, Products!A:E, 5, FALSE) * (1 - G3774))</f>
        <v>1145.0070000000001</v>
      </c>
      <c r="J3774" s="10"/>
    </row>
    <row r="3775" spans="1:10" ht="15.75" customHeight="1" x14ac:dyDescent="0.3">
      <c r="A3775" s="5" t="s">
        <v>4642</v>
      </c>
      <c r="B3775" s="11">
        <v>45495</v>
      </c>
      <c r="C3775" s="5" t="s">
        <v>671</v>
      </c>
      <c r="D3775" s="5" t="s">
        <v>188</v>
      </c>
      <c r="E3775" s="5" t="s">
        <v>37</v>
      </c>
      <c r="F3775" s="5">
        <v>4</v>
      </c>
      <c r="G3775" s="19">
        <v>0</v>
      </c>
      <c r="H3775" s="5" t="s">
        <v>776</v>
      </c>
      <c r="I3775" s="10">
        <f>IF(OR(D3775="", F3775=""), "", F3775 * VLOOKUP(D3775, Products!A:E, 5, FALSE) * (1 - G3775))</f>
        <v>5940.2</v>
      </c>
      <c r="J3775" s="10"/>
    </row>
    <row r="3776" spans="1:10" ht="15.75" customHeight="1" x14ac:dyDescent="0.3">
      <c r="A3776" s="5" t="s">
        <v>4643</v>
      </c>
      <c r="B3776" s="11">
        <v>45660</v>
      </c>
      <c r="C3776" s="5" t="s">
        <v>862</v>
      </c>
      <c r="D3776" s="5" t="s">
        <v>89</v>
      </c>
      <c r="E3776" s="5" t="s">
        <v>37</v>
      </c>
      <c r="F3776" s="5">
        <v>1</v>
      </c>
      <c r="G3776" s="19">
        <v>0</v>
      </c>
      <c r="H3776" s="5" t="s">
        <v>637</v>
      </c>
      <c r="I3776" s="10">
        <f>IF(OR(D3776="", F3776=""), "", F3776 * VLOOKUP(D3776, Products!A:E, 5, FALSE) * (1 - G3776))</f>
        <v>1134.8</v>
      </c>
      <c r="J3776" s="10"/>
    </row>
    <row r="3777" spans="1:10" ht="15.75" customHeight="1" x14ac:dyDescent="0.3">
      <c r="A3777" s="5" t="s">
        <v>4644</v>
      </c>
      <c r="B3777" s="11">
        <v>45798</v>
      </c>
      <c r="C3777" s="5" t="s">
        <v>718</v>
      </c>
      <c r="D3777" s="5" t="s">
        <v>175</v>
      </c>
      <c r="E3777" s="5" t="s">
        <v>37</v>
      </c>
      <c r="F3777" s="5">
        <v>4</v>
      </c>
      <c r="G3777" s="19">
        <v>0.15</v>
      </c>
      <c r="H3777" s="5" t="s">
        <v>637</v>
      </c>
      <c r="I3777" s="10">
        <f>IF(OR(D3777="", F3777=""), "", F3777 * VLOOKUP(D3777, Products!A:E, 5, FALSE) * (1 - G3777))</f>
        <v>4325.5820000000003</v>
      </c>
      <c r="J3777" s="10"/>
    </row>
    <row r="3778" spans="1:10" ht="15.75" customHeight="1" x14ac:dyDescent="0.3">
      <c r="A3778" s="5" t="s">
        <v>4645</v>
      </c>
      <c r="B3778" s="11">
        <v>45421</v>
      </c>
      <c r="C3778" s="5" t="s">
        <v>695</v>
      </c>
      <c r="D3778" s="5" t="s">
        <v>134</v>
      </c>
      <c r="E3778" s="5" t="s">
        <v>25</v>
      </c>
      <c r="F3778" s="5">
        <v>2</v>
      </c>
      <c r="G3778" s="19">
        <v>0</v>
      </c>
      <c r="H3778" s="5" t="s">
        <v>697</v>
      </c>
      <c r="I3778" s="10">
        <f>IF(OR(D3778="", F3778=""), "", F3778 * VLOOKUP(D3778, Products!A:E, 5, FALSE) * (1 - G3778))</f>
        <v>2454.48</v>
      </c>
      <c r="J3778" s="10"/>
    </row>
    <row r="3779" spans="1:10" ht="15.75" customHeight="1" x14ac:dyDescent="0.3">
      <c r="A3779" s="5" t="s">
        <v>4646</v>
      </c>
      <c r="B3779" s="11">
        <v>45694</v>
      </c>
      <c r="C3779" s="5" t="s">
        <v>708</v>
      </c>
      <c r="D3779" s="5" t="s">
        <v>280</v>
      </c>
      <c r="E3779" s="5" t="s">
        <v>37</v>
      </c>
      <c r="F3779" s="5">
        <v>3</v>
      </c>
      <c r="G3779" s="19">
        <v>0.15</v>
      </c>
      <c r="H3779" s="5" t="s">
        <v>776</v>
      </c>
      <c r="I3779" s="10">
        <f>IF(OR(D3779="", F3779=""), "", F3779 * VLOOKUP(D3779, Products!A:E, 5, FALSE) * (1 - G3779))</f>
        <v>3101.7179999999998</v>
      </c>
      <c r="J3779" s="10"/>
    </row>
    <row r="3780" spans="1:10" ht="15.75" customHeight="1" x14ac:dyDescent="0.3">
      <c r="A3780" s="5" t="s">
        <v>4647</v>
      </c>
      <c r="B3780" s="11">
        <v>45249</v>
      </c>
      <c r="C3780" s="5" t="s">
        <v>429</v>
      </c>
      <c r="D3780" s="5" t="s">
        <v>54</v>
      </c>
      <c r="E3780" s="5" t="s">
        <v>33</v>
      </c>
      <c r="F3780" s="5">
        <v>2</v>
      </c>
      <c r="G3780" s="19">
        <v>0.15</v>
      </c>
      <c r="H3780" s="5" t="s">
        <v>454</v>
      </c>
      <c r="I3780" s="10">
        <f>IF(OR(D3780="", F3780=""), "", F3780 * VLOOKUP(D3780, Products!A:E, 5, FALSE) * (1 - G3780))</f>
        <v>3151.4090000000001</v>
      </c>
      <c r="J3780" s="10"/>
    </row>
    <row r="3781" spans="1:10" ht="15.75" customHeight="1" x14ac:dyDescent="0.3">
      <c r="A3781" s="5" t="s">
        <v>4648</v>
      </c>
      <c r="B3781" s="11">
        <v>45379</v>
      </c>
      <c r="C3781" s="5" t="s">
        <v>322</v>
      </c>
      <c r="D3781" s="5" t="s">
        <v>217</v>
      </c>
      <c r="E3781" s="5" t="s">
        <v>33</v>
      </c>
      <c r="F3781" s="5">
        <v>1</v>
      </c>
      <c r="G3781" s="19">
        <v>0.05</v>
      </c>
      <c r="H3781" s="5" t="s">
        <v>776</v>
      </c>
      <c r="I3781" s="10">
        <f>IF(OR(D3781="", F3781=""), "", F3781 * VLOOKUP(D3781, Products!A:E, 5, FALSE) * (1 - G3781))</f>
        <v>406.64749999999998</v>
      </c>
      <c r="J3781" s="10"/>
    </row>
    <row r="3782" spans="1:10" ht="15.75" customHeight="1" x14ac:dyDescent="0.3">
      <c r="A3782" s="5" t="s">
        <v>4649</v>
      </c>
      <c r="B3782" s="11">
        <v>45382</v>
      </c>
      <c r="C3782" s="5" t="s">
        <v>322</v>
      </c>
      <c r="D3782" s="5" t="s">
        <v>57</v>
      </c>
      <c r="E3782" s="5" t="s">
        <v>21</v>
      </c>
      <c r="F3782" s="5">
        <v>2</v>
      </c>
      <c r="G3782" s="19">
        <v>0.1</v>
      </c>
      <c r="H3782" s="5" t="s">
        <v>697</v>
      </c>
      <c r="I3782" s="10">
        <f>IF(OR(D3782="", F3782=""), "", F3782 * VLOOKUP(D3782, Products!A:E, 5, FALSE) * (1 - G3782))</f>
        <v>2513.1959999999999</v>
      </c>
      <c r="J3782" s="10"/>
    </row>
    <row r="3783" spans="1:10" ht="15.75" customHeight="1" x14ac:dyDescent="0.3">
      <c r="A3783" s="5" t="s">
        <v>4650</v>
      </c>
      <c r="B3783" s="11">
        <v>45816</v>
      </c>
      <c r="C3783" s="5" t="s">
        <v>842</v>
      </c>
      <c r="D3783" s="5" t="s">
        <v>188</v>
      </c>
      <c r="E3783" s="5" t="s">
        <v>33</v>
      </c>
      <c r="F3783" s="5">
        <v>3</v>
      </c>
      <c r="G3783" s="19">
        <v>0.05</v>
      </c>
      <c r="H3783" s="5" t="s">
        <v>637</v>
      </c>
      <c r="I3783" s="10">
        <f>IF(OR(D3783="", F3783=""), "", F3783 * VLOOKUP(D3783, Products!A:E, 5, FALSE) * (1 - G3783))</f>
        <v>4232.392499999999</v>
      </c>
      <c r="J3783" s="10"/>
    </row>
    <row r="3784" spans="1:10" ht="15.75" customHeight="1" x14ac:dyDescent="0.3">
      <c r="A3784" s="5" t="s">
        <v>4651</v>
      </c>
      <c r="B3784" s="11">
        <v>45559</v>
      </c>
      <c r="C3784" s="5" t="s">
        <v>499</v>
      </c>
      <c r="D3784" s="5" t="s">
        <v>272</v>
      </c>
      <c r="E3784" s="5" t="s">
        <v>37</v>
      </c>
      <c r="F3784" s="5">
        <v>4</v>
      </c>
      <c r="G3784" s="19">
        <v>0</v>
      </c>
      <c r="H3784" s="5" t="s">
        <v>637</v>
      </c>
      <c r="I3784" s="10">
        <f>IF(OR(D3784="", F3784=""), "", F3784 * VLOOKUP(D3784, Products!A:E, 5, FALSE) * (1 - G3784))</f>
        <v>4661.4799999999996</v>
      </c>
      <c r="J3784" s="10"/>
    </row>
    <row r="3785" spans="1:10" ht="15.75" customHeight="1" x14ac:dyDescent="0.3">
      <c r="A3785" s="5" t="s">
        <v>4652</v>
      </c>
      <c r="B3785" s="11">
        <v>45286</v>
      </c>
      <c r="C3785" s="5" t="s">
        <v>635</v>
      </c>
      <c r="D3785" s="5" t="s">
        <v>122</v>
      </c>
      <c r="E3785" s="5" t="s">
        <v>29</v>
      </c>
      <c r="F3785" s="5">
        <v>2</v>
      </c>
      <c r="G3785" s="19">
        <v>0.1</v>
      </c>
      <c r="H3785" s="5" t="s">
        <v>454</v>
      </c>
      <c r="I3785" s="10">
        <f>IF(OR(D3785="", F3785=""), "", F3785 * VLOOKUP(D3785, Products!A:E, 5, FALSE) * (1 - G3785))</f>
        <v>3173.2560000000003</v>
      </c>
      <c r="J3785" s="10"/>
    </row>
    <row r="3786" spans="1:10" ht="15.75" customHeight="1" x14ac:dyDescent="0.3">
      <c r="A3786" s="5" t="s">
        <v>4653</v>
      </c>
      <c r="B3786" s="11">
        <v>45908</v>
      </c>
      <c r="C3786" s="5" t="s">
        <v>652</v>
      </c>
      <c r="D3786" s="5" t="s">
        <v>140</v>
      </c>
      <c r="E3786" s="5" t="s">
        <v>25</v>
      </c>
      <c r="F3786" s="5">
        <v>3</v>
      </c>
      <c r="G3786" s="19">
        <v>0.05</v>
      </c>
      <c r="H3786" s="5" t="s">
        <v>776</v>
      </c>
      <c r="I3786" s="10">
        <f>IF(OR(D3786="", F3786=""), "", F3786 * VLOOKUP(D3786, Products!A:E, 5, FALSE) * (1 - G3786))</f>
        <v>72.874499999999998</v>
      </c>
      <c r="J3786" s="10"/>
    </row>
    <row r="3787" spans="1:10" ht="15.75" customHeight="1" x14ac:dyDescent="0.3">
      <c r="A3787" s="5" t="s">
        <v>4654</v>
      </c>
      <c r="B3787" s="11">
        <v>45746</v>
      </c>
      <c r="C3787" s="5" t="s">
        <v>786</v>
      </c>
      <c r="D3787" s="5" t="s">
        <v>265</v>
      </c>
      <c r="E3787" s="5" t="s">
        <v>37</v>
      </c>
      <c r="F3787" s="5">
        <v>2</v>
      </c>
      <c r="G3787" s="19">
        <v>0.1</v>
      </c>
      <c r="H3787" s="5" t="s">
        <v>454</v>
      </c>
      <c r="I3787" s="10">
        <f>IF(OR(D3787="", F3787=""), "", F3787 * VLOOKUP(D3787, Products!A:E, 5, FALSE) * (1 - G3787))</f>
        <v>1015.9559999999999</v>
      </c>
      <c r="J3787" s="10"/>
    </row>
    <row r="3788" spans="1:10" ht="15.75" customHeight="1" x14ac:dyDescent="0.3">
      <c r="A3788" s="5" t="s">
        <v>4655</v>
      </c>
      <c r="B3788" s="11">
        <v>45692</v>
      </c>
      <c r="C3788" s="5" t="s">
        <v>515</v>
      </c>
      <c r="D3788" s="5" t="s">
        <v>262</v>
      </c>
      <c r="E3788" s="5" t="s">
        <v>29</v>
      </c>
      <c r="F3788" s="5">
        <v>1</v>
      </c>
      <c r="G3788" s="19">
        <v>0</v>
      </c>
      <c r="H3788" s="5" t="s">
        <v>637</v>
      </c>
      <c r="I3788" s="10">
        <f>IF(OR(D3788="", F3788=""), "", F3788 * VLOOKUP(D3788, Products!A:E, 5, FALSE) * (1 - G3788))</f>
        <v>453.62</v>
      </c>
      <c r="J3788" s="10"/>
    </row>
    <row r="3789" spans="1:10" ht="15.75" customHeight="1" x14ac:dyDescent="0.3">
      <c r="A3789" s="5" t="s">
        <v>4656</v>
      </c>
      <c r="B3789" s="11">
        <v>45758</v>
      </c>
      <c r="C3789" s="5" t="s">
        <v>412</v>
      </c>
      <c r="D3789" s="5" t="s">
        <v>115</v>
      </c>
      <c r="E3789" s="5" t="s">
        <v>29</v>
      </c>
      <c r="F3789" s="5">
        <v>3</v>
      </c>
      <c r="G3789" s="19">
        <v>0.1</v>
      </c>
      <c r="H3789" s="5" t="s">
        <v>637</v>
      </c>
      <c r="I3789" s="10">
        <f>IF(OR(D3789="", F3789=""), "", F3789 * VLOOKUP(D3789, Products!A:E, 5, FALSE) * (1 - G3789))</f>
        <v>3364.4969999999998</v>
      </c>
      <c r="J3789" s="10"/>
    </row>
    <row r="3790" spans="1:10" ht="15.75" customHeight="1" x14ac:dyDescent="0.3">
      <c r="A3790" s="5" t="s">
        <v>4657</v>
      </c>
      <c r="B3790" s="11">
        <v>45252</v>
      </c>
      <c r="C3790" s="5" t="s">
        <v>491</v>
      </c>
      <c r="D3790" s="5" t="s">
        <v>262</v>
      </c>
      <c r="E3790" s="5" t="s">
        <v>25</v>
      </c>
      <c r="F3790" s="5">
        <v>2</v>
      </c>
      <c r="G3790" s="19">
        <v>0</v>
      </c>
      <c r="H3790" s="5" t="s">
        <v>776</v>
      </c>
      <c r="I3790" s="10">
        <f>IF(OR(D3790="", F3790=""), "", F3790 * VLOOKUP(D3790, Products!A:E, 5, FALSE) * (1 - G3790))</f>
        <v>907.24</v>
      </c>
      <c r="J3790" s="10"/>
    </row>
    <row r="3791" spans="1:10" ht="15.75" customHeight="1" x14ac:dyDescent="0.3">
      <c r="A3791" s="5" t="s">
        <v>4658</v>
      </c>
      <c r="B3791" s="11">
        <v>45743</v>
      </c>
      <c r="C3791" s="5" t="s">
        <v>292</v>
      </c>
      <c r="D3791" s="5" t="s">
        <v>180</v>
      </c>
      <c r="E3791" s="5" t="s">
        <v>25</v>
      </c>
      <c r="F3791" s="5">
        <v>2</v>
      </c>
      <c r="G3791" s="19">
        <v>0.15</v>
      </c>
      <c r="H3791" s="5" t="s">
        <v>454</v>
      </c>
      <c r="I3791" s="10">
        <f>IF(OR(D3791="", F3791=""), "", F3791 * VLOOKUP(D3791, Products!A:E, 5, FALSE) * (1 - G3791))</f>
        <v>1145.4259999999999</v>
      </c>
      <c r="J3791" s="10"/>
    </row>
    <row r="3792" spans="1:10" ht="15.75" customHeight="1" x14ac:dyDescent="0.3">
      <c r="A3792" s="5" t="s">
        <v>4659</v>
      </c>
      <c r="B3792" s="11">
        <v>45745</v>
      </c>
      <c r="C3792" s="5" t="s">
        <v>872</v>
      </c>
      <c r="D3792" s="5" t="s">
        <v>89</v>
      </c>
      <c r="E3792" s="5" t="s">
        <v>37</v>
      </c>
      <c r="F3792" s="5">
        <v>5</v>
      </c>
      <c r="G3792" s="19">
        <v>0.15</v>
      </c>
      <c r="H3792" s="5" t="s">
        <v>776</v>
      </c>
      <c r="I3792" s="10">
        <f>IF(OR(D3792="", F3792=""), "", F3792 * VLOOKUP(D3792, Products!A:E, 5, FALSE) * (1 - G3792))</f>
        <v>4822.8999999999996</v>
      </c>
      <c r="J3792" s="10"/>
    </row>
    <row r="3793" spans="1:10" ht="15.75" customHeight="1" x14ac:dyDescent="0.3">
      <c r="A3793" s="5" t="s">
        <v>4660</v>
      </c>
      <c r="B3793" s="11">
        <v>45673</v>
      </c>
      <c r="C3793" s="5" t="s">
        <v>597</v>
      </c>
      <c r="D3793" s="5" t="s">
        <v>200</v>
      </c>
      <c r="E3793" s="5" t="s">
        <v>33</v>
      </c>
      <c r="F3793" s="5">
        <v>4</v>
      </c>
      <c r="G3793" s="19">
        <v>0.05</v>
      </c>
      <c r="H3793" s="5" t="s">
        <v>697</v>
      </c>
      <c r="I3793" s="10">
        <f>IF(OR(D3793="", F3793=""), "", F3793 * VLOOKUP(D3793, Products!A:E, 5, FALSE) * (1 - G3793))</f>
        <v>4163.7359999999999</v>
      </c>
      <c r="J3793" s="10"/>
    </row>
    <row r="3794" spans="1:10" ht="15.75" customHeight="1" x14ac:dyDescent="0.3">
      <c r="A3794" s="5" t="s">
        <v>4661</v>
      </c>
      <c r="B3794" s="11">
        <v>45726</v>
      </c>
      <c r="C3794" s="5" t="s">
        <v>602</v>
      </c>
      <c r="D3794" s="5" t="s">
        <v>272</v>
      </c>
      <c r="E3794" s="5" t="s">
        <v>29</v>
      </c>
      <c r="F3794" s="5">
        <v>2</v>
      </c>
      <c r="G3794" s="19">
        <v>0.15</v>
      </c>
      <c r="H3794" s="5" t="s">
        <v>697</v>
      </c>
      <c r="I3794" s="10">
        <f>IF(OR(D3794="", F3794=""), "", F3794 * VLOOKUP(D3794, Products!A:E, 5, FALSE) * (1 - G3794))</f>
        <v>1981.1289999999997</v>
      </c>
      <c r="J3794" s="10"/>
    </row>
    <row r="3795" spans="1:10" ht="15.75" customHeight="1" x14ac:dyDescent="0.3">
      <c r="A3795" s="5" t="s">
        <v>4662</v>
      </c>
      <c r="B3795" s="11">
        <v>45521</v>
      </c>
      <c r="C3795" s="5" t="s">
        <v>121</v>
      </c>
      <c r="D3795" s="5" t="s">
        <v>134</v>
      </c>
      <c r="E3795" s="5" t="s">
        <v>25</v>
      </c>
      <c r="F3795" s="5">
        <v>5</v>
      </c>
      <c r="G3795" s="19">
        <v>0.15</v>
      </c>
      <c r="H3795" s="5" t="s">
        <v>697</v>
      </c>
      <c r="I3795" s="10">
        <f>IF(OR(D3795="", F3795=""), "", F3795 * VLOOKUP(D3795, Products!A:E, 5, FALSE) * (1 - G3795))</f>
        <v>5215.7699999999995</v>
      </c>
      <c r="J3795" s="10"/>
    </row>
    <row r="3796" spans="1:10" ht="15.75" customHeight="1" x14ac:dyDescent="0.3">
      <c r="A3796" s="5" t="s">
        <v>4663</v>
      </c>
      <c r="B3796" s="11">
        <v>45665</v>
      </c>
      <c r="C3796" s="5" t="s">
        <v>185</v>
      </c>
      <c r="D3796" s="5" t="s">
        <v>43</v>
      </c>
      <c r="E3796" s="5" t="s">
        <v>33</v>
      </c>
      <c r="F3796" s="5">
        <v>3</v>
      </c>
      <c r="G3796" s="19">
        <v>0</v>
      </c>
      <c r="H3796" s="5" t="s">
        <v>776</v>
      </c>
      <c r="I3796" s="10">
        <f>IF(OR(D3796="", F3796=""), "", F3796 * VLOOKUP(D3796, Products!A:E, 5, FALSE) * (1 - G3796))</f>
        <v>5021.07</v>
      </c>
      <c r="J3796" s="10"/>
    </row>
    <row r="3797" spans="1:10" ht="15.75" customHeight="1" x14ac:dyDescent="0.3">
      <c r="A3797" s="5" t="s">
        <v>4664</v>
      </c>
      <c r="B3797" s="11">
        <v>45195</v>
      </c>
      <c r="C3797" s="5" t="s">
        <v>181</v>
      </c>
      <c r="D3797" s="5" t="s">
        <v>119</v>
      </c>
      <c r="E3797" s="5" t="s">
        <v>37</v>
      </c>
      <c r="F3797" s="5">
        <v>4</v>
      </c>
      <c r="G3797" s="19">
        <v>0.05</v>
      </c>
      <c r="H3797" s="5" t="s">
        <v>776</v>
      </c>
      <c r="I3797" s="10">
        <f>IF(OR(D3797="", F3797=""), "", F3797 * VLOOKUP(D3797, Products!A:E, 5, FALSE) * (1 - G3797))</f>
        <v>4103.5820000000003</v>
      </c>
      <c r="J3797" s="10"/>
    </row>
    <row r="3798" spans="1:10" ht="15.75" customHeight="1" x14ac:dyDescent="0.3">
      <c r="A3798" s="5" t="s">
        <v>4665</v>
      </c>
      <c r="B3798" s="11">
        <v>45645</v>
      </c>
      <c r="C3798" s="5" t="s">
        <v>412</v>
      </c>
      <c r="D3798" s="5" t="s">
        <v>140</v>
      </c>
      <c r="E3798" s="5" t="s">
        <v>29</v>
      </c>
      <c r="F3798" s="5">
        <v>2</v>
      </c>
      <c r="G3798" s="19">
        <v>0</v>
      </c>
      <c r="H3798" s="5" t="s">
        <v>637</v>
      </c>
      <c r="I3798" s="10">
        <f>IF(OR(D3798="", F3798=""), "", F3798 * VLOOKUP(D3798, Products!A:E, 5, FALSE) * (1 - G3798))</f>
        <v>51.14</v>
      </c>
      <c r="J3798" s="10"/>
    </row>
    <row r="3799" spans="1:10" ht="15.75" customHeight="1" x14ac:dyDescent="0.3">
      <c r="A3799" s="5" t="s">
        <v>4666</v>
      </c>
      <c r="B3799" s="11">
        <v>45499</v>
      </c>
      <c r="C3799" s="5" t="s">
        <v>733</v>
      </c>
      <c r="D3799" s="5" t="s">
        <v>243</v>
      </c>
      <c r="E3799" s="5" t="s">
        <v>25</v>
      </c>
      <c r="F3799" s="5">
        <v>3</v>
      </c>
      <c r="G3799" s="19">
        <v>0.05</v>
      </c>
      <c r="H3799" s="5" t="s">
        <v>454</v>
      </c>
      <c r="I3799" s="10">
        <f>IF(OR(D3799="", F3799=""), "", F3799 * VLOOKUP(D3799, Products!A:E, 5, FALSE) * (1 - G3799))</f>
        <v>1541.6790000000001</v>
      </c>
      <c r="J3799" s="10"/>
    </row>
    <row r="3800" spans="1:10" ht="15.75" customHeight="1" x14ac:dyDescent="0.3">
      <c r="A3800" s="5" t="s">
        <v>4667</v>
      </c>
      <c r="B3800" s="11">
        <v>45468</v>
      </c>
      <c r="C3800" s="5" t="s">
        <v>402</v>
      </c>
      <c r="D3800" s="5" t="s">
        <v>61</v>
      </c>
      <c r="E3800" s="5" t="s">
        <v>25</v>
      </c>
      <c r="F3800" s="5">
        <v>3</v>
      </c>
      <c r="G3800" s="19">
        <v>0.05</v>
      </c>
      <c r="H3800" s="5" t="s">
        <v>454</v>
      </c>
      <c r="I3800" s="10">
        <f>IF(OR(D3800="", F3800=""), "", F3800 * VLOOKUP(D3800, Products!A:E, 5, FALSE) * (1 - G3800))</f>
        <v>906.4425</v>
      </c>
      <c r="J3800" s="10"/>
    </row>
    <row r="3801" spans="1:10" ht="15.75" customHeight="1" x14ac:dyDescent="0.3">
      <c r="A3801" s="5" t="s">
        <v>4668</v>
      </c>
      <c r="B3801" s="11">
        <v>45280</v>
      </c>
      <c r="C3801" s="5" t="s">
        <v>91</v>
      </c>
      <c r="D3801" s="5" t="s">
        <v>122</v>
      </c>
      <c r="E3801" s="5" t="s">
        <v>21</v>
      </c>
      <c r="F3801" s="5">
        <v>1</v>
      </c>
      <c r="G3801" s="19">
        <v>0</v>
      </c>
      <c r="H3801" s="5" t="s">
        <v>637</v>
      </c>
      <c r="I3801" s="10">
        <f>IF(OR(D3801="", F3801=""), "", F3801 * VLOOKUP(D3801, Products!A:E, 5, FALSE) * (1 - G3801))</f>
        <v>1762.92</v>
      </c>
      <c r="J3801" s="10"/>
    </row>
    <row r="3802" spans="1:10" ht="15.75" customHeight="1" x14ac:dyDescent="0.3">
      <c r="A3802" s="5" t="s">
        <v>4669</v>
      </c>
      <c r="B3802" s="11">
        <v>45644</v>
      </c>
      <c r="C3802" s="5" t="s">
        <v>586</v>
      </c>
      <c r="D3802" s="5" t="s">
        <v>256</v>
      </c>
      <c r="E3802" s="5" t="s">
        <v>33</v>
      </c>
      <c r="F3802" s="5">
        <v>5</v>
      </c>
      <c r="G3802" s="19">
        <v>0.1</v>
      </c>
      <c r="H3802" s="5" t="s">
        <v>776</v>
      </c>
      <c r="I3802" s="10">
        <f>IF(OR(D3802="", F3802=""), "", F3802 * VLOOKUP(D3802, Products!A:E, 5, FALSE) * (1 - G3802))</f>
        <v>7357.5450000000001</v>
      </c>
      <c r="J3802" s="10"/>
    </row>
    <row r="3803" spans="1:10" ht="15.75" customHeight="1" x14ac:dyDescent="0.3">
      <c r="A3803" s="5" t="s">
        <v>4670</v>
      </c>
      <c r="B3803" s="11">
        <v>45598</v>
      </c>
      <c r="C3803" s="5" t="s">
        <v>571</v>
      </c>
      <c r="D3803" s="5" t="s">
        <v>217</v>
      </c>
      <c r="E3803" s="5" t="s">
        <v>29</v>
      </c>
      <c r="F3803" s="5">
        <v>2</v>
      </c>
      <c r="G3803" s="19">
        <v>0.1</v>
      </c>
      <c r="H3803" s="5" t="s">
        <v>454</v>
      </c>
      <c r="I3803" s="10">
        <f>IF(OR(D3803="", F3803=""), "", F3803 * VLOOKUP(D3803, Products!A:E, 5, FALSE) * (1 - G3803))</f>
        <v>770.49</v>
      </c>
      <c r="J3803" s="10"/>
    </row>
    <row r="3804" spans="1:10" ht="15.75" customHeight="1" x14ac:dyDescent="0.3">
      <c r="A3804" s="5" t="s">
        <v>4671</v>
      </c>
      <c r="B3804" s="11">
        <v>45431</v>
      </c>
      <c r="C3804" s="5" t="s">
        <v>412</v>
      </c>
      <c r="D3804" s="5" t="s">
        <v>109</v>
      </c>
      <c r="E3804" s="5" t="s">
        <v>29</v>
      </c>
      <c r="F3804" s="5">
        <v>3</v>
      </c>
      <c r="G3804" s="19">
        <v>0.1</v>
      </c>
      <c r="H3804" s="5" t="s">
        <v>637</v>
      </c>
      <c r="I3804" s="10">
        <f>IF(OR(D3804="", F3804=""), "", F3804 * VLOOKUP(D3804, Products!A:E, 5, FALSE) * (1 - G3804))</f>
        <v>5018.625</v>
      </c>
      <c r="J3804" s="10"/>
    </row>
    <row r="3805" spans="1:10" ht="15.75" customHeight="1" x14ac:dyDescent="0.3">
      <c r="A3805" s="5" t="s">
        <v>4672</v>
      </c>
      <c r="B3805" s="11">
        <v>45791</v>
      </c>
      <c r="C3805" s="5" t="s">
        <v>159</v>
      </c>
      <c r="D3805" s="5" t="s">
        <v>122</v>
      </c>
      <c r="E3805" s="5" t="s">
        <v>37</v>
      </c>
      <c r="F3805" s="5">
        <v>2</v>
      </c>
      <c r="G3805" s="19">
        <v>0.1</v>
      </c>
      <c r="H3805" s="5" t="s">
        <v>776</v>
      </c>
      <c r="I3805" s="10">
        <f>IF(OR(D3805="", F3805=""), "", F3805 * VLOOKUP(D3805, Products!A:E, 5, FALSE) * (1 - G3805))</f>
        <v>3173.2560000000003</v>
      </c>
      <c r="J3805" s="10"/>
    </row>
    <row r="3806" spans="1:10" ht="15.75" customHeight="1" x14ac:dyDescent="0.3">
      <c r="A3806" s="5" t="s">
        <v>4673</v>
      </c>
      <c r="B3806" s="11">
        <v>45336</v>
      </c>
      <c r="C3806" s="5" t="s">
        <v>618</v>
      </c>
      <c r="D3806" s="5" t="s">
        <v>153</v>
      </c>
      <c r="E3806" s="5" t="s">
        <v>37</v>
      </c>
      <c r="F3806" s="5">
        <v>5</v>
      </c>
      <c r="G3806" s="19">
        <v>0.05</v>
      </c>
      <c r="H3806" s="5" t="s">
        <v>637</v>
      </c>
      <c r="I3806" s="10">
        <f>IF(OR(D3806="", F3806=""), "", F3806 * VLOOKUP(D3806, Products!A:E, 5, FALSE) * (1 - G3806))</f>
        <v>7065.1975000000002</v>
      </c>
      <c r="J3806" s="10"/>
    </row>
    <row r="3807" spans="1:10" ht="15.75" customHeight="1" x14ac:dyDescent="0.3">
      <c r="A3807" s="5" t="s">
        <v>4674</v>
      </c>
      <c r="B3807" s="11">
        <v>45687</v>
      </c>
      <c r="C3807" s="5" t="s">
        <v>815</v>
      </c>
      <c r="D3807" s="5" t="s">
        <v>272</v>
      </c>
      <c r="E3807" s="5" t="s">
        <v>37</v>
      </c>
      <c r="F3807" s="5">
        <v>1</v>
      </c>
      <c r="G3807" s="19">
        <v>0</v>
      </c>
      <c r="H3807" s="5" t="s">
        <v>454</v>
      </c>
      <c r="I3807" s="10">
        <f>IF(OR(D3807="", F3807=""), "", F3807 * VLOOKUP(D3807, Products!A:E, 5, FALSE) * (1 - G3807))</f>
        <v>1165.3699999999999</v>
      </c>
      <c r="J3807" s="10"/>
    </row>
    <row r="3808" spans="1:10" ht="15.75" customHeight="1" x14ac:dyDescent="0.3">
      <c r="A3808" s="5" t="s">
        <v>4675</v>
      </c>
      <c r="B3808" s="11">
        <v>45251</v>
      </c>
      <c r="C3808" s="5" t="s">
        <v>397</v>
      </c>
      <c r="D3808" s="5" t="s">
        <v>269</v>
      </c>
      <c r="E3808" s="5" t="s">
        <v>37</v>
      </c>
      <c r="F3808" s="5">
        <v>1</v>
      </c>
      <c r="G3808" s="19">
        <v>0.05</v>
      </c>
      <c r="H3808" s="5" t="s">
        <v>637</v>
      </c>
      <c r="I3808" s="10">
        <f>IF(OR(D3808="", F3808=""), "", F3808 * VLOOKUP(D3808, Products!A:E, 5, FALSE) * (1 - G3808))</f>
        <v>1785.1259999999997</v>
      </c>
      <c r="J3808" s="10"/>
    </row>
    <row r="3809" spans="1:10" ht="15.75" customHeight="1" x14ac:dyDescent="0.3">
      <c r="A3809" s="5" t="s">
        <v>4676</v>
      </c>
      <c r="B3809" s="11">
        <v>45262</v>
      </c>
      <c r="C3809" s="5" t="s">
        <v>641</v>
      </c>
      <c r="D3809" s="5" t="s">
        <v>153</v>
      </c>
      <c r="E3809" s="5" t="s">
        <v>37</v>
      </c>
      <c r="F3809" s="5">
        <v>3</v>
      </c>
      <c r="G3809" s="19">
        <v>0.15</v>
      </c>
      <c r="H3809" s="5" t="s">
        <v>637</v>
      </c>
      <c r="I3809" s="10">
        <f>IF(OR(D3809="", F3809=""), "", F3809 * VLOOKUP(D3809, Products!A:E, 5, FALSE) * (1 - G3809))</f>
        <v>3792.8955000000001</v>
      </c>
      <c r="J3809" s="10"/>
    </row>
    <row r="3810" spans="1:10" ht="15.75" customHeight="1" x14ac:dyDescent="0.3">
      <c r="A3810" s="5" t="s">
        <v>4677</v>
      </c>
      <c r="B3810" s="11">
        <v>45649</v>
      </c>
      <c r="C3810" s="5" t="s">
        <v>718</v>
      </c>
      <c r="D3810" s="5" t="s">
        <v>140</v>
      </c>
      <c r="E3810" s="5" t="s">
        <v>37</v>
      </c>
      <c r="F3810" s="5">
        <v>5</v>
      </c>
      <c r="G3810" s="19">
        <v>0.05</v>
      </c>
      <c r="H3810" s="5" t="s">
        <v>776</v>
      </c>
      <c r="I3810" s="10">
        <f>IF(OR(D3810="", F3810=""), "", F3810 * VLOOKUP(D3810, Products!A:E, 5, FALSE) * (1 - G3810))</f>
        <v>121.4575</v>
      </c>
      <c r="J3810" s="10"/>
    </row>
    <row r="3811" spans="1:10" ht="15.75" customHeight="1" x14ac:dyDescent="0.3">
      <c r="A3811" s="5" t="s">
        <v>4678</v>
      </c>
      <c r="B3811" s="11">
        <v>45206</v>
      </c>
      <c r="C3811" s="5" t="s">
        <v>462</v>
      </c>
      <c r="D3811" s="5" t="s">
        <v>226</v>
      </c>
      <c r="E3811" s="5" t="s">
        <v>29</v>
      </c>
      <c r="F3811" s="5">
        <v>4</v>
      </c>
      <c r="G3811" s="19">
        <v>0.05</v>
      </c>
      <c r="H3811" s="5" t="s">
        <v>637</v>
      </c>
      <c r="I3811" s="10">
        <f>IF(OR(D3811="", F3811=""), "", F3811 * VLOOKUP(D3811, Products!A:E, 5, FALSE) * (1 - G3811))</f>
        <v>5705.5479999999998</v>
      </c>
      <c r="J3811" s="10"/>
    </row>
    <row r="3812" spans="1:10" ht="15.75" customHeight="1" x14ac:dyDescent="0.3">
      <c r="A3812" s="5" t="s">
        <v>4679</v>
      </c>
      <c r="B3812" s="11">
        <v>45842</v>
      </c>
      <c r="C3812" s="5" t="s">
        <v>235</v>
      </c>
      <c r="D3812" s="5" t="s">
        <v>272</v>
      </c>
      <c r="E3812" s="5" t="s">
        <v>29</v>
      </c>
      <c r="F3812" s="5">
        <v>4</v>
      </c>
      <c r="G3812" s="19">
        <v>0.05</v>
      </c>
      <c r="H3812" s="5" t="s">
        <v>454</v>
      </c>
      <c r="I3812" s="10">
        <f>IF(OR(D3812="", F3812=""), "", F3812 * VLOOKUP(D3812, Products!A:E, 5, FALSE) * (1 - G3812))</f>
        <v>4428.405999999999</v>
      </c>
      <c r="J3812" s="10"/>
    </row>
    <row r="3813" spans="1:10" ht="15.75" customHeight="1" x14ac:dyDescent="0.3">
      <c r="A3813" s="5" t="s">
        <v>4680</v>
      </c>
      <c r="B3813" s="11">
        <v>45580</v>
      </c>
      <c r="C3813" s="5" t="s">
        <v>528</v>
      </c>
      <c r="D3813" s="5" t="s">
        <v>77</v>
      </c>
      <c r="E3813" s="5" t="s">
        <v>25</v>
      </c>
      <c r="F3813" s="5">
        <v>1</v>
      </c>
      <c r="G3813" s="19">
        <v>0</v>
      </c>
      <c r="H3813" s="5" t="s">
        <v>637</v>
      </c>
      <c r="I3813" s="10">
        <f>IF(OR(D3813="", F3813=""), "", F3813 * VLOOKUP(D3813, Products!A:E, 5, FALSE) * (1 - G3813))</f>
        <v>248.57</v>
      </c>
      <c r="J3813" s="10"/>
    </row>
    <row r="3814" spans="1:10" ht="15.75" customHeight="1" x14ac:dyDescent="0.3">
      <c r="A3814" s="5" t="s">
        <v>4681</v>
      </c>
      <c r="B3814" s="11">
        <v>45310</v>
      </c>
      <c r="C3814" s="5" t="s">
        <v>819</v>
      </c>
      <c r="D3814" s="5" t="s">
        <v>280</v>
      </c>
      <c r="E3814" s="5" t="s">
        <v>29</v>
      </c>
      <c r="F3814" s="5">
        <v>2</v>
      </c>
      <c r="G3814" s="19">
        <v>0.1</v>
      </c>
      <c r="H3814" s="5" t="s">
        <v>697</v>
      </c>
      <c r="I3814" s="10">
        <f>IF(OR(D3814="", F3814=""), "", F3814 * VLOOKUP(D3814, Products!A:E, 5, FALSE) * (1 - G3814))</f>
        <v>2189.4479999999999</v>
      </c>
      <c r="J3814" s="10"/>
    </row>
    <row r="3815" spans="1:10" ht="15.75" customHeight="1" x14ac:dyDescent="0.3">
      <c r="A3815" s="5" t="s">
        <v>4682</v>
      </c>
      <c r="B3815" s="11">
        <v>45260</v>
      </c>
      <c r="C3815" s="5" t="s">
        <v>361</v>
      </c>
      <c r="D3815" s="5" t="s">
        <v>57</v>
      </c>
      <c r="E3815" s="5" t="s">
        <v>37</v>
      </c>
      <c r="F3815" s="5">
        <v>2</v>
      </c>
      <c r="G3815" s="19">
        <v>0.15</v>
      </c>
      <c r="H3815" s="5" t="s">
        <v>697</v>
      </c>
      <c r="I3815" s="10">
        <f>IF(OR(D3815="", F3815=""), "", F3815 * VLOOKUP(D3815, Products!A:E, 5, FALSE) * (1 - G3815))</f>
        <v>2373.5740000000001</v>
      </c>
      <c r="J3815" s="10"/>
    </row>
    <row r="3816" spans="1:10" ht="15.75" customHeight="1" x14ac:dyDescent="0.3">
      <c r="A3816" s="5" t="s">
        <v>4683</v>
      </c>
      <c r="B3816" s="11">
        <v>45180</v>
      </c>
      <c r="C3816" s="5" t="s">
        <v>661</v>
      </c>
      <c r="D3816" s="5" t="s">
        <v>65</v>
      </c>
      <c r="E3816" s="5" t="s">
        <v>25</v>
      </c>
      <c r="F3816" s="5">
        <v>2</v>
      </c>
      <c r="G3816" s="19">
        <v>0</v>
      </c>
      <c r="H3816" s="5" t="s">
        <v>697</v>
      </c>
      <c r="I3816" s="10">
        <f>IF(OR(D3816="", F3816=""), "", F3816 * VLOOKUP(D3816, Products!A:E, 5, FALSE) * (1 - G3816))</f>
        <v>2948.24</v>
      </c>
      <c r="J3816" s="10"/>
    </row>
    <row r="3817" spans="1:10" ht="15.75" customHeight="1" x14ac:dyDescent="0.3">
      <c r="A3817" s="5" t="s">
        <v>4684</v>
      </c>
      <c r="B3817" s="11">
        <v>45389</v>
      </c>
      <c r="C3817" s="5" t="s">
        <v>245</v>
      </c>
      <c r="D3817" s="5" t="s">
        <v>262</v>
      </c>
      <c r="E3817" s="5" t="s">
        <v>37</v>
      </c>
      <c r="F3817" s="5">
        <v>4</v>
      </c>
      <c r="G3817" s="19">
        <v>0</v>
      </c>
      <c r="H3817" s="5" t="s">
        <v>637</v>
      </c>
      <c r="I3817" s="10">
        <f>IF(OR(D3817="", F3817=""), "", F3817 * VLOOKUP(D3817, Products!A:E, 5, FALSE) * (1 - G3817))</f>
        <v>1814.48</v>
      </c>
      <c r="J3817" s="10"/>
    </row>
    <row r="3818" spans="1:10" ht="15.75" customHeight="1" x14ac:dyDescent="0.3">
      <c r="A3818" s="5" t="s">
        <v>4685</v>
      </c>
      <c r="B3818" s="11">
        <v>45482</v>
      </c>
      <c r="C3818" s="5" t="s">
        <v>312</v>
      </c>
      <c r="D3818" s="5" t="s">
        <v>54</v>
      </c>
      <c r="E3818" s="5" t="s">
        <v>37</v>
      </c>
      <c r="F3818" s="5">
        <v>2</v>
      </c>
      <c r="G3818" s="19">
        <v>0.05</v>
      </c>
      <c r="H3818" s="5" t="s">
        <v>776</v>
      </c>
      <c r="I3818" s="10">
        <f>IF(OR(D3818="", F3818=""), "", F3818 * VLOOKUP(D3818, Products!A:E, 5, FALSE) * (1 - G3818))</f>
        <v>3522.163</v>
      </c>
      <c r="J3818" s="10"/>
    </row>
    <row r="3819" spans="1:10" ht="15.75" customHeight="1" x14ac:dyDescent="0.3">
      <c r="A3819" s="5" t="s">
        <v>4686</v>
      </c>
      <c r="B3819" s="11">
        <v>45429</v>
      </c>
      <c r="C3819" s="5" t="s">
        <v>823</v>
      </c>
      <c r="D3819" s="5" t="s">
        <v>285</v>
      </c>
      <c r="E3819" s="5" t="s">
        <v>37</v>
      </c>
      <c r="F3819" s="5">
        <v>5</v>
      </c>
      <c r="G3819" s="19">
        <v>0.05</v>
      </c>
      <c r="H3819" s="5" t="s">
        <v>697</v>
      </c>
      <c r="I3819" s="10">
        <f>IF(OR(D3819="", F3819=""), "", F3819 * VLOOKUP(D3819, Products!A:E, 5, FALSE) * (1 - G3819))</f>
        <v>1844.2349999999999</v>
      </c>
      <c r="J3819" s="10"/>
    </row>
    <row r="3820" spans="1:10" ht="15.75" customHeight="1" x14ac:dyDescent="0.3">
      <c r="A3820" s="5" t="s">
        <v>4687</v>
      </c>
      <c r="B3820" s="11">
        <v>45192</v>
      </c>
      <c r="C3820" s="5" t="s">
        <v>300</v>
      </c>
      <c r="D3820" s="5" t="s">
        <v>269</v>
      </c>
      <c r="E3820" s="5" t="s">
        <v>21</v>
      </c>
      <c r="F3820" s="5">
        <v>1</v>
      </c>
      <c r="G3820" s="19">
        <v>0</v>
      </c>
      <c r="H3820" s="5" t="s">
        <v>776</v>
      </c>
      <c r="I3820" s="10">
        <f>IF(OR(D3820="", F3820=""), "", F3820 * VLOOKUP(D3820, Products!A:E, 5, FALSE) * (1 - G3820))</f>
        <v>1879.08</v>
      </c>
      <c r="J3820" s="10"/>
    </row>
    <row r="3821" spans="1:10" ht="15.75" customHeight="1" x14ac:dyDescent="0.3">
      <c r="A3821" s="5" t="s">
        <v>4688</v>
      </c>
      <c r="B3821" s="11">
        <v>45693</v>
      </c>
      <c r="C3821" s="5" t="s">
        <v>342</v>
      </c>
      <c r="D3821" s="5" t="s">
        <v>188</v>
      </c>
      <c r="E3821" s="5" t="s">
        <v>25</v>
      </c>
      <c r="F3821" s="5">
        <v>2</v>
      </c>
      <c r="G3821" s="19">
        <v>0</v>
      </c>
      <c r="H3821" s="5" t="s">
        <v>776</v>
      </c>
      <c r="I3821" s="10">
        <f>IF(OR(D3821="", F3821=""), "", F3821 * VLOOKUP(D3821, Products!A:E, 5, FALSE) * (1 - G3821))</f>
        <v>2970.1</v>
      </c>
      <c r="J3821" s="10"/>
    </row>
    <row r="3822" spans="1:10" ht="15.75" customHeight="1" x14ac:dyDescent="0.3">
      <c r="A3822" s="5" t="s">
        <v>4689</v>
      </c>
      <c r="B3822" s="11">
        <v>45398</v>
      </c>
      <c r="C3822" s="5" t="s">
        <v>177</v>
      </c>
      <c r="D3822" s="5" t="s">
        <v>47</v>
      </c>
      <c r="E3822" s="5" t="s">
        <v>37</v>
      </c>
      <c r="F3822" s="5">
        <v>4</v>
      </c>
      <c r="G3822" s="19">
        <v>0.15</v>
      </c>
      <c r="H3822" s="5" t="s">
        <v>637</v>
      </c>
      <c r="I3822" s="10">
        <f>IF(OR(D3822="", F3822=""), "", F3822 * VLOOKUP(D3822, Products!A:E, 5, FALSE) * (1 - G3822))</f>
        <v>2783.7840000000001</v>
      </c>
      <c r="J3822" s="10"/>
    </row>
    <row r="3823" spans="1:10" ht="15.75" customHeight="1" x14ac:dyDescent="0.3">
      <c r="A3823" s="5" t="s">
        <v>4690</v>
      </c>
      <c r="B3823" s="11">
        <v>45184</v>
      </c>
      <c r="C3823" s="5" t="s">
        <v>532</v>
      </c>
      <c r="D3823" s="5" t="s">
        <v>153</v>
      </c>
      <c r="E3823" s="5" t="s">
        <v>21</v>
      </c>
      <c r="F3823" s="5">
        <v>1</v>
      </c>
      <c r="G3823" s="19">
        <v>0</v>
      </c>
      <c r="H3823" s="5" t="s">
        <v>637</v>
      </c>
      <c r="I3823" s="10">
        <f>IF(OR(D3823="", F3823=""), "", F3823 * VLOOKUP(D3823, Products!A:E, 5, FALSE) * (1 - G3823))</f>
        <v>1487.41</v>
      </c>
      <c r="J3823" s="10"/>
    </row>
    <row r="3824" spans="1:10" ht="15.75" customHeight="1" x14ac:dyDescent="0.3">
      <c r="A3824" s="5" t="s">
        <v>4691</v>
      </c>
      <c r="B3824" s="11">
        <v>45562</v>
      </c>
      <c r="C3824" s="5" t="s">
        <v>826</v>
      </c>
      <c r="D3824" s="5" t="s">
        <v>262</v>
      </c>
      <c r="E3824" s="5" t="s">
        <v>33</v>
      </c>
      <c r="F3824" s="5">
        <v>1</v>
      </c>
      <c r="G3824" s="19">
        <v>0</v>
      </c>
      <c r="H3824" s="5" t="s">
        <v>776</v>
      </c>
      <c r="I3824" s="10">
        <f>IF(OR(D3824="", F3824=""), "", F3824 * VLOOKUP(D3824, Products!A:E, 5, FALSE) * (1 - G3824))</f>
        <v>453.62</v>
      </c>
      <c r="J3824" s="10"/>
    </row>
    <row r="3825" spans="1:10" ht="15.75" customHeight="1" x14ac:dyDescent="0.3">
      <c r="A3825" s="5" t="s">
        <v>4692</v>
      </c>
      <c r="B3825" s="11">
        <v>45476</v>
      </c>
      <c r="C3825" s="5" t="s">
        <v>450</v>
      </c>
      <c r="D3825" s="5" t="s">
        <v>50</v>
      </c>
      <c r="E3825" s="5" t="s">
        <v>25</v>
      </c>
      <c r="F3825" s="5">
        <v>3</v>
      </c>
      <c r="G3825" s="19">
        <v>0.15</v>
      </c>
      <c r="H3825" s="5" t="s">
        <v>776</v>
      </c>
      <c r="I3825" s="10">
        <f>IF(OR(D3825="", F3825=""), "", F3825 * VLOOKUP(D3825, Products!A:E, 5, FALSE) * (1 - G3825))</f>
        <v>860.95650000000001</v>
      </c>
      <c r="J3825" s="10"/>
    </row>
    <row r="3826" spans="1:10" ht="15.75" customHeight="1" x14ac:dyDescent="0.3">
      <c r="A3826" s="5" t="s">
        <v>4693</v>
      </c>
      <c r="B3826" s="11">
        <v>45774</v>
      </c>
      <c r="C3826" s="5" t="s">
        <v>443</v>
      </c>
      <c r="D3826" s="5" t="s">
        <v>89</v>
      </c>
      <c r="E3826" s="5" t="s">
        <v>21</v>
      </c>
      <c r="F3826" s="5">
        <v>2</v>
      </c>
      <c r="G3826" s="19">
        <v>0.1</v>
      </c>
      <c r="H3826" s="5" t="s">
        <v>454</v>
      </c>
      <c r="I3826" s="10">
        <f>IF(OR(D3826="", F3826=""), "", F3826 * VLOOKUP(D3826, Products!A:E, 5, FALSE) * (1 - G3826))</f>
        <v>2042.6399999999999</v>
      </c>
      <c r="J3826" s="10"/>
    </row>
    <row r="3827" spans="1:10" ht="15.75" customHeight="1" x14ac:dyDescent="0.3">
      <c r="A3827" s="5" t="s">
        <v>4694</v>
      </c>
      <c r="B3827" s="11">
        <v>45589</v>
      </c>
      <c r="C3827" s="5" t="s">
        <v>770</v>
      </c>
      <c r="D3827" s="5" t="s">
        <v>67</v>
      </c>
      <c r="E3827" s="5" t="s">
        <v>25</v>
      </c>
      <c r="F3827" s="5">
        <v>1</v>
      </c>
      <c r="G3827" s="19">
        <v>0</v>
      </c>
      <c r="H3827" s="5" t="s">
        <v>637</v>
      </c>
      <c r="I3827" s="10">
        <f>IF(OR(D3827="", F3827=""), "", F3827 * VLOOKUP(D3827, Products!A:E, 5, FALSE) * (1 - G3827))</f>
        <v>109.78</v>
      </c>
      <c r="J3827" s="10"/>
    </row>
    <row r="3828" spans="1:10" ht="15.75" customHeight="1" x14ac:dyDescent="0.3">
      <c r="A3828" s="5" t="s">
        <v>4695</v>
      </c>
      <c r="B3828" s="11">
        <v>45742</v>
      </c>
      <c r="C3828" s="5" t="s">
        <v>433</v>
      </c>
      <c r="D3828" s="5" t="s">
        <v>103</v>
      </c>
      <c r="E3828" s="5" t="s">
        <v>33</v>
      </c>
      <c r="F3828" s="5">
        <v>5</v>
      </c>
      <c r="G3828" s="19">
        <v>0.05</v>
      </c>
      <c r="H3828" s="5" t="s">
        <v>697</v>
      </c>
      <c r="I3828" s="10">
        <f>IF(OR(D3828="", F3828=""), "", F3828 * VLOOKUP(D3828, Products!A:E, 5, FALSE) * (1 - G3828))</f>
        <v>1284.6375</v>
      </c>
      <c r="J3828" s="10"/>
    </row>
    <row r="3829" spans="1:10" ht="15.75" customHeight="1" x14ac:dyDescent="0.3">
      <c r="A3829" s="5" t="s">
        <v>4696</v>
      </c>
      <c r="B3829" s="11">
        <v>45219</v>
      </c>
      <c r="C3829" s="5" t="s">
        <v>470</v>
      </c>
      <c r="D3829" s="5" t="s">
        <v>74</v>
      </c>
      <c r="E3829" s="5" t="s">
        <v>29</v>
      </c>
      <c r="F3829" s="5">
        <v>4</v>
      </c>
      <c r="G3829" s="19">
        <v>0.1</v>
      </c>
      <c r="H3829" s="5" t="s">
        <v>776</v>
      </c>
      <c r="I3829" s="10">
        <f>IF(OR(D3829="", F3829=""), "", F3829 * VLOOKUP(D3829, Products!A:E, 5, FALSE) * (1 - G3829))</f>
        <v>4298.8319999999994</v>
      </c>
      <c r="J3829" s="10"/>
    </row>
    <row r="3830" spans="1:10" ht="15.75" customHeight="1" x14ac:dyDescent="0.3">
      <c r="A3830" s="5" t="s">
        <v>4697</v>
      </c>
      <c r="B3830" s="11">
        <v>45703</v>
      </c>
      <c r="C3830" s="5" t="s">
        <v>129</v>
      </c>
      <c r="D3830" s="5" t="s">
        <v>291</v>
      </c>
      <c r="E3830" s="5" t="s">
        <v>21</v>
      </c>
      <c r="F3830" s="5">
        <v>2</v>
      </c>
      <c r="G3830" s="19">
        <v>0</v>
      </c>
      <c r="H3830" s="5" t="s">
        <v>637</v>
      </c>
      <c r="I3830" s="10">
        <f>IF(OR(D3830="", F3830=""), "", F3830 * VLOOKUP(D3830, Products!A:E, 5, FALSE) * (1 - G3830))</f>
        <v>2089.2800000000002</v>
      </c>
      <c r="J3830" s="10"/>
    </row>
    <row r="3831" spans="1:10" ht="15.75" customHeight="1" x14ac:dyDescent="0.3">
      <c r="A3831" s="5" t="s">
        <v>4698</v>
      </c>
      <c r="B3831" s="11">
        <v>45439</v>
      </c>
      <c r="C3831" s="5" t="s">
        <v>799</v>
      </c>
      <c r="D3831" s="5" t="s">
        <v>103</v>
      </c>
      <c r="E3831" s="5" t="s">
        <v>33</v>
      </c>
      <c r="F3831" s="5">
        <v>2</v>
      </c>
      <c r="G3831" s="19">
        <v>0</v>
      </c>
      <c r="H3831" s="5" t="s">
        <v>454</v>
      </c>
      <c r="I3831" s="10">
        <f>IF(OR(D3831="", F3831=""), "", F3831 * VLOOKUP(D3831, Products!A:E, 5, FALSE) * (1 - G3831))</f>
        <v>540.9</v>
      </c>
      <c r="J3831" s="10"/>
    </row>
    <row r="3832" spans="1:10" ht="15.75" customHeight="1" x14ac:dyDescent="0.3">
      <c r="A3832" s="5" t="s">
        <v>4699</v>
      </c>
      <c r="B3832" s="11">
        <v>45845</v>
      </c>
      <c r="C3832" s="5" t="s">
        <v>437</v>
      </c>
      <c r="D3832" s="5" t="s">
        <v>54</v>
      </c>
      <c r="E3832" s="5" t="s">
        <v>29</v>
      </c>
      <c r="F3832" s="5">
        <v>5</v>
      </c>
      <c r="G3832" s="19">
        <v>0.15</v>
      </c>
      <c r="H3832" s="5" t="s">
        <v>637</v>
      </c>
      <c r="I3832" s="10">
        <f>IF(OR(D3832="", F3832=""), "", F3832 * VLOOKUP(D3832, Products!A:E, 5, FALSE) * (1 - G3832))</f>
        <v>7878.5225</v>
      </c>
      <c r="J3832" s="10"/>
    </row>
    <row r="3833" spans="1:10" ht="15.75" customHeight="1" x14ac:dyDescent="0.3">
      <c r="A3833" s="5" t="s">
        <v>4700</v>
      </c>
      <c r="B3833" s="11">
        <v>45229</v>
      </c>
      <c r="C3833" s="5" t="s">
        <v>191</v>
      </c>
      <c r="D3833" s="5" t="s">
        <v>243</v>
      </c>
      <c r="E3833" s="5" t="s">
        <v>29</v>
      </c>
      <c r="F3833" s="5">
        <v>1</v>
      </c>
      <c r="G3833" s="19">
        <v>0</v>
      </c>
      <c r="H3833" s="5" t="s">
        <v>637</v>
      </c>
      <c r="I3833" s="10">
        <f>IF(OR(D3833="", F3833=""), "", F3833 * VLOOKUP(D3833, Products!A:E, 5, FALSE) * (1 - G3833))</f>
        <v>540.94000000000005</v>
      </c>
      <c r="J3833" s="10"/>
    </row>
    <row r="3834" spans="1:10" ht="15.75" customHeight="1" x14ac:dyDescent="0.3">
      <c r="A3834" s="5" t="s">
        <v>4701</v>
      </c>
      <c r="B3834" s="11">
        <v>45523</v>
      </c>
      <c r="C3834" s="5" t="s">
        <v>579</v>
      </c>
      <c r="D3834" s="5" t="s">
        <v>134</v>
      </c>
      <c r="E3834" s="5" t="s">
        <v>33</v>
      </c>
      <c r="F3834" s="5">
        <v>4</v>
      </c>
      <c r="G3834" s="19">
        <v>0.1</v>
      </c>
      <c r="H3834" s="5" t="s">
        <v>776</v>
      </c>
      <c r="I3834" s="10">
        <f>IF(OR(D3834="", F3834=""), "", F3834 * VLOOKUP(D3834, Products!A:E, 5, FALSE) * (1 - G3834))</f>
        <v>4418.0640000000003</v>
      </c>
      <c r="J3834" s="10"/>
    </row>
    <row r="3835" spans="1:10" ht="15.75" customHeight="1" x14ac:dyDescent="0.3">
      <c r="A3835" s="5" t="s">
        <v>4702</v>
      </c>
      <c r="B3835" s="11">
        <v>45183</v>
      </c>
      <c r="C3835" s="5" t="s">
        <v>185</v>
      </c>
      <c r="D3835" s="5" t="s">
        <v>206</v>
      </c>
      <c r="E3835" s="5" t="s">
        <v>21</v>
      </c>
      <c r="F3835" s="5">
        <v>4</v>
      </c>
      <c r="G3835" s="19">
        <v>0.1</v>
      </c>
      <c r="H3835" s="5" t="s">
        <v>454</v>
      </c>
      <c r="I3835" s="10">
        <f>IF(OR(D3835="", F3835=""), "", F3835 * VLOOKUP(D3835, Products!A:E, 5, FALSE) * (1 - G3835))</f>
        <v>1096.9559999999999</v>
      </c>
      <c r="J3835" s="10"/>
    </row>
    <row r="3836" spans="1:10" ht="15.75" customHeight="1" x14ac:dyDescent="0.3">
      <c r="A3836" s="5" t="s">
        <v>4703</v>
      </c>
      <c r="B3836" s="11">
        <v>45305</v>
      </c>
      <c r="C3836" s="5" t="s">
        <v>209</v>
      </c>
      <c r="D3836" s="5" t="s">
        <v>226</v>
      </c>
      <c r="E3836" s="5" t="s">
        <v>21</v>
      </c>
      <c r="F3836" s="5">
        <v>2</v>
      </c>
      <c r="G3836" s="19">
        <v>0.1</v>
      </c>
      <c r="H3836" s="5" t="s">
        <v>776</v>
      </c>
      <c r="I3836" s="10">
        <f>IF(OR(D3836="", F3836=""), "", F3836 * VLOOKUP(D3836, Products!A:E, 5, FALSE) * (1 - G3836))</f>
        <v>2702.6280000000002</v>
      </c>
      <c r="J3836" s="10"/>
    </row>
    <row r="3837" spans="1:10" ht="15.75" customHeight="1" x14ac:dyDescent="0.3">
      <c r="A3837" s="5" t="s">
        <v>4704</v>
      </c>
      <c r="B3837" s="11">
        <v>45624</v>
      </c>
      <c r="C3837" s="5" t="s">
        <v>593</v>
      </c>
      <c r="D3837" s="5" t="s">
        <v>89</v>
      </c>
      <c r="E3837" s="5" t="s">
        <v>37</v>
      </c>
      <c r="F3837" s="5">
        <v>3</v>
      </c>
      <c r="G3837" s="19">
        <v>0</v>
      </c>
      <c r="H3837" s="5" t="s">
        <v>637</v>
      </c>
      <c r="I3837" s="10">
        <f>IF(OR(D3837="", F3837=""), "", F3837 * VLOOKUP(D3837, Products!A:E, 5, FALSE) * (1 - G3837))</f>
        <v>3404.3999999999996</v>
      </c>
      <c r="J3837" s="10"/>
    </row>
    <row r="3838" spans="1:10" ht="15.75" customHeight="1" x14ac:dyDescent="0.3">
      <c r="A3838" s="5" t="s">
        <v>4705</v>
      </c>
      <c r="B3838" s="11">
        <v>45571</v>
      </c>
      <c r="C3838" s="5" t="s">
        <v>740</v>
      </c>
      <c r="D3838" s="5" t="s">
        <v>95</v>
      </c>
      <c r="E3838" s="5" t="s">
        <v>37</v>
      </c>
      <c r="F3838" s="5">
        <v>3</v>
      </c>
      <c r="G3838" s="19">
        <v>0.15</v>
      </c>
      <c r="H3838" s="5" t="s">
        <v>776</v>
      </c>
      <c r="I3838" s="10">
        <f>IF(OR(D3838="", F3838=""), "", F3838 * VLOOKUP(D3838, Products!A:E, 5, FALSE) * (1 - G3838))</f>
        <v>3424.0124999999998</v>
      </c>
      <c r="J3838" s="10"/>
    </row>
    <row r="3839" spans="1:10" ht="15.75" customHeight="1" x14ac:dyDescent="0.3">
      <c r="A3839" s="5" t="s">
        <v>4706</v>
      </c>
      <c r="B3839" s="11">
        <v>45673</v>
      </c>
      <c r="C3839" s="5" t="s">
        <v>661</v>
      </c>
      <c r="D3839" s="5" t="s">
        <v>232</v>
      </c>
      <c r="E3839" s="5" t="s">
        <v>37</v>
      </c>
      <c r="F3839" s="5">
        <v>1</v>
      </c>
      <c r="G3839" s="19">
        <v>0.1</v>
      </c>
      <c r="H3839" s="5" t="s">
        <v>697</v>
      </c>
      <c r="I3839" s="10">
        <f>IF(OR(D3839="", F3839=""), "", F3839 * VLOOKUP(D3839, Products!A:E, 5, FALSE) * (1 - G3839))</f>
        <v>1757.3850000000002</v>
      </c>
      <c r="J3839" s="10"/>
    </row>
    <row r="3840" spans="1:10" ht="15.75" customHeight="1" x14ac:dyDescent="0.3">
      <c r="A3840" s="5" t="s">
        <v>4707</v>
      </c>
      <c r="B3840" s="11">
        <v>45753</v>
      </c>
      <c r="C3840" s="5" t="s">
        <v>579</v>
      </c>
      <c r="D3840" s="5" t="s">
        <v>168</v>
      </c>
      <c r="E3840" s="5" t="s">
        <v>33</v>
      </c>
      <c r="F3840" s="5">
        <v>5</v>
      </c>
      <c r="G3840" s="19">
        <v>0.05</v>
      </c>
      <c r="H3840" s="5" t="s">
        <v>454</v>
      </c>
      <c r="I3840" s="10">
        <f>IF(OR(D3840="", F3840=""), "", F3840 * VLOOKUP(D3840, Products!A:E, 5, FALSE) * (1 - G3840))</f>
        <v>4824.8599999999997</v>
      </c>
      <c r="J3840" s="10"/>
    </row>
    <row r="3841" spans="1:10" ht="15.75" customHeight="1" x14ac:dyDescent="0.3">
      <c r="A3841" s="5" t="s">
        <v>4708</v>
      </c>
      <c r="B3841" s="11">
        <v>45878</v>
      </c>
      <c r="C3841" s="5" t="s">
        <v>635</v>
      </c>
      <c r="D3841" s="5" t="s">
        <v>147</v>
      </c>
      <c r="E3841" s="5" t="s">
        <v>25</v>
      </c>
      <c r="F3841" s="5">
        <v>4</v>
      </c>
      <c r="G3841" s="19">
        <v>0.15</v>
      </c>
      <c r="H3841" s="5" t="s">
        <v>697</v>
      </c>
      <c r="I3841" s="10">
        <f>IF(OR(D3841="", F3841=""), "", F3841 * VLOOKUP(D3841, Products!A:E, 5, FALSE) * (1 - G3841))</f>
        <v>6386.7979999999998</v>
      </c>
      <c r="J3841" s="10"/>
    </row>
    <row r="3842" spans="1:10" ht="15.75" customHeight="1" x14ac:dyDescent="0.3">
      <c r="A3842" s="5" t="s">
        <v>4709</v>
      </c>
      <c r="B3842" s="11">
        <v>45453</v>
      </c>
      <c r="C3842" s="5" t="s">
        <v>539</v>
      </c>
      <c r="D3842" s="5" t="s">
        <v>43</v>
      </c>
      <c r="E3842" s="5" t="s">
        <v>37</v>
      </c>
      <c r="F3842" s="5">
        <v>4</v>
      </c>
      <c r="G3842" s="19">
        <v>0</v>
      </c>
      <c r="H3842" s="5" t="s">
        <v>697</v>
      </c>
      <c r="I3842" s="10">
        <f>IF(OR(D3842="", F3842=""), "", F3842 * VLOOKUP(D3842, Products!A:E, 5, FALSE) * (1 - G3842))</f>
        <v>6694.76</v>
      </c>
      <c r="J3842" s="10"/>
    </row>
    <row r="3843" spans="1:10" ht="15.75" customHeight="1" x14ac:dyDescent="0.3">
      <c r="A3843" s="5" t="s">
        <v>4710</v>
      </c>
      <c r="B3843" s="11">
        <v>45425</v>
      </c>
      <c r="C3843" s="5" t="s">
        <v>676</v>
      </c>
      <c r="D3843" s="5" t="s">
        <v>237</v>
      </c>
      <c r="E3843" s="5" t="s">
        <v>33</v>
      </c>
      <c r="F3843" s="5">
        <v>5</v>
      </c>
      <c r="G3843" s="19">
        <v>0</v>
      </c>
      <c r="H3843" s="5" t="s">
        <v>637</v>
      </c>
      <c r="I3843" s="10">
        <f>IF(OR(D3843="", F3843=""), "", F3843 * VLOOKUP(D3843, Products!A:E, 5, FALSE) * (1 - G3843))</f>
        <v>1834.65</v>
      </c>
      <c r="J3843" s="10"/>
    </row>
    <row r="3844" spans="1:10" ht="15.75" customHeight="1" x14ac:dyDescent="0.3">
      <c r="A3844" s="5" t="s">
        <v>4711</v>
      </c>
      <c r="B3844" s="11">
        <v>45321</v>
      </c>
      <c r="C3844" s="5" t="s">
        <v>669</v>
      </c>
      <c r="D3844" s="5" t="s">
        <v>200</v>
      </c>
      <c r="E3844" s="5" t="s">
        <v>33</v>
      </c>
      <c r="F3844" s="5">
        <v>5</v>
      </c>
      <c r="G3844" s="19">
        <v>0</v>
      </c>
      <c r="H3844" s="5" t="s">
        <v>454</v>
      </c>
      <c r="I3844" s="10">
        <f>IF(OR(D3844="", F3844=""), "", F3844 * VLOOKUP(D3844, Products!A:E, 5, FALSE) * (1 - G3844))</f>
        <v>5478.6</v>
      </c>
      <c r="J3844" s="10"/>
    </row>
    <row r="3845" spans="1:10" ht="15.75" customHeight="1" x14ac:dyDescent="0.3">
      <c r="A3845" s="5" t="s">
        <v>4712</v>
      </c>
      <c r="B3845" s="11">
        <v>45460</v>
      </c>
      <c r="C3845" s="5" t="s">
        <v>121</v>
      </c>
      <c r="D3845" s="5" t="s">
        <v>206</v>
      </c>
      <c r="E3845" s="5" t="s">
        <v>29</v>
      </c>
      <c r="F3845" s="5">
        <v>5</v>
      </c>
      <c r="G3845" s="19">
        <v>0.15</v>
      </c>
      <c r="H3845" s="5" t="s">
        <v>697</v>
      </c>
      <c r="I3845" s="10">
        <f>IF(OR(D3845="", F3845=""), "", F3845 * VLOOKUP(D3845, Products!A:E, 5, FALSE) * (1 - G3845))</f>
        <v>1295.0174999999999</v>
      </c>
      <c r="J3845" s="10"/>
    </row>
    <row r="3846" spans="1:10" ht="15.75" customHeight="1" x14ac:dyDescent="0.3">
      <c r="A3846" s="5" t="s">
        <v>4713</v>
      </c>
      <c r="B3846" s="11">
        <v>45540</v>
      </c>
      <c r="C3846" s="5" t="s">
        <v>515</v>
      </c>
      <c r="D3846" s="5" t="s">
        <v>122</v>
      </c>
      <c r="E3846" s="5" t="s">
        <v>33</v>
      </c>
      <c r="F3846" s="5">
        <v>1</v>
      </c>
      <c r="G3846" s="19">
        <v>0.15</v>
      </c>
      <c r="H3846" s="5" t="s">
        <v>637</v>
      </c>
      <c r="I3846" s="10">
        <f>IF(OR(D3846="", F3846=""), "", F3846 * VLOOKUP(D3846, Products!A:E, 5, FALSE) * (1 - G3846))</f>
        <v>1498.482</v>
      </c>
      <c r="J3846" s="10"/>
    </row>
    <row r="3847" spans="1:10" ht="15.75" customHeight="1" x14ac:dyDescent="0.3">
      <c r="A3847" s="5" t="s">
        <v>4714</v>
      </c>
      <c r="B3847" s="11">
        <v>45847</v>
      </c>
      <c r="C3847" s="5" t="s">
        <v>106</v>
      </c>
      <c r="D3847" s="5" t="s">
        <v>134</v>
      </c>
      <c r="E3847" s="5" t="s">
        <v>37</v>
      </c>
      <c r="F3847" s="5">
        <v>2</v>
      </c>
      <c r="G3847" s="19">
        <v>0.05</v>
      </c>
      <c r="H3847" s="5" t="s">
        <v>776</v>
      </c>
      <c r="I3847" s="10">
        <f>IF(OR(D3847="", F3847=""), "", F3847 * VLOOKUP(D3847, Products!A:E, 5, FALSE) * (1 - G3847))</f>
        <v>2331.7559999999999</v>
      </c>
      <c r="J3847" s="10"/>
    </row>
    <row r="3848" spans="1:10" ht="15.75" customHeight="1" x14ac:dyDescent="0.3">
      <c r="A3848" s="5" t="s">
        <v>4715</v>
      </c>
      <c r="B3848" s="11">
        <v>45666</v>
      </c>
      <c r="C3848" s="5" t="s">
        <v>209</v>
      </c>
      <c r="D3848" s="5" t="s">
        <v>285</v>
      </c>
      <c r="E3848" s="5" t="s">
        <v>25</v>
      </c>
      <c r="F3848" s="5">
        <v>4</v>
      </c>
      <c r="G3848" s="19">
        <v>0.1</v>
      </c>
      <c r="H3848" s="5" t="s">
        <v>637</v>
      </c>
      <c r="I3848" s="10">
        <f>IF(OR(D3848="", F3848=""), "", F3848 * VLOOKUP(D3848, Products!A:E, 5, FALSE) * (1 - G3848))</f>
        <v>1397.7360000000001</v>
      </c>
      <c r="J3848" s="10"/>
    </row>
    <row r="3849" spans="1:10" ht="15.75" customHeight="1" x14ac:dyDescent="0.3">
      <c r="A3849" s="5" t="s">
        <v>4716</v>
      </c>
      <c r="B3849" s="11">
        <v>45237</v>
      </c>
      <c r="C3849" s="5" t="s">
        <v>752</v>
      </c>
      <c r="D3849" s="5" t="s">
        <v>175</v>
      </c>
      <c r="E3849" s="5" t="s">
        <v>37</v>
      </c>
      <c r="F3849" s="5">
        <v>5</v>
      </c>
      <c r="G3849" s="19">
        <v>0.05</v>
      </c>
      <c r="H3849" s="5" t="s">
        <v>637</v>
      </c>
      <c r="I3849" s="10">
        <f>IF(OR(D3849="", F3849=""), "", F3849 * VLOOKUP(D3849, Products!A:E, 5, FALSE) * (1 - G3849))</f>
        <v>6043.0924999999997</v>
      </c>
      <c r="J3849" s="10"/>
    </row>
    <row r="3850" spans="1:10" ht="15.75" customHeight="1" x14ac:dyDescent="0.3">
      <c r="A3850" s="5" t="s">
        <v>4717</v>
      </c>
      <c r="B3850" s="11">
        <v>45745</v>
      </c>
      <c r="C3850" s="5" t="s">
        <v>91</v>
      </c>
      <c r="D3850" s="5" t="s">
        <v>193</v>
      </c>
      <c r="E3850" s="5" t="s">
        <v>29</v>
      </c>
      <c r="F3850" s="5">
        <v>1</v>
      </c>
      <c r="G3850" s="19">
        <v>0</v>
      </c>
      <c r="H3850" s="5" t="s">
        <v>454</v>
      </c>
      <c r="I3850" s="10">
        <f>IF(OR(D3850="", F3850=""), "", F3850 * VLOOKUP(D3850, Products!A:E, 5, FALSE) * (1 - G3850))</f>
        <v>29.24</v>
      </c>
      <c r="J3850" s="10"/>
    </row>
    <row r="3851" spans="1:10" ht="15.75" customHeight="1" x14ac:dyDescent="0.3">
      <c r="A3851" s="5" t="s">
        <v>4718</v>
      </c>
      <c r="B3851" s="11">
        <v>45365</v>
      </c>
      <c r="C3851" s="5" t="s">
        <v>292</v>
      </c>
      <c r="D3851" s="5" t="s">
        <v>276</v>
      </c>
      <c r="E3851" s="5" t="s">
        <v>21</v>
      </c>
      <c r="F3851" s="5">
        <v>4</v>
      </c>
      <c r="G3851" s="19">
        <v>0.1</v>
      </c>
      <c r="H3851" s="5" t="s">
        <v>454</v>
      </c>
      <c r="I3851" s="10">
        <f>IF(OR(D3851="", F3851=""), "", F3851 * VLOOKUP(D3851, Products!A:E, 5, FALSE) * (1 - G3851))</f>
        <v>4309.848</v>
      </c>
      <c r="J3851" s="10"/>
    </row>
    <row r="3852" spans="1:10" ht="15.75" customHeight="1" x14ac:dyDescent="0.3">
      <c r="A3852" s="5" t="s">
        <v>4719</v>
      </c>
      <c r="B3852" s="11">
        <v>45677</v>
      </c>
      <c r="C3852" s="5" t="s">
        <v>649</v>
      </c>
      <c r="D3852" s="5" t="s">
        <v>193</v>
      </c>
      <c r="E3852" s="5" t="s">
        <v>29</v>
      </c>
      <c r="F3852" s="5">
        <v>1</v>
      </c>
      <c r="G3852" s="19">
        <v>0.15</v>
      </c>
      <c r="H3852" s="5" t="s">
        <v>637</v>
      </c>
      <c r="I3852" s="10">
        <f>IF(OR(D3852="", F3852=""), "", F3852 * VLOOKUP(D3852, Products!A:E, 5, FALSE) * (1 - G3852))</f>
        <v>24.853999999999999</v>
      </c>
      <c r="J3852" s="10"/>
    </row>
    <row r="3853" spans="1:10" ht="15.75" customHeight="1" x14ac:dyDescent="0.3">
      <c r="A3853" s="5" t="s">
        <v>4720</v>
      </c>
      <c r="B3853" s="11">
        <v>45323</v>
      </c>
      <c r="C3853" s="5" t="s">
        <v>600</v>
      </c>
      <c r="D3853" s="5" t="s">
        <v>147</v>
      </c>
      <c r="E3853" s="5" t="s">
        <v>29</v>
      </c>
      <c r="F3853" s="5">
        <v>1</v>
      </c>
      <c r="G3853" s="19">
        <v>0.05</v>
      </c>
      <c r="H3853" s="5" t="s">
        <v>637</v>
      </c>
      <c r="I3853" s="10">
        <f>IF(OR(D3853="", F3853=""), "", F3853 * VLOOKUP(D3853, Products!A:E, 5, FALSE) * (1 - G3853))</f>
        <v>1784.5464999999999</v>
      </c>
      <c r="J3853" s="10"/>
    </row>
    <row r="3854" spans="1:10" ht="15.75" customHeight="1" x14ac:dyDescent="0.3">
      <c r="A3854" s="5" t="s">
        <v>4721</v>
      </c>
      <c r="B3854" s="11">
        <v>45869</v>
      </c>
      <c r="C3854" s="5" t="s">
        <v>450</v>
      </c>
      <c r="D3854" s="5" t="s">
        <v>175</v>
      </c>
      <c r="E3854" s="5" t="s">
        <v>33</v>
      </c>
      <c r="F3854" s="5">
        <v>5</v>
      </c>
      <c r="G3854" s="19">
        <v>0.05</v>
      </c>
      <c r="H3854" s="5" t="s">
        <v>776</v>
      </c>
      <c r="I3854" s="10">
        <f>IF(OR(D3854="", F3854=""), "", F3854 * VLOOKUP(D3854, Products!A:E, 5, FALSE) * (1 - G3854))</f>
        <v>6043.0924999999997</v>
      </c>
      <c r="J3854" s="10"/>
    </row>
    <row r="3855" spans="1:10" ht="15.75" customHeight="1" x14ac:dyDescent="0.3">
      <c r="A3855" s="5" t="s">
        <v>4722</v>
      </c>
      <c r="B3855" s="11">
        <v>45349</v>
      </c>
      <c r="C3855" s="5" t="s">
        <v>223</v>
      </c>
      <c r="D3855" s="5" t="s">
        <v>249</v>
      </c>
      <c r="E3855" s="5" t="s">
        <v>37</v>
      </c>
      <c r="F3855" s="5">
        <v>5</v>
      </c>
      <c r="G3855" s="19">
        <v>0.05</v>
      </c>
      <c r="H3855" s="5" t="s">
        <v>454</v>
      </c>
      <c r="I3855" s="10">
        <f>IF(OR(D3855="", F3855=""), "", F3855 * VLOOKUP(D3855, Products!A:E, 5, FALSE) * (1 - G3855))</f>
        <v>8291.6474999999991</v>
      </c>
      <c r="J3855" s="10"/>
    </row>
    <row r="3856" spans="1:10" ht="15.75" customHeight="1" x14ac:dyDescent="0.3">
      <c r="A3856" s="5" t="s">
        <v>4723</v>
      </c>
      <c r="B3856" s="11">
        <v>45661</v>
      </c>
      <c r="C3856" s="5" t="s">
        <v>215</v>
      </c>
      <c r="D3856" s="5" t="s">
        <v>188</v>
      </c>
      <c r="E3856" s="5" t="s">
        <v>37</v>
      </c>
      <c r="F3856" s="5">
        <v>5</v>
      </c>
      <c r="G3856" s="19">
        <v>0.15</v>
      </c>
      <c r="H3856" s="5" t="s">
        <v>697</v>
      </c>
      <c r="I3856" s="10">
        <f>IF(OR(D3856="", F3856=""), "", F3856 * VLOOKUP(D3856, Products!A:E, 5, FALSE) * (1 - G3856))</f>
        <v>6311.4624999999996</v>
      </c>
      <c r="J3856" s="10"/>
    </row>
    <row r="3857" spans="1:10" ht="15.75" customHeight="1" x14ac:dyDescent="0.3">
      <c r="A3857" s="5" t="s">
        <v>4724</v>
      </c>
      <c r="B3857" s="11">
        <v>45816</v>
      </c>
      <c r="C3857" s="5" t="s">
        <v>583</v>
      </c>
      <c r="D3857" s="5" t="s">
        <v>193</v>
      </c>
      <c r="E3857" s="5" t="s">
        <v>29</v>
      </c>
      <c r="F3857" s="5">
        <v>2</v>
      </c>
      <c r="G3857" s="19">
        <v>0.05</v>
      </c>
      <c r="H3857" s="5" t="s">
        <v>697</v>
      </c>
      <c r="I3857" s="10">
        <f>IF(OR(D3857="", F3857=""), "", F3857 * VLOOKUP(D3857, Products!A:E, 5, FALSE) * (1 - G3857))</f>
        <v>55.555999999999997</v>
      </c>
      <c r="J3857" s="10"/>
    </row>
    <row r="3858" spans="1:10" ht="15.75" customHeight="1" x14ac:dyDescent="0.3">
      <c r="A3858" s="5" t="s">
        <v>4725</v>
      </c>
      <c r="B3858" s="11">
        <v>45390</v>
      </c>
      <c r="C3858" s="5" t="s">
        <v>729</v>
      </c>
      <c r="D3858" s="5" t="s">
        <v>128</v>
      </c>
      <c r="E3858" s="5" t="s">
        <v>33</v>
      </c>
      <c r="F3858" s="5">
        <v>3</v>
      </c>
      <c r="G3858" s="19">
        <v>0</v>
      </c>
      <c r="H3858" s="5" t="s">
        <v>637</v>
      </c>
      <c r="I3858" s="10">
        <f>IF(OR(D3858="", F3858=""), "", F3858 * VLOOKUP(D3858, Products!A:E, 5, FALSE) * (1 - G3858))</f>
        <v>971.76</v>
      </c>
      <c r="J3858" s="10"/>
    </row>
    <row r="3859" spans="1:10" ht="15.75" customHeight="1" x14ac:dyDescent="0.3">
      <c r="A3859" s="5" t="s">
        <v>4726</v>
      </c>
      <c r="B3859" s="11">
        <v>45588</v>
      </c>
      <c r="C3859" s="5" t="s">
        <v>159</v>
      </c>
      <c r="D3859" s="5" t="s">
        <v>67</v>
      </c>
      <c r="E3859" s="5" t="s">
        <v>29</v>
      </c>
      <c r="F3859" s="5">
        <v>3</v>
      </c>
      <c r="G3859" s="19">
        <v>0.1</v>
      </c>
      <c r="H3859" s="5" t="s">
        <v>697</v>
      </c>
      <c r="I3859" s="10">
        <f>IF(OR(D3859="", F3859=""), "", F3859 * VLOOKUP(D3859, Products!A:E, 5, FALSE) * (1 - G3859))</f>
        <v>296.40600000000006</v>
      </c>
      <c r="J3859" s="10"/>
    </row>
    <row r="3860" spans="1:10" ht="15.75" customHeight="1" x14ac:dyDescent="0.3">
      <c r="A3860" s="5" t="s">
        <v>4727</v>
      </c>
      <c r="B3860" s="11">
        <v>45785</v>
      </c>
      <c r="C3860" s="5" t="s">
        <v>235</v>
      </c>
      <c r="D3860" s="5" t="s">
        <v>269</v>
      </c>
      <c r="E3860" s="5" t="s">
        <v>37</v>
      </c>
      <c r="F3860" s="5">
        <v>3</v>
      </c>
      <c r="G3860" s="19">
        <v>0.1</v>
      </c>
      <c r="H3860" s="5" t="s">
        <v>454</v>
      </c>
      <c r="I3860" s="10">
        <f>IF(OR(D3860="", F3860=""), "", F3860 * VLOOKUP(D3860, Products!A:E, 5, FALSE) * (1 - G3860))</f>
        <v>5073.5159999999996</v>
      </c>
      <c r="J3860" s="10"/>
    </row>
    <row r="3861" spans="1:10" ht="15.75" customHeight="1" x14ac:dyDescent="0.3">
      <c r="A3861" s="5" t="s">
        <v>4728</v>
      </c>
      <c r="B3861" s="11">
        <v>45318</v>
      </c>
      <c r="C3861" s="5" t="s">
        <v>628</v>
      </c>
      <c r="D3861" s="5" t="s">
        <v>243</v>
      </c>
      <c r="E3861" s="5" t="s">
        <v>21</v>
      </c>
      <c r="F3861" s="5">
        <v>3</v>
      </c>
      <c r="G3861" s="19">
        <v>0.15</v>
      </c>
      <c r="H3861" s="5" t="s">
        <v>697</v>
      </c>
      <c r="I3861" s="10">
        <f>IF(OR(D3861="", F3861=""), "", F3861 * VLOOKUP(D3861, Products!A:E, 5, FALSE) * (1 - G3861))</f>
        <v>1379.3970000000002</v>
      </c>
      <c r="J3861" s="10"/>
    </row>
    <row r="3862" spans="1:10" ht="15.75" customHeight="1" x14ac:dyDescent="0.3">
      <c r="A3862" s="5" t="s">
        <v>4729</v>
      </c>
      <c r="B3862" s="11">
        <v>45613</v>
      </c>
      <c r="C3862" s="5" t="s">
        <v>16</v>
      </c>
      <c r="D3862" s="5" t="s">
        <v>70</v>
      </c>
      <c r="E3862" s="5" t="s">
        <v>37</v>
      </c>
      <c r="F3862" s="5">
        <v>2</v>
      </c>
      <c r="G3862" s="19">
        <v>0.05</v>
      </c>
      <c r="H3862" s="5" t="s">
        <v>454</v>
      </c>
      <c r="I3862" s="10">
        <f>IF(OR(D3862="", F3862=""), "", F3862 * VLOOKUP(D3862, Products!A:E, 5, FALSE) * (1 - G3862))</f>
        <v>234.06099999999998</v>
      </c>
      <c r="J3862" s="10"/>
    </row>
    <row r="3863" spans="1:10" ht="15.75" customHeight="1" x14ac:dyDescent="0.3">
      <c r="A3863" s="5" t="s">
        <v>4730</v>
      </c>
      <c r="B3863" s="11">
        <v>45780</v>
      </c>
      <c r="C3863" s="5" t="s">
        <v>638</v>
      </c>
      <c r="D3863" s="5" t="s">
        <v>221</v>
      </c>
      <c r="E3863" s="5" t="s">
        <v>21</v>
      </c>
      <c r="F3863" s="5">
        <v>5</v>
      </c>
      <c r="G3863" s="19">
        <v>0</v>
      </c>
      <c r="H3863" s="5" t="s">
        <v>776</v>
      </c>
      <c r="I3863" s="10">
        <f>IF(OR(D3863="", F3863=""), "", F3863 * VLOOKUP(D3863, Products!A:E, 5, FALSE) * (1 - G3863))</f>
        <v>7812.1500000000005</v>
      </c>
      <c r="J3863" s="10"/>
    </row>
    <row r="3864" spans="1:10" ht="15.75" customHeight="1" x14ac:dyDescent="0.3">
      <c r="A3864" s="5" t="s">
        <v>4731</v>
      </c>
      <c r="B3864" s="11">
        <v>45575</v>
      </c>
      <c r="C3864" s="5" t="s">
        <v>177</v>
      </c>
      <c r="D3864" s="5" t="s">
        <v>82</v>
      </c>
      <c r="E3864" s="5" t="s">
        <v>33</v>
      </c>
      <c r="F3864" s="5">
        <v>2</v>
      </c>
      <c r="G3864" s="19">
        <v>0.1</v>
      </c>
      <c r="H3864" s="5" t="s">
        <v>637</v>
      </c>
      <c r="I3864" s="10">
        <f>IF(OR(D3864="", F3864=""), "", F3864 * VLOOKUP(D3864, Products!A:E, 5, FALSE) * (1 - G3864))</f>
        <v>2147.5619999999999</v>
      </c>
      <c r="J3864" s="10"/>
    </row>
    <row r="3865" spans="1:10" ht="15.75" customHeight="1" x14ac:dyDescent="0.3">
      <c r="A3865" s="5" t="s">
        <v>4732</v>
      </c>
      <c r="B3865" s="11">
        <v>45382</v>
      </c>
      <c r="C3865" s="5" t="s">
        <v>433</v>
      </c>
      <c r="D3865" s="5" t="s">
        <v>70</v>
      </c>
      <c r="E3865" s="5" t="s">
        <v>21</v>
      </c>
      <c r="F3865" s="5">
        <v>4</v>
      </c>
      <c r="G3865" s="19">
        <v>0.05</v>
      </c>
      <c r="H3865" s="5" t="s">
        <v>697</v>
      </c>
      <c r="I3865" s="10">
        <f>IF(OR(D3865="", F3865=""), "", F3865 * VLOOKUP(D3865, Products!A:E, 5, FALSE) * (1 - G3865))</f>
        <v>468.12199999999996</v>
      </c>
      <c r="J3865" s="10"/>
    </row>
    <row r="3866" spans="1:10" ht="15.75" customHeight="1" x14ac:dyDescent="0.3">
      <c r="A3866" s="5" t="s">
        <v>4733</v>
      </c>
      <c r="B3866" s="11">
        <v>45262</v>
      </c>
      <c r="C3866" s="5" t="s">
        <v>286</v>
      </c>
      <c r="D3866" s="5" t="s">
        <v>128</v>
      </c>
      <c r="E3866" s="5" t="s">
        <v>29</v>
      </c>
      <c r="F3866" s="5">
        <v>4</v>
      </c>
      <c r="G3866" s="19">
        <v>0.05</v>
      </c>
      <c r="H3866" s="5" t="s">
        <v>697</v>
      </c>
      <c r="I3866" s="10">
        <f>IF(OR(D3866="", F3866=""), "", F3866 * VLOOKUP(D3866, Products!A:E, 5, FALSE) * (1 - G3866))</f>
        <v>1230.896</v>
      </c>
      <c r="J3866" s="10"/>
    </row>
    <row r="3867" spans="1:10" ht="15.75" customHeight="1" x14ac:dyDescent="0.3">
      <c r="A3867" s="5" t="s">
        <v>4734</v>
      </c>
      <c r="B3867" s="11">
        <v>45552</v>
      </c>
      <c r="C3867" s="5" t="s">
        <v>695</v>
      </c>
      <c r="D3867" s="5" t="s">
        <v>74</v>
      </c>
      <c r="E3867" s="5" t="s">
        <v>37</v>
      </c>
      <c r="F3867" s="5">
        <v>3</v>
      </c>
      <c r="G3867" s="19">
        <v>0.1</v>
      </c>
      <c r="H3867" s="5" t="s">
        <v>776</v>
      </c>
      <c r="I3867" s="10">
        <f>IF(OR(D3867="", F3867=""), "", F3867 * VLOOKUP(D3867, Products!A:E, 5, FALSE) * (1 - G3867))</f>
        <v>3224.1239999999998</v>
      </c>
      <c r="J3867" s="10"/>
    </row>
    <row r="3868" spans="1:10" ht="15.75" customHeight="1" x14ac:dyDescent="0.3">
      <c r="A3868" s="5" t="s">
        <v>4735</v>
      </c>
      <c r="B3868" s="11">
        <v>45615</v>
      </c>
      <c r="C3868" s="5" t="s">
        <v>165</v>
      </c>
      <c r="D3868" s="5" t="s">
        <v>57</v>
      </c>
      <c r="E3868" s="5" t="s">
        <v>21</v>
      </c>
      <c r="F3868" s="5">
        <v>4</v>
      </c>
      <c r="G3868" s="19">
        <v>0.05</v>
      </c>
      <c r="H3868" s="5" t="s">
        <v>697</v>
      </c>
      <c r="I3868" s="10">
        <f>IF(OR(D3868="", F3868=""), "", F3868 * VLOOKUP(D3868, Products!A:E, 5, FALSE) * (1 - G3868))</f>
        <v>5305.6359999999995</v>
      </c>
      <c r="J3868" s="10"/>
    </row>
    <row r="3869" spans="1:10" ht="15.75" customHeight="1" x14ac:dyDescent="0.3">
      <c r="A3869" s="5" t="s">
        <v>4736</v>
      </c>
      <c r="B3869" s="11">
        <v>45279</v>
      </c>
      <c r="C3869" s="5" t="s">
        <v>802</v>
      </c>
      <c r="D3869" s="5" t="s">
        <v>272</v>
      </c>
      <c r="E3869" s="5" t="s">
        <v>29</v>
      </c>
      <c r="F3869" s="5">
        <v>4</v>
      </c>
      <c r="G3869" s="19">
        <v>0.05</v>
      </c>
      <c r="H3869" s="5" t="s">
        <v>776</v>
      </c>
      <c r="I3869" s="10">
        <f>IF(OR(D3869="", F3869=""), "", F3869 * VLOOKUP(D3869, Products!A:E, 5, FALSE) * (1 - G3869))</f>
        <v>4428.405999999999</v>
      </c>
      <c r="J3869" s="10"/>
    </row>
    <row r="3870" spans="1:10" ht="15.75" customHeight="1" x14ac:dyDescent="0.3">
      <c r="A3870" s="5" t="s">
        <v>4737</v>
      </c>
      <c r="B3870" s="11">
        <v>45747</v>
      </c>
      <c r="C3870" s="5" t="s">
        <v>286</v>
      </c>
      <c r="D3870" s="5" t="s">
        <v>74</v>
      </c>
      <c r="E3870" s="5" t="s">
        <v>33</v>
      </c>
      <c r="F3870" s="5">
        <v>1</v>
      </c>
      <c r="G3870" s="19">
        <v>0.15</v>
      </c>
      <c r="H3870" s="5" t="s">
        <v>454</v>
      </c>
      <c r="I3870" s="10">
        <f>IF(OR(D3870="", F3870=""), "", F3870 * VLOOKUP(D3870, Products!A:E, 5, FALSE) * (1 - G3870))</f>
        <v>1015.0019999999998</v>
      </c>
      <c r="J3870" s="10"/>
    </row>
    <row r="3871" spans="1:10" ht="15.75" customHeight="1" x14ac:dyDescent="0.3">
      <c r="A3871" s="5" t="s">
        <v>4738</v>
      </c>
      <c r="B3871" s="11">
        <v>45376</v>
      </c>
      <c r="C3871" s="5" t="s">
        <v>69</v>
      </c>
      <c r="D3871" s="5" t="s">
        <v>285</v>
      </c>
      <c r="E3871" s="5" t="s">
        <v>33</v>
      </c>
      <c r="F3871" s="5">
        <v>1</v>
      </c>
      <c r="G3871" s="19">
        <v>0</v>
      </c>
      <c r="H3871" s="5" t="s">
        <v>454</v>
      </c>
      <c r="I3871" s="10">
        <f>IF(OR(D3871="", F3871=""), "", F3871 * VLOOKUP(D3871, Products!A:E, 5, FALSE) * (1 - G3871))</f>
        <v>388.26</v>
      </c>
      <c r="J3871" s="10"/>
    </row>
    <row r="3872" spans="1:10" ht="15.75" customHeight="1" x14ac:dyDescent="0.3">
      <c r="A3872" s="5" t="s">
        <v>4739</v>
      </c>
      <c r="B3872" s="11">
        <v>45854</v>
      </c>
      <c r="C3872" s="5" t="s">
        <v>695</v>
      </c>
      <c r="D3872" s="5" t="s">
        <v>147</v>
      </c>
      <c r="E3872" s="5" t="s">
        <v>21</v>
      </c>
      <c r="F3872" s="5">
        <v>1</v>
      </c>
      <c r="G3872" s="19">
        <v>0</v>
      </c>
      <c r="H3872" s="5" t="s">
        <v>454</v>
      </c>
      <c r="I3872" s="10">
        <f>IF(OR(D3872="", F3872=""), "", F3872 * VLOOKUP(D3872, Products!A:E, 5, FALSE) * (1 - G3872))</f>
        <v>1878.47</v>
      </c>
      <c r="J3872" s="10"/>
    </row>
    <row r="3873" spans="1:10" ht="15.75" customHeight="1" x14ac:dyDescent="0.3">
      <c r="A3873" s="5" t="s">
        <v>4740</v>
      </c>
      <c r="B3873" s="11">
        <v>45901</v>
      </c>
      <c r="C3873" s="5" t="s">
        <v>16</v>
      </c>
      <c r="D3873" s="5" t="s">
        <v>82</v>
      </c>
      <c r="E3873" s="5" t="s">
        <v>37</v>
      </c>
      <c r="F3873" s="5">
        <v>2</v>
      </c>
      <c r="G3873" s="19">
        <v>0.15</v>
      </c>
      <c r="H3873" s="5" t="s">
        <v>776</v>
      </c>
      <c r="I3873" s="10">
        <f>IF(OR(D3873="", F3873=""), "", F3873 * VLOOKUP(D3873, Products!A:E, 5, FALSE) * (1 - G3873))</f>
        <v>2028.2529999999997</v>
      </c>
      <c r="J3873" s="10"/>
    </row>
    <row r="3874" spans="1:10" ht="15.75" customHeight="1" x14ac:dyDescent="0.3">
      <c r="A3874" s="5" t="s">
        <v>4741</v>
      </c>
      <c r="B3874" s="11">
        <v>45787</v>
      </c>
      <c r="C3874" s="5" t="s">
        <v>773</v>
      </c>
      <c r="D3874" s="5" t="s">
        <v>188</v>
      </c>
      <c r="E3874" s="5" t="s">
        <v>21</v>
      </c>
      <c r="F3874" s="5">
        <v>3</v>
      </c>
      <c r="G3874" s="19">
        <v>0.05</v>
      </c>
      <c r="H3874" s="5" t="s">
        <v>637</v>
      </c>
      <c r="I3874" s="10">
        <f>IF(OR(D3874="", F3874=""), "", F3874 * VLOOKUP(D3874, Products!A:E, 5, FALSE) * (1 - G3874))</f>
        <v>4232.392499999999</v>
      </c>
      <c r="J3874" s="10"/>
    </row>
    <row r="3875" spans="1:10" ht="15.75" customHeight="1" x14ac:dyDescent="0.3">
      <c r="A3875" s="5" t="s">
        <v>4742</v>
      </c>
      <c r="B3875" s="11">
        <v>45837</v>
      </c>
      <c r="C3875" s="5" t="s">
        <v>197</v>
      </c>
      <c r="D3875" s="5" t="s">
        <v>74</v>
      </c>
      <c r="E3875" s="5" t="s">
        <v>21</v>
      </c>
      <c r="F3875" s="5">
        <v>3</v>
      </c>
      <c r="G3875" s="19">
        <v>0.05</v>
      </c>
      <c r="H3875" s="5" t="s">
        <v>637</v>
      </c>
      <c r="I3875" s="10">
        <f>IF(OR(D3875="", F3875=""), "", F3875 * VLOOKUP(D3875, Products!A:E, 5, FALSE) * (1 - G3875))</f>
        <v>3403.2419999999997</v>
      </c>
      <c r="J3875" s="10"/>
    </row>
    <row r="3876" spans="1:10" ht="15.75" customHeight="1" x14ac:dyDescent="0.3">
      <c r="A3876" s="5" t="s">
        <v>4743</v>
      </c>
      <c r="B3876" s="11">
        <v>45641</v>
      </c>
      <c r="C3876" s="5" t="s">
        <v>159</v>
      </c>
      <c r="D3876" s="5" t="s">
        <v>95</v>
      </c>
      <c r="E3876" s="5" t="s">
        <v>37</v>
      </c>
      <c r="F3876" s="5">
        <v>2</v>
      </c>
      <c r="G3876" s="19">
        <v>0.05</v>
      </c>
      <c r="H3876" s="5" t="s">
        <v>776</v>
      </c>
      <c r="I3876" s="10">
        <f>IF(OR(D3876="", F3876=""), "", F3876 * VLOOKUP(D3876, Products!A:E, 5, FALSE) * (1 - G3876))</f>
        <v>2551.2249999999999</v>
      </c>
      <c r="J3876" s="10"/>
    </row>
    <row r="3877" spans="1:10" ht="15.75" customHeight="1" x14ac:dyDescent="0.3">
      <c r="A3877" s="5" t="s">
        <v>4744</v>
      </c>
      <c r="B3877" s="11">
        <v>45655</v>
      </c>
      <c r="C3877" s="5" t="s">
        <v>129</v>
      </c>
      <c r="D3877" s="5" t="s">
        <v>256</v>
      </c>
      <c r="E3877" s="5" t="s">
        <v>33</v>
      </c>
      <c r="F3877" s="5">
        <v>1</v>
      </c>
      <c r="G3877" s="19">
        <v>0.15</v>
      </c>
      <c r="H3877" s="5" t="s">
        <v>454</v>
      </c>
      <c r="I3877" s="10">
        <f>IF(OR(D3877="", F3877=""), "", F3877 * VLOOKUP(D3877, Products!A:E, 5, FALSE) * (1 - G3877))</f>
        <v>1389.7584999999999</v>
      </c>
      <c r="J3877" s="10"/>
    </row>
    <row r="3878" spans="1:10" ht="15.75" customHeight="1" x14ac:dyDescent="0.3">
      <c r="A3878" s="5" t="s">
        <v>4745</v>
      </c>
      <c r="B3878" s="11">
        <v>45541</v>
      </c>
      <c r="C3878" s="5" t="s">
        <v>795</v>
      </c>
      <c r="D3878" s="5" t="s">
        <v>74</v>
      </c>
      <c r="E3878" s="5" t="s">
        <v>21</v>
      </c>
      <c r="F3878" s="5">
        <v>1</v>
      </c>
      <c r="G3878" s="19">
        <v>0.15</v>
      </c>
      <c r="H3878" s="5" t="s">
        <v>454</v>
      </c>
      <c r="I3878" s="10">
        <f>IF(OR(D3878="", F3878=""), "", F3878 * VLOOKUP(D3878, Products!A:E, 5, FALSE) * (1 - G3878))</f>
        <v>1015.0019999999998</v>
      </c>
      <c r="J3878" s="10"/>
    </row>
    <row r="3879" spans="1:10" ht="15.75" customHeight="1" x14ac:dyDescent="0.3">
      <c r="A3879" s="5" t="s">
        <v>4746</v>
      </c>
      <c r="B3879" s="11">
        <v>45823</v>
      </c>
      <c r="C3879" s="5" t="s">
        <v>811</v>
      </c>
      <c r="D3879" s="5" t="s">
        <v>226</v>
      </c>
      <c r="E3879" s="5" t="s">
        <v>21</v>
      </c>
      <c r="F3879" s="5">
        <v>5</v>
      </c>
      <c r="G3879" s="19">
        <v>0.1</v>
      </c>
      <c r="H3879" s="5" t="s">
        <v>454</v>
      </c>
      <c r="I3879" s="10">
        <f>IF(OR(D3879="", F3879=""), "", F3879 * VLOOKUP(D3879, Products!A:E, 5, FALSE) * (1 - G3879))</f>
        <v>6756.5700000000006</v>
      </c>
      <c r="J3879" s="10"/>
    </row>
    <row r="3880" spans="1:10" ht="15.75" customHeight="1" x14ac:dyDescent="0.3">
      <c r="A3880" s="5" t="s">
        <v>4747</v>
      </c>
      <c r="B3880" s="11">
        <v>45503</v>
      </c>
      <c r="C3880" s="5" t="s">
        <v>808</v>
      </c>
      <c r="D3880" s="5" t="s">
        <v>115</v>
      </c>
      <c r="E3880" s="5" t="s">
        <v>29</v>
      </c>
      <c r="F3880" s="5">
        <v>2</v>
      </c>
      <c r="G3880" s="19">
        <v>0.05</v>
      </c>
      <c r="H3880" s="5" t="s">
        <v>637</v>
      </c>
      <c r="I3880" s="10">
        <f>IF(OR(D3880="", F3880=""), "", F3880 * VLOOKUP(D3880, Products!A:E, 5, FALSE) * (1 - G3880))</f>
        <v>2367.6089999999999</v>
      </c>
      <c r="J3880" s="10"/>
    </row>
    <row r="3881" spans="1:10" ht="15.75" customHeight="1" x14ac:dyDescent="0.3">
      <c r="A3881" s="5" t="s">
        <v>4748</v>
      </c>
      <c r="B3881" s="11">
        <v>45210</v>
      </c>
      <c r="C3881" s="5" t="s">
        <v>560</v>
      </c>
      <c r="D3881" s="5" t="s">
        <v>217</v>
      </c>
      <c r="E3881" s="5" t="s">
        <v>37</v>
      </c>
      <c r="F3881" s="5">
        <v>5</v>
      </c>
      <c r="G3881" s="19">
        <v>0.05</v>
      </c>
      <c r="H3881" s="5" t="s">
        <v>637</v>
      </c>
      <c r="I3881" s="10">
        <f>IF(OR(D3881="", F3881=""), "", F3881 * VLOOKUP(D3881, Products!A:E, 5, FALSE) * (1 - G3881))</f>
        <v>2033.2375</v>
      </c>
      <c r="J3881" s="10"/>
    </row>
    <row r="3882" spans="1:10" ht="15.75" customHeight="1" x14ac:dyDescent="0.3">
      <c r="A3882" s="5" t="s">
        <v>4749</v>
      </c>
      <c r="B3882" s="11">
        <v>45626</v>
      </c>
      <c r="C3882" s="5" t="s">
        <v>499</v>
      </c>
      <c r="D3882" s="5" t="s">
        <v>122</v>
      </c>
      <c r="E3882" s="5" t="s">
        <v>25</v>
      </c>
      <c r="F3882" s="5">
        <v>5</v>
      </c>
      <c r="G3882" s="19">
        <v>0.1</v>
      </c>
      <c r="H3882" s="5" t="s">
        <v>454</v>
      </c>
      <c r="I3882" s="10">
        <f>IF(OR(D3882="", F3882=""), "", F3882 * VLOOKUP(D3882, Products!A:E, 5, FALSE) * (1 - G3882))</f>
        <v>7933.14</v>
      </c>
      <c r="J3882" s="10"/>
    </row>
    <row r="3883" spans="1:10" ht="15.75" customHeight="1" x14ac:dyDescent="0.3">
      <c r="A3883" s="5" t="s">
        <v>4750</v>
      </c>
      <c r="B3883" s="11">
        <v>45489</v>
      </c>
      <c r="C3883" s="5" t="s">
        <v>615</v>
      </c>
      <c r="D3883" s="5" t="s">
        <v>67</v>
      </c>
      <c r="E3883" s="5" t="s">
        <v>21</v>
      </c>
      <c r="F3883" s="5">
        <v>4</v>
      </c>
      <c r="G3883" s="19">
        <v>0</v>
      </c>
      <c r="H3883" s="5" t="s">
        <v>697</v>
      </c>
      <c r="I3883" s="10">
        <f>IF(OR(D3883="", F3883=""), "", F3883 * VLOOKUP(D3883, Products!A:E, 5, FALSE) * (1 - G3883))</f>
        <v>439.12</v>
      </c>
      <c r="J3883" s="10"/>
    </row>
    <row r="3884" spans="1:10" ht="15.75" customHeight="1" x14ac:dyDescent="0.3">
      <c r="A3884" s="5" t="s">
        <v>4751</v>
      </c>
      <c r="B3884" s="11">
        <v>45570</v>
      </c>
      <c r="C3884" s="5" t="s">
        <v>618</v>
      </c>
      <c r="D3884" s="5" t="s">
        <v>226</v>
      </c>
      <c r="E3884" s="5" t="s">
        <v>25</v>
      </c>
      <c r="F3884" s="5">
        <v>3</v>
      </c>
      <c r="G3884" s="19">
        <v>0</v>
      </c>
      <c r="H3884" s="5" t="s">
        <v>697</v>
      </c>
      <c r="I3884" s="10">
        <f>IF(OR(D3884="", F3884=""), "", F3884 * VLOOKUP(D3884, Products!A:E, 5, FALSE) * (1 - G3884))</f>
        <v>4504.38</v>
      </c>
      <c r="J3884" s="10"/>
    </row>
    <row r="3885" spans="1:10" ht="15.75" customHeight="1" x14ac:dyDescent="0.3">
      <c r="A3885" s="5" t="s">
        <v>4752</v>
      </c>
      <c r="B3885" s="11">
        <v>45419</v>
      </c>
      <c r="C3885" s="5" t="s">
        <v>872</v>
      </c>
      <c r="D3885" s="5" t="s">
        <v>265</v>
      </c>
      <c r="E3885" s="5" t="s">
        <v>21</v>
      </c>
      <c r="F3885" s="5">
        <v>1</v>
      </c>
      <c r="G3885" s="19">
        <v>0.1</v>
      </c>
      <c r="H3885" s="5" t="s">
        <v>454</v>
      </c>
      <c r="I3885" s="10">
        <f>IF(OR(D3885="", F3885=""), "", F3885 * VLOOKUP(D3885, Products!A:E, 5, FALSE) * (1 - G3885))</f>
        <v>507.97799999999995</v>
      </c>
      <c r="J3885" s="10"/>
    </row>
    <row r="3886" spans="1:10" ht="15.75" customHeight="1" x14ac:dyDescent="0.3">
      <c r="A3886" s="5" t="s">
        <v>4753</v>
      </c>
      <c r="B3886" s="11">
        <v>45202</v>
      </c>
      <c r="C3886" s="5" t="s">
        <v>149</v>
      </c>
      <c r="D3886" s="5" t="s">
        <v>153</v>
      </c>
      <c r="E3886" s="5" t="s">
        <v>25</v>
      </c>
      <c r="F3886" s="5">
        <v>3</v>
      </c>
      <c r="G3886" s="19">
        <v>0.15</v>
      </c>
      <c r="H3886" s="5" t="s">
        <v>697</v>
      </c>
      <c r="I3886" s="10">
        <f>IF(OR(D3886="", F3886=""), "", F3886 * VLOOKUP(D3886, Products!A:E, 5, FALSE) * (1 - G3886))</f>
        <v>3792.8955000000001</v>
      </c>
      <c r="J3886" s="10"/>
    </row>
    <row r="3887" spans="1:10" ht="15.75" customHeight="1" x14ac:dyDescent="0.3">
      <c r="A3887" s="5" t="s">
        <v>4754</v>
      </c>
      <c r="B3887" s="11">
        <v>45568</v>
      </c>
      <c r="C3887" s="5" t="s">
        <v>800</v>
      </c>
      <c r="D3887" s="5" t="s">
        <v>262</v>
      </c>
      <c r="E3887" s="5" t="s">
        <v>25</v>
      </c>
      <c r="F3887" s="5">
        <v>1</v>
      </c>
      <c r="G3887" s="19">
        <v>0.15</v>
      </c>
      <c r="H3887" s="5" t="s">
        <v>454</v>
      </c>
      <c r="I3887" s="10">
        <f>IF(OR(D3887="", F3887=""), "", F3887 * VLOOKUP(D3887, Products!A:E, 5, FALSE) * (1 - G3887))</f>
        <v>385.577</v>
      </c>
      <c r="J3887" s="10"/>
    </row>
    <row r="3888" spans="1:10" ht="15.75" customHeight="1" x14ac:dyDescent="0.3">
      <c r="A3888" s="5" t="s">
        <v>4755</v>
      </c>
      <c r="B3888" s="11">
        <v>45393</v>
      </c>
      <c r="C3888" s="5" t="s">
        <v>368</v>
      </c>
      <c r="D3888" s="5" t="s">
        <v>267</v>
      </c>
      <c r="E3888" s="5" t="s">
        <v>29</v>
      </c>
      <c r="F3888" s="5">
        <v>4</v>
      </c>
      <c r="G3888" s="19">
        <v>0.1</v>
      </c>
      <c r="H3888" s="5" t="s">
        <v>697</v>
      </c>
      <c r="I3888" s="10">
        <f>IF(OR(D3888="", F3888=""), "", F3888 * VLOOKUP(D3888, Products!A:E, 5, FALSE) * (1 - G3888))</f>
        <v>4631.58</v>
      </c>
      <c r="J3888" s="10"/>
    </row>
    <row r="3889" spans="1:10" ht="15.75" customHeight="1" x14ac:dyDescent="0.3">
      <c r="A3889" s="5" t="s">
        <v>4756</v>
      </c>
      <c r="B3889" s="11">
        <v>45385</v>
      </c>
      <c r="C3889" s="5" t="s">
        <v>491</v>
      </c>
      <c r="D3889" s="5" t="s">
        <v>134</v>
      </c>
      <c r="E3889" s="5" t="s">
        <v>25</v>
      </c>
      <c r="F3889" s="5">
        <v>4</v>
      </c>
      <c r="G3889" s="19">
        <v>0</v>
      </c>
      <c r="H3889" s="5" t="s">
        <v>637</v>
      </c>
      <c r="I3889" s="10">
        <f>IF(OR(D3889="", F3889=""), "", F3889 * VLOOKUP(D3889, Products!A:E, 5, FALSE) * (1 - G3889))</f>
        <v>4908.96</v>
      </c>
      <c r="J3889" s="10"/>
    </row>
    <row r="3890" spans="1:10" ht="15.75" customHeight="1" x14ac:dyDescent="0.3">
      <c r="A3890" s="5" t="s">
        <v>4757</v>
      </c>
      <c r="B3890" s="11">
        <v>45739</v>
      </c>
      <c r="C3890" s="5" t="s">
        <v>429</v>
      </c>
      <c r="D3890" s="5" t="s">
        <v>74</v>
      </c>
      <c r="E3890" s="5" t="s">
        <v>37</v>
      </c>
      <c r="F3890" s="5">
        <v>4</v>
      </c>
      <c r="G3890" s="19">
        <v>0</v>
      </c>
      <c r="H3890" s="5" t="s">
        <v>637</v>
      </c>
      <c r="I3890" s="10">
        <f>IF(OR(D3890="", F3890=""), "", F3890 * VLOOKUP(D3890, Products!A:E, 5, FALSE) * (1 - G3890))</f>
        <v>4776.4799999999996</v>
      </c>
      <c r="J3890" s="10"/>
    </row>
    <row r="3891" spans="1:10" ht="15.75" customHeight="1" x14ac:dyDescent="0.3">
      <c r="A3891" s="5" t="s">
        <v>4758</v>
      </c>
      <c r="B3891" s="11">
        <v>45670</v>
      </c>
      <c r="C3891" s="5" t="s">
        <v>593</v>
      </c>
      <c r="D3891" s="5" t="s">
        <v>43</v>
      </c>
      <c r="E3891" s="5" t="s">
        <v>25</v>
      </c>
      <c r="F3891" s="5">
        <v>5</v>
      </c>
      <c r="G3891" s="19">
        <v>0.05</v>
      </c>
      <c r="H3891" s="5" t="s">
        <v>454</v>
      </c>
      <c r="I3891" s="10">
        <f>IF(OR(D3891="", F3891=""), "", F3891 * VLOOKUP(D3891, Products!A:E, 5, FALSE) * (1 - G3891))</f>
        <v>7950.0275000000001</v>
      </c>
      <c r="J3891" s="10"/>
    </row>
    <row r="3892" spans="1:10" ht="15.75" customHeight="1" x14ac:dyDescent="0.3">
      <c r="A3892" s="5" t="s">
        <v>4759</v>
      </c>
      <c r="B3892" s="11">
        <v>45718</v>
      </c>
      <c r="C3892" s="5" t="s">
        <v>455</v>
      </c>
      <c r="D3892" s="5" t="s">
        <v>119</v>
      </c>
      <c r="E3892" s="5" t="s">
        <v>37</v>
      </c>
      <c r="F3892" s="5">
        <v>5</v>
      </c>
      <c r="G3892" s="19">
        <v>0.05</v>
      </c>
      <c r="H3892" s="5" t="s">
        <v>454</v>
      </c>
      <c r="I3892" s="10">
        <f>IF(OR(D3892="", F3892=""), "", F3892 * VLOOKUP(D3892, Products!A:E, 5, FALSE) * (1 - G3892))</f>
        <v>5129.4775000000009</v>
      </c>
      <c r="J3892" s="10"/>
    </row>
    <row r="3893" spans="1:10" ht="15.75" customHeight="1" x14ac:dyDescent="0.3">
      <c r="A3893" s="5" t="s">
        <v>4760</v>
      </c>
      <c r="B3893" s="11">
        <v>45433</v>
      </c>
      <c r="C3893" s="5" t="s">
        <v>334</v>
      </c>
      <c r="D3893" s="5" t="s">
        <v>243</v>
      </c>
      <c r="E3893" s="5" t="s">
        <v>29</v>
      </c>
      <c r="F3893" s="5">
        <v>2</v>
      </c>
      <c r="G3893" s="19">
        <v>0.15</v>
      </c>
      <c r="H3893" s="5" t="s">
        <v>454</v>
      </c>
      <c r="I3893" s="10">
        <f>IF(OR(D3893="", F3893=""), "", F3893 * VLOOKUP(D3893, Products!A:E, 5, FALSE) * (1 - G3893))</f>
        <v>919.59800000000007</v>
      </c>
      <c r="J3893" s="10"/>
    </row>
    <row r="3894" spans="1:10" ht="15.75" customHeight="1" x14ac:dyDescent="0.3">
      <c r="A3894" s="5" t="s">
        <v>4761</v>
      </c>
      <c r="B3894" s="11">
        <v>45435</v>
      </c>
      <c r="C3894" s="5" t="s">
        <v>554</v>
      </c>
      <c r="D3894" s="5" t="s">
        <v>162</v>
      </c>
      <c r="E3894" s="5" t="s">
        <v>25</v>
      </c>
      <c r="F3894" s="5">
        <v>5</v>
      </c>
      <c r="G3894" s="19">
        <v>0</v>
      </c>
      <c r="H3894" s="5" t="s">
        <v>454</v>
      </c>
      <c r="I3894" s="10">
        <f>IF(OR(D3894="", F3894=""), "", F3894 * VLOOKUP(D3894, Products!A:E, 5, FALSE) * (1 - G3894))</f>
        <v>2145.75</v>
      </c>
      <c r="J3894" s="10"/>
    </row>
    <row r="3895" spans="1:10" ht="15.75" customHeight="1" x14ac:dyDescent="0.3">
      <c r="A3895" s="5" t="s">
        <v>4762</v>
      </c>
      <c r="B3895" s="11">
        <v>45710</v>
      </c>
      <c r="C3895" s="5" t="s">
        <v>488</v>
      </c>
      <c r="D3895" s="5" t="s">
        <v>206</v>
      </c>
      <c r="E3895" s="5" t="s">
        <v>21</v>
      </c>
      <c r="F3895" s="5">
        <v>4</v>
      </c>
      <c r="G3895" s="19">
        <v>0.15</v>
      </c>
      <c r="H3895" s="5" t="s">
        <v>454</v>
      </c>
      <c r="I3895" s="10">
        <f>IF(OR(D3895="", F3895=""), "", F3895 * VLOOKUP(D3895, Products!A:E, 5, FALSE) * (1 - G3895))</f>
        <v>1036.0139999999999</v>
      </c>
      <c r="J3895" s="10"/>
    </row>
    <row r="3896" spans="1:10" ht="15.75" customHeight="1" x14ac:dyDescent="0.3">
      <c r="A3896" s="5" t="s">
        <v>4763</v>
      </c>
      <c r="B3896" s="11">
        <v>45836</v>
      </c>
      <c r="C3896" s="5" t="s">
        <v>815</v>
      </c>
      <c r="D3896" s="5" t="s">
        <v>180</v>
      </c>
      <c r="E3896" s="5" t="s">
        <v>21</v>
      </c>
      <c r="F3896" s="5">
        <v>4</v>
      </c>
      <c r="G3896" s="19">
        <v>0.1</v>
      </c>
      <c r="H3896" s="5" t="s">
        <v>637</v>
      </c>
      <c r="I3896" s="10">
        <f>IF(OR(D3896="", F3896=""), "", F3896 * VLOOKUP(D3896, Products!A:E, 5, FALSE) * (1 - G3896))</f>
        <v>2425.6080000000002</v>
      </c>
      <c r="J3896" s="10"/>
    </row>
    <row r="3897" spans="1:10" ht="15.75" customHeight="1" x14ac:dyDescent="0.3">
      <c r="A3897" s="5" t="s">
        <v>4764</v>
      </c>
      <c r="B3897" s="11">
        <v>45654</v>
      </c>
      <c r="C3897" s="5" t="s">
        <v>744</v>
      </c>
      <c r="D3897" s="5" t="s">
        <v>109</v>
      </c>
      <c r="E3897" s="5" t="s">
        <v>29</v>
      </c>
      <c r="F3897" s="5">
        <v>3</v>
      </c>
      <c r="G3897" s="19">
        <v>0</v>
      </c>
      <c r="H3897" s="5" t="s">
        <v>454</v>
      </c>
      <c r="I3897" s="10">
        <f>IF(OR(D3897="", F3897=""), "", F3897 * VLOOKUP(D3897, Products!A:E, 5, FALSE) * (1 - G3897))</f>
        <v>5576.25</v>
      </c>
      <c r="J3897" s="10"/>
    </row>
    <row r="3898" spans="1:10" ht="15.75" customHeight="1" x14ac:dyDescent="0.3">
      <c r="A3898" s="5" t="s">
        <v>4765</v>
      </c>
      <c r="B3898" s="11">
        <v>45338</v>
      </c>
      <c r="C3898" s="5" t="s">
        <v>546</v>
      </c>
      <c r="D3898" s="5" t="s">
        <v>140</v>
      </c>
      <c r="E3898" s="5" t="s">
        <v>25</v>
      </c>
      <c r="F3898" s="5">
        <v>2</v>
      </c>
      <c r="G3898" s="19">
        <v>0.05</v>
      </c>
      <c r="H3898" s="5" t="s">
        <v>776</v>
      </c>
      <c r="I3898" s="10">
        <f>IF(OR(D3898="", F3898=""), "", F3898 * VLOOKUP(D3898, Products!A:E, 5, FALSE) * (1 - G3898))</f>
        <v>48.582999999999998</v>
      </c>
      <c r="J3898" s="10"/>
    </row>
    <row r="3899" spans="1:10" ht="15.75" customHeight="1" x14ac:dyDescent="0.3">
      <c r="A3899" s="5" t="s">
        <v>4766</v>
      </c>
      <c r="B3899" s="11">
        <v>45456</v>
      </c>
      <c r="C3899" s="5" t="s">
        <v>724</v>
      </c>
      <c r="D3899" s="5" t="s">
        <v>269</v>
      </c>
      <c r="E3899" s="5" t="s">
        <v>21</v>
      </c>
      <c r="F3899" s="5">
        <v>5</v>
      </c>
      <c r="G3899" s="19">
        <v>0.1</v>
      </c>
      <c r="H3899" s="5" t="s">
        <v>454</v>
      </c>
      <c r="I3899" s="10">
        <f>IF(OR(D3899="", F3899=""), "", F3899 * VLOOKUP(D3899, Products!A:E, 5, FALSE) * (1 - G3899))</f>
        <v>8455.86</v>
      </c>
      <c r="J3899" s="10"/>
    </row>
    <row r="3900" spans="1:10" ht="15.75" customHeight="1" x14ac:dyDescent="0.3">
      <c r="A3900" s="5" t="s">
        <v>4767</v>
      </c>
      <c r="B3900" s="11">
        <v>45880</v>
      </c>
      <c r="C3900" s="5" t="s">
        <v>240</v>
      </c>
      <c r="D3900" s="5" t="s">
        <v>232</v>
      </c>
      <c r="E3900" s="5" t="s">
        <v>21</v>
      </c>
      <c r="F3900" s="5">
        <v>4</v>
      </c>
      <c r="G3900" s="19">
        <v>0.1</v>
      </c>
      <c r="H3900" s="5" t="s">
        <v>776</v>
      </c>
      <c r="I3900" s="10">
        <f>IF(OR(D3900="", F3900=""), "", F3900 * VLOOKUP(D3900, Products!A:E, 5, FALSE) * (1 - G3900))</f>
        <v>7029.5400000000009</v>
      </c>
      <c r="J3900" s="10"/>
    </row>
    <row r="3901" spans="1:10" ht="15.75" customHeight="1" x14ac:dyDescent="0.3">
      <c r="A3901" s="5" t="s">
        <v>4768</v>
      </c>
      <c r="B3901" s="11">
        <v>45893</v>
      </c>
      <c r="C3901" s="5" t="s">
        <v>602</v>
      </c>
      <c r="D3901" s="5" t="s">
        <v>70</v>
      </c>
      <c r="E3901" s="5" t="s">
        <v>37</v>
      </c>
      <c r="F3901" s="5">
        <v>1</v>
      </c>
      <c r="G3901" s="19">
        <v>0.05</v>
      </c>
      <c r="H3901" s="5" t="s">
        <v>776</v>
      </c>
      <c r="I3901" s="10">
        <f>IF(OR(D3901="", F3901=""), "", F3901 * VLOOKUP(D3901, Products!A:E, 5, FALSE) * (1 - G3901))</f>
        <v>117.03049999999999</v>
      </c>
      <c r="J3901" s="10"/>
    </row>
    <row r="3902" spans="1:10" ht="15.75" customHeight="1" x14ac:dyDescent="0.3">
      <c r="A3902" s="5" t="s">
        <v>4769</v>
      </c>
      <c r="B3902" s="11">
        <v>45756</v>
      </c>
      <c r="C3902" s="5" t="s">
        <v>203</v>
      </c>
      <c r="D3902" s="5" t="s">
        <v>61</v>
      </c>
      <c r="E3902" s="5" t="s">
        <v>21</v>
      </c>
      <c r="F3902" s="5">
        <v>4</v>
      </c>
      <c r="G3902" s="19">
        <v>0.15</v>
      </c>
      <c r="H3902" s="5" t="s">
        <v>776</v>
      </c>
      <c r="I3902" s="10">
        <f>IF(OR(D3902="", F3902=""), "", F3902 * VLOOKUP(D3902, Products!A:E, 5, FALSE) * (1 - G3902))</f>
        <v>1081.3700000000001</v>
      </c>
      <c r="J3902" s="10"/>
    </row>
    <row r="3903" spans="1:10" ht="15.75" customHeight="1" x14ac:dyDescent="0.3">
      <c r="A3903" s="5" t="s">
        <v>4770</v>
      </c>
      <c r="B3903" s="11">
        <v>45700</v>
      </c>
      <c r="C3903" s="5" t="s">
        <v>727</v>
      </c>
      <c r="D3903" s="5" t="s">
        <v>134</v>
      </c>
      <c r="E3903" s="5" t="s">
        <v>21</v>
      </c>
      <c r="F3903" s="5">
        <v>2</v>
      </c>
      <c r="G3903" s="19">
        <v>0.1</v>
      </c>
      <c r="H3903" s="5" t="s">
        <v>454</v>
      </c>
      <c r="I3903" s="10">
        <f>IF(OR(D3903="", F3903=""), "", F3903 * VLOOKUP(D3903, Products!A:E, 5, FALSE) * (1 - G3903))</f>
        <v>2209.0320000000002</v>
      </c>
      <c r="J3903" s="10"/>
    </row>
    <row r="3904" spans="1:10" ht="15.75" customHeight="1" x14ac:dyDescent="0.3">
      <c r="A3904" s="5" t="s">
        <v>4771</v>
      </c>
      <c r="B3904" s="11">
        <v>45393</v>
      </c>
      <c r="C3904" s="5" t="s">
        <v>815</v>
      </c>
      <c r="D3904" s="5" t="s">
        <v>89</v>
      </c>
      <c r="E3904" s="5" t="s">
        <v>33</v>
      </c>
      <c r="F3904" s="5">
        <v>4</v>
      </c>
      <c r="G3904" s="19">
        <v>0</v>
      </c>
      <c r="H3904" s="5" t="s">
        <v>697</v>
      </c>
      <c r="I3904" s="10">
        <f>IF(OR(D3904="", F3904=""), "", F3904 * VLOOKUP(D3904, Products!A:E, 5, FALSE) * (1 - G3904))</f>
        <v>4539.2</v>
      </c>
      <c r="J3904" s="10"/>
    </row>
    <row r="3905" spans="1:10" ht="15.75" customHeight="1" x14ac:dyDescent="0.3">
      <c r="A3905" s="5" t="s">
        <v>4772</v>
      </c>
      <c r="B3905" s="11">
        <v>45286</v>
      </c>
      <c r="C3905" s="5" t="s">
        <v>326</v>
      </c>
      <c r="D3905" s="5" t="s">
        <v>269</v>
      </c>
      <c r="E3905" s="5" t="s">
        <v>21</v>
      </c>
      <c r="F3905" s="5">
        <v>4</v>
      </c>
      <c r="G3905" s="19">
        <v>0.1</v>
      </c>
      <c r="H3905" s="5" t="s">
        <v>697</v>
      </c>
      <c r="I3905" s="10">
        <f>IF(OR(D3905="", F3905=""), "", F3905 * VLOOKUP(D3905, Products!A:E, 5, FALSE) * (1 - G3905))</f>
        <v>6764.6880000000001</v>
      </c>
      <c r="J3905" s="10"/>
    </row>
    <row r="3906" spans="1:10" ht="15.75" customHeight="1" x14ac:dyDescent="0.3">
      <c r="A3906" s="5" t="s">
        <v>4773</v>
      </c>
      <c r="B3906" s="11">
        <v>45836</v>
      </c>
      <c r="C3906" s="5" t="s">
        <v>470</v>
      </c>
      <c r="D3906" s="5" t="s">
        <v>188</v>
      </c>
      <c r="E3906" s="5" t="s">
        <v>29</v>
      </c>
      <c r="F3906" s="5">
        <v>1</v>
      </c>
      <c r="G3906" s="19">
        <v>0.05</v>
      </c>
      <c r="H3906" s="5" t="s">
        <v>776</v>
      </c>
      <c r="I3906" s="10">
        <f>IF(OR(D3906="", F3906=""), "", F3906 * VLOOKUP(D3906, Products!A:E, 5, FALSE) * (1 - G3906))</f>
        <v>1410.7974999999999</v>
      </c>
      <c r="J3906" s="10"/>
    </row>
    <row r="3907" spans="1:10" ht="15.75" customHeight="1" x14ac:dyDescent="0.3">
      <c r="A3907" s="5" t="s">
        <v>4774</v>
      </c>
      <c r="B3907" s="11">
        <v>45601</v>
      </c>
      <c r="C3907" s="5" t="s">
        <v>203</v>
      </c>
      <c r="D3907" s="5" t="s">
        <v>134</v>
      </c>
      <c r="E3907" s="5" t="s">
        <v>25</v>
      </c>
      <c r="F3907" s="5">
        <v>2</v>
      </c>
      <c r="G3907" s="19">
        <v>0.15</v>
      </c>
      <c r="H3907" s="5" t="s">
        <v>454</v>
      </c>
      <c r="I3907" s="10">
        <f>IF(OR(D3907="", F3907=""), "", F3907 * VLOOKUP(D3907, Products!A:E, 5, FALSE) * (1 - G3907))</f>
        <v>2086.308</v>
      </c>
      <c r="J3907" s="10"/>
    </row>
    <row r="3908" spans="1:10" ht="15.75" customHeight="1" x14ac:dyDescent="0.3">
      <c r="A3908" s="5" t="s">
        <v>4775</v>
      </c>
      <c r="B3908" s="11">
        <v>45211</v>
      </c>
      <c r="C3908" s="5" t="s">
        <v>699</v>
      </c>
      <c r="D3908" s="5" t="s">
        <v>217</v>
      </c>
      <c r="E3908" s="5" t="s">
        <v>29</v>
      </c>
      <c r="F3908" s="5">
        <v>1</v>
      </c>
      <c r="G3908" s="19">
        <v>0</v>
      </c>
      <c r="H3908" s="5" t="s">
        <v>697</v>
      </c>
      <c r="I3908" s="10">
        <f>IF(OR(D3908="", F3908=""), "", F3908 * VLOOKUP(D3908, Products!A:E, 5, FALSE) * (1 - G3908))</f>
        <v>428.05</v>
      </c>
      <c r="J3908" s="10"/>
    </row>
    <row r="3909" spans="1:10" ht="15.75" customHeight="1" x14ac:dyDescent="0.3">
      <c r="A3909" s="5" t="s">
        <v>4776</v>
      </c>
      <c r="B3909" s="11">
        <v>45481</v>
      </c>
      <c r="C3909" s="5" t="s">
        <v>563</v>
      </c>
      <c r="D3909" s="5" t="s">
        <v>77</v>
      </c>
      <c r="E3909" s="5" t="s">
        <v>21</v>
      </c>
      <c r="F3909" s="5">
        <v>1</v>
      </c>
      <c r="G3909" s="19">
        <v>0.1</v>
      </c>
      <c r="H3909" s="5" t="s">
        <v>776</v>
      </c>
      <c r="I3909" s="10">
        <f>IF(OR(D3909="", F3909=""), "", F3909 * VLOOKUP(D3909, Products!A:E, 5, FALSE) * (1 - G3909))</f>
        <v>223.71299999999999</v>
      </c>
      <c r="J3909" s="10"/>
    </row>
    <row r="3910" spans="1:10" ht="15.75" customHeight="1" x14ac:dyDescent="0.3">
      <c r="A3910" s="5" t="s">
        <v>4777</v>
      </c>
      <c r="B3910" s="11">
        <v>45262</v>
      </c>
      <c r="C3910" s="5" t="s">
        <v>491</v>
      </c>
      <c r="D3910" s="5" t="s">
        <v>221</v>
      </c>
      <c r="E3910" s="5" t="s">
        <v>25</v>
      </c>
      <c r="F3910" s="5">
        <v>2</v>
      </c>
      <c r="G3910" s="19">
        <v>0.1</v>
      </c>
      <c r="H3910" s="5" t="s">
        <v>454</v>
      </c>
      <c r="I3910" s="10">
        <f>IF(OR(D3910="", F3910=""), "", F3910 * VLOOKUP(D3910, Products!A:E, 5, FALSE) * (1 - G3910))</f>
        <v>2812.3740000000003</v>
      </c>
      <c r="J3910" s="10"/>
    </row>
    <row r="3911" spans="1:10" ht="15.75" customHeight="1" x14ac:dyDescent="0.3">
      <c r="A3911" s="5" t="s">
        <v>4778</v>
      </c>
      <c r="B3911" s="11">
        <v>45516</v>
      </c>
      <c r="C3911" s="5" t="s">
        <v>586</v>
      </c>
      <c r="D3911" s="5" t="s">
        <v>180</v>
      </c>
      <c r="E3911" s="5" t="s">
        <v>37</v>
      </c>
      <c r="F3911" s="5">
        <v>3</v>
      </c>
      <c r="G3911" s="19">
        <v>0</v>
      </c>
      <c r="H3911" s="5" t="s">
        <v>637</v>
      </c>
      <c r="I3911" s="10">
        <f>IF(OR(D3911="", F3911=""), "", F3911 * VLOOKUP(D3911, Products!A:E, 5, FALSE) * (1 - G3911))</f>
        <v>2021.34</v>
      </c>
      <c r="J3911" s="10"/>
    </row>
    <row r="3912" spans="1:10" ht="15.75" customHeight="1" x14ac:dyDescent="0.3">
      <c r="A3912" s="5" t="s">
        <v>4779</v>
      </c>
      <c r="B3912" s="11">
        <v>45320</v>
      </c>
      <c r="C3912" s="5" t="s">
        <v>440</v>
      </c>
      <c r="D3912" s="5" t="s">
        <v>221</v>
      </c>
      <c r="E3912" s="5" t="s">
        <v>21</v>
      </c>
      <c r="F3912" s="5">
        <v>4</v>
      </c>
      <c r="G3912" s="19">
        <v>0</v>
      </c>
      <c r="H3912" s="5" t="s">
        <v>637</v>
      </c>
      <c r="I3912" s="10">
        <f>IF(OR(D3912="", F3912=""), "", F3912 * VLOOKUP(D3912, Products!A:E, 5, FALSE) * (1 - G3912))</f>
        <v>6249.72</v>
      </c>
      <c r="J3912" s="10"/>
    </row>
    <row r="3913" spans="1:10" ht="15.75" customHeight="1" x14ac:dyDescent="0.3">
      <c r="A3913" s="5" t="s">
        <v>4780</v>
      </c>
      <c r="B3913" s="11">
        <v>45626</v>
      </c>
      <c r="C3913" s="5" t="s">
        <v>815</v>
      </c>
      <c r="D3913" s="5" t="s">
        <v>153</v>
      </c>
      <c r="E3913" s="5" t="s">
        <v>25</v>
      </c>
      <c r="F3913" s="5">
        <v>2</v>
      </c>
      <c r="G3913" s="19">
        <v>0.15</v>
      </c>
      <c r="H3913" s="5" t="s">
        <v>776</v>
      </c>
      <c r="I3913" s="10">
        <f>IF(OR(D3913="", F3913=""), "", F3913 * VLOOKUP(D3913, Products!A:E, 5, FALSE) * (1 - G3913))</f>
        <v>2528.5970000000002</v>
      </c>
      <c r="J3913" s="10"/>
    </row>
    <row r="3914" spans="1:10" ht="15.75" customHeight="1" x14ac:dyDescent="0.3">
      <c r="A3914" s="5" t="s">
        <v>4781</v>
      </c>
      <c r="B3914" s="11">
        <v>45354</v>
      </c>
      <c r="C3914" s="5" t="s">
        <v>507</v>
      </c>
      <c r="D3914" s="5" t="s">
        <v>50</v>
      </c>
      <c r="E3914" s="5" t="s">
        <v>37</v>
      </c>
      <c r="F3914" s="5">
        <v>3</v>
      </c>
      <c r="G3914" s="19">
        <v>0</v>
      </c>
      <c r="H3914" s="5" t="s">
        <v>697</v>
      </c>
      <c r="I3914" s="10">
        <f>IF(OR(D3914="", F3914=""), "", F3914 * VLOOKUP(D3914, Products!A:E, 5, FALSE) * (1 - G3914))</f>
        <v>1012.89</v>
      </c>
      <c r="J3914" s="10"/>
    </row>
    <row r="3915" spans="1:10" ht="15.75" customHeight="1" x14ac:dyDescent="0.3">
      <c r="A3915" s="5" t="s">
        <v>4782</v>
      </c>
      <c r="B3915" s="11">
        <v>45493</v>
      </c>
      <c r="C3915" s="5" t="s">
        <v>602</v>
      </c>
      <c r="D3915" s="5" t="s">
        <v>147</v>
      </c>
      <c r="E3915" s="5" t="s">
        <v>21</v>
      </c>
      <c r="F3915" s="5">
        <v>1</v>
      </c>
      <c r="G3915" s="19">
        <v>0</v>
      </c>
      <c r="H3915" s="5" t="s">
        <v>637</v>
      </c>
      <c r="I3915" s="10">
        <f>IF(OR(D3915="", F3915=""), "", F3915 * VLOOKUP(D3915, Products!A:E, 5, FALSE) * (1 - G3915))</f>
        <v>1878.47</v>
      </c>
      <c r="J3915" s="10"/>
    </row>
    <row r="3916" spans="1:10" ht="15.75" customHeight="1" x14ac:dyDescent="0.3">
      <c r="A3916" s="5" t="s">
        <v>4783</v>
      </c>
      <c r="B3916" s="11">
        <v>45269</v>
      </c>
      <c r="C3916" s="5" t="s">
        <v>443</v>
      </c>
      <c r="D3916" s="5" t="s">
        <v>153</v>
      </c>
      <c r="E3916" s="5" t="s">
        <v>37</v>
      </c>
      <c r="F3916" s="5">
        <v>2</v>
      </c>
      <c r="G3916" s="19">
        <v>0.1</v>
      </c>
      <c r="H3916" s="5" t="s">
        <v>776</v>
      </c>
      <c r="I3916" s="10">
        <f>IF(OR(D3916="", F3916=""), "", F3916 * VLOOKUP(D3916, Products!A:E, 5, FALSE) * (1 - G3916))</f>
        <v>2677.3380000000002</v>
      </c>
      <c r="J3916" s="10"/>
    </row>
    <row r="3917" spans="1:10" ht="15.75" customHeight="1" x14ac:dyDescent="0.3">
      <c r="A3917" s="5" t="s">
        <v>4784</v>
      </c>
      <c r="B3917" s="11">
        <v>45708</v>
      </c>
      <c r="C3917" s="5" t="s">
        <v>361</v>
      </c>
      <c r="D3917" s="5" t="s">
        <v>212</v>
      </c>
      <c r="E3917" s="5" t="s">
        <v>37</v>
      </c>
      <c r="F3917" s="5">
        <v>1</v>
      </c>
      <c r="G3917" s="19">
        <v>0</v>
      </c>
      <c r="H3917" s="5" t="s">
        <v>454</v>
      </c>
      <c r="I3917" s="10">
        <f>IF(OR(D3917="", F3917=""), "", F3917 * VLOOKUP(D3917, Products!A:E, 5, FALSE) * (1 - G3917))</f>
        <v>1798.97</v>
      </c>
      <c r="J3917" s="10"/>
    </row>
    <row r="3918" spans="1:10" ht="15.75" customHeight="1" x14ac:dyDescent="0.3">
      <c r="A3918" s="5" t="s">
        <v>4785</v>
      </c>
      <c r="B3918" s="11">
        <v>45197</v>
      </c>
      <c r="C3918" s="5" t="s">
        <v>503</v>
      </c>
      <c r="D3918" s="5" t="s">
        <v>82</v>
      </c>
      <c r="E3918" s="5" t="s">
        <v>25</v>
      </c>
      <c r="F3918" s="5">
        <v>1</v>
      </c>
      <c r="G3918" s="19">
        <v>0.05</v>
      </c>
      <c r="H3918" s="5" t="s">
        <v>637</v>
      </c>
      <c r="I3918" s="10">
        <f>IF(OR(D3918="", F3918=""), "", F3918 * VLOOKUP(D3918, Products!A:E, 5, FALSE) * (1 - G3918))</f>
        <v>1133.4354999999998</v>
      </c>
      <c r="J3918" s="10"/>
    </row>
    <row r="3919" spans="1:10" ht="15.75" customHeight="1" x14ac:dyDescent="0.3">
      <c r="A3919" s="5" t="s">
        <v>4786</v>
      </c>
      <c r="B3919" s="11">
        <v>45749</v>
      </c>
      <c r="C3919" s="5" t="s">
        <v>149</v>
      </c>
      <c r="D3919" s="5" t="s">
        <v>291</v>
      </c>
      <c r="E3919" s="5" t="s">
        <v>37</v>
      </c>
      <c r="F3919" s="5">
        <v>5</v>
      </c>
      <c r="G3919" s="19">
        <v>0.1</v>
      </c>
      <c r="H3919" s="5" t="s">
        <v>776</v>
      </c>
      <c r="I3919" s="10">
        <f>IF(OR(D3919="", F3919=""), "", F3919 * VLOOKUP(D3919, Products!A:E, 5, FALSE) * (1 - G3919))</f>
        <v>4700.880000000001</v>
      </c>
      <c r="J3919" s="10"/>
    </row>
    <row r="3920" spans="1:10" ht="15.75" customHeight="1" x14ac:dyDescent="0.3">
      <c r="A3920" s="5" t="s">
        <v>4787</v>
      </c>
      <c r="B3920" s="11">
        <v>45618</v>
      </c>
      <c r="C3920" s="5" t="s">
        <v>185</v>
      </c>
      <c r="D3920" s="5" t="s">
        <v>180</v>
      </c>
      <c r="E3920" s="5" t="s">
        <v>37</v>
      </c>
      <c r="F3920" s="5">
        <v>3</v>
      </c>
      <c r="G3920" s="19">
        <v>0</v>
      </c>
      <c r="H3920" s="5" t="s">
        <v>697</v>
      </c>
      <c r="I3920" s="10">
        <f>IF(OR(D3920="", F3920=""), "", F3920 * VLOOKUP(D3920, Products!A:E, 5, FALSE) * (1 - G3920))</f>
        <v>2021.34</v>
      </c>
      <c r="J3920" s="10"/>
    </row>
    <row r="3921" spans="1:10" ht="15.75" customHeight="1" x14ac:dyDescent="0.3">
      <c r="A3921" s="5" t="s">
        <v>4788</v>
      </c>
      <c r="B3921" s="11">
        <v>45871</v>
      </c>
      <c r="C3921" s="5" t="s">
        <v>774</v>
      </c>
      <c r="D3921" s="5" t="s">
        <v>162</v>
      </c>
      <c r="E3921" s="5" t="s">
        <v>29</v>
      </c>
      <c r="F3921" s="5">
        <v>5</v>
      </c>
      <c r="G3921" s="19">
        <v>0.05</v>
      </c>
      <c r="H3921" s="5" t="s">
        <v>454</v>
      </c>
      <c r="I3921" s="10">
        <f>IF(OR(D3921="", F3921=""), "", F3921 * VLOOKUP(D3921, Products!A:E, 5, FALSE) * (1 - G3921))</f>
        <v>2038.4624999999999</v>
      </c>
      <c r="J3921" s="10"/>
    </row>
    <row r="3922" spans="1:10" ht="15.75" customHeight="1" x14ac:dyDescent="0.3">
      <c r="A3922" s="5" t="s">
        <v>4789</v>
      </c>
      <c r="B3922" s="11">
        <v>45663</v>
      </c>
      <c r="C3922" s="5" t="s">
        <v>499</v>
      </c>
      <c r="D3922" s="5" t="s">
        <v>237</v>
      </c>
      <c r="E3922" s="5" t="s">
        <v>25</v>
      </c>
      <c r="F3922" s="5">
        <v>3</v>
      </c>
      <c r="G3922" s="19">
        <v>0.1</v>
      </c>
      <c r="H3922" s="5" t="s">
        <v>697</v>
      </c>
      <c r="I3922" s="10">
        <f>IF(OR(D3922="", F3922=""), "", F3922 * VLOOKUP(D3922, Products!A:E, 5, FALSE) * (1 - G3922))</f>
        <v>990.71100000000001</v>
      </c>
      <c r="J3922" s="10"/>
    </row>
    <row r="3923" spans="1:10" ht="15.75" customHeight="1" x14ac:dyDescent="0.3">
      <c r="A3923" s="5" t="s">
        <v>4790</v>
      </c>
      <c r="B3923" s="11">
        <v>45615</v>
      </c>
      <c r="C3923" s="5" t="s">
        <v>149</v>
      </c>
      <c r="D3923" s="5" t="s">
        <v>200</v>
      </c>
      <c r="E3923" s="5" t="s">
        <v>29</v>
      </c>
      <c r="F3923" s="5">
        <v>4</v>
      </c>
      <c r="G3923" s="19">
        <v>0</v>
      </c>
      <c r="H3923" s="5" t="s">
        <v>776</v>
      </c>
      <c r="I3923" s="10">
        <f>IF(OR(D3923="", F3923=""), "", F3923 * VLOOKUP(D3923, Products!A:E, 5, FALSE) * (1 - G3923))</f>
        <v>4382.88</v>
      </c>
      <c r="J3923" s="10"/>
    </row>
    <row r="3924" spans="1:10" ht="15.75" customHeight="1" x14ac:dyDescent="0.3">
      <c r="A3924" s="5" t="s">
        <v>4791</v>
      </c>
      <c r="B3924" s="11">
        <v>45205</v>
      </c>
      <c r="C3924" s="5" t="s">
        <v>171</v>
      </c>
      <c r="D3924" s="5" t="s">
        <v>115</v>
      </c>
      <c r="E3924" s="5" t="s">
        <v>33</v>
      </c>
      <c r="F3924" s="5">
        <v>4</v>
      </c>
      <c r="G3924" s="19">
        <v>0</v>
      </c>
      <c r="H3924" s="5" t="s">
        <v>776</v>
      </c>
      <c r="I3924" s="10">
        <f>IF(OR(D3924="", F3924=""), "", F3924 * VLOOKUP(D3924, Products!A:E, 5, FALSE) * (1 - G3924))</f>
        <v>4984.4399999999996</v>
      </c>
      <c r="J3924" s="10"/>
    </row>
    <row r="3925" spans="1:10" ht="15.75" customHeight="1" x14ac:dyDescent="0.3">
      <c r="A3925" s="5" t="s">
        <v>4792</v>
      </c>
      <c r="B3925" s="11">
        <v>45664</v>
      </c>
      <c r="C3925" s="5" t="s">
        <v>546</v>
      </c>
      <c r="D3925" s="5" t="s">
        <v>47</v>
      </c>
      <c r="E3925" s="5" t="s">
        <v>37</v>
      </c>
      <c r="F3925" s="5">
        <v>4</v>
      </c>
      <c r="G3925" s="19">
        <v>0</v>
      </c>
      <c r="H3925" s="5" t="s">
        <v>776</v>
      </c>
      <c r="I3925" s="10">
        <f>IF(OR(D3925="", F3925=""), "", F3925 * VLOOKUP(D3925, Products!A:E, 5, FALSE) * (1 - G3925))</f>
        <v>3275.04</v>
      </c>
      <c r="J3925" s="10"/>
    </row>
    <row r="3926" spans="1:10" ht="15.75" customHeight="1" x14ac:dyDescent="0.3">
      <c r="A3926" s="5" t="s">
        <v>4793</v>
      </c>
      <c r="B3926" s="11">
        <v>45387</v>
      </c>
      <c r="C3926" s="5" t="s">
        <v>680</v>
      </c>
      <c r="D3926" s="5" t="s">
        <v>212</v>
      </c>
      <c r="E3926" s="5" t="s">
        <v>33</v>
      </c>
      <c r="F3926" s="5">
        <v>4</v>
      </c>
      <c r="G3926" s="19">
        <v>0.15</v>
      </c>
      <c r="H3926" s="5" t="s">
        <v>454</v>
      </c>
      <c r="I3926" s="10">
        <f>IF(OR(D3926="", F3926=""), "", F3926 * VLOOKUP(D3926, Products!A:E, 5, FALSE) * (1 - G3926))</f>
        <v>6116.4979999999996</v>
      </c>
      <c r="J3926" s="10"/>
    </row>
    <row r="3927" spans="1:10" ht="15.75" customHeight="1" x14ac:dyDescent="0.3">
      <c r="A3927" s="5" t="s">
        <v>4794</v>
      </c>
      <c r="B3927" s="11">
        <v>45401</v>
      </c>
      <c r="C3927" s="5" t="s">
        <v>149</v>
      </c>
      <c r="D3927" s="5" t="s">
        <v>82</v>
      </c>
      <c r="E3927" s="5" t="s">
        <v>25</v>
      </c>
      <c r="F3927" s="5">
        <v>4</v>
      </c>
      <c r="G3927" s="19">
        <v>0.1</v>
      </c>
      <c r="H3927" s="5" t="s">
        <v>697</v>
      </c>
      <c r="I3927" s="10">
        <f>IF(OR(D3927="", F3927=""), "", F3927 * VLOOKUP(D3927, Products!A:E, 5, FALSE) * (1 - G3927))</f>
        <v>4295.1239999999998</v>
      </c>
      <c r="J3927" s="10"/>
    </row>
    <row r="3928" spans="1:10" ht="15.75" customHeight="1" x14ac:dyDescent="0.3">
      <c r="A3928" s="5" t="s">
        <v>4795</v>
      </c>
      <c r="B3928" s="11">
        <v>45884</v>
      </c>
      <c r="C3928" s="5" t="s">
        <v>826</v>
      </c>
      <c r="D3928" s="5" t="s">
        <v>109</v>
      </c>
      <c r="E3928" s="5" t="s">
        <v>25</v>
      </c>
      <c r="F3928" s="5">
        <v>2</v>
      </c>
      <c r="G3928" s="19">
        <v>0.1</v>
      </c>
      <c r="H3928" s="5" t="s">
        <v>454</v>
      </c>
      <c r="I3928" s="10">
        <f>IF(OR(D3928="", F3928=""), "", F3928 * VLOOKUP(D3928, Products!A:E, 5, FALSE) * (1 - G3928))</f>
        <v>3345.75</v>
      </c>
      <c r="J3928" s="10"/>
    </row>
    <row r="3929" spans="1:10" ht="15.75" customHeight="1" x14ac:dyDescent="0.3">
      <c r="A3929" s="5" t="s">
        <v>4796</v>
      </c>
      <c r="B3929" s="11">
        <v>45831</v>
      </c>
      <c r="C3929" s="5" t="s">
        <v>711</v>
      </c>
      <c r="D3929" s="5" t="s">
        <v>54</v>
      </c>
      <c r="E3929" s="5" t="s">
        <v>29</v>
      </c>
      <c r="F3929" s="5">
        <v>2</v>
      </c>
      <c r="G3929" s="19">
        <v>0</v>
      </c>
      <c r="H3929" s="5" t="s">
        <v>776</v>
      </c>
      <c r="I3929" s="10">
        <f>IF(OR(D3929="", F3929=""), "", F3929 * VLOOKUP(D3929, Products!A:E, 5, FALSE) * (1 - G3929))</f>
        <v>3707.54</v>
      </c>
      <c r="J3929" s="10"/>
    </row>
    <row r="3930" spans="1:10" ht="15.75" customHeight="1" x14ac:dyDescent="0.3">
      <c r="A3930" s="5" t="s">
        <v>4797</v>
      </c>
      <c r="B3930" s="11">
        <v>45235</v>
      </c>
      <c r="C3930" s="5" t="s">
        <v>543</v>
      </c>
      <c r="D3930" s="5" t="s">
        <v>74</v>
      </c>
      <c r="E3930" s="5" t="s">
        <v>33</v>
      </c>
      <c r="F3930" s="5">
        <v>4</v>
      </c>
      <c r="G3930" s="19">
        <v>0.15</v>
      </c>
      <c r="H3930" s="5" t="s">
        <v>697</v>
      </c>
      <c r="I3930" s="10">
        <f>IF(OR(D3930="", F3930=""), "", F3930 * VLOOKUP(D3930, Products!A:E, 5, FALSE) * (1 - G3930))</f>
        <v>4060.0079999999994</v>
      </c>
      <c r="J3930" s="10"/>
    </row>
    <row r="3931" spans="1:10" ht="15.75" customHeight="1" x14ac:dyDescent="0.3">
      <c r="A3931" s="5" t="s">
        <v>4798</v>
      </c>
      <c r="B3931" s="11">
        <v>45281</v>
      </c>
      <c r="C3931" s="5" t="s">
        <v>488</v>
      </c>
      <c r="D3931" s="5" t="s">
        <v>265</v>
      </c>
      <c r="E3931" s="5" t="s">
        <v>29</v>
      </c>
      <c r="F3931" s="5">
        <v>1</v>
      </c>
      <c r="G3931" s="19">
        <v>0.05</v>
      </c>
      <c r="H3931" s="5" t="s">
        <v>697</v>
      </c>
      <c r="I3931" s="10">
        <f>IF(OR(D3931="", F3931=""), "", F3931 * VLOOKUP(D3931, Products!A:E, 5, FALSE) * (1 - G3931))</f>
        <v>536.19899999999996</v>
      </c>
      <c r="J3931" s="10"/>
    </row>
    <row r="3932" spans="1:10" ht="15.75" customHeight="1" x14ac:dyDescent="0.3">
      <c r="A3932" s="5" t="s">
        <v>4799</v>
      </c>
      <c r="B3932" s="11">
        <v>45719</v>
      </c>
      <c r="C3932" s="5" t="s">
        <v>755</v>
      </c>
      <c r="D3932" s="5" t="s">
        <v>226</v>
      </c>
      <c r="E3932" s="5" t="s">
        <v>29</v>
      </c>
      <c r="F3932" s="5">
        <v>1</v>
      </c>
      <c r="G3932" s="19">
        <v>0</v>
      </c>
      <c r="H3932" s="5" t="s">
        <v>637</v>
      </c>
      <c r="I3932" s="10">
        <f>IF(OR(D3932="", F3932=""), "", F3932 * VLOOKUP(D3932, Products!A:E, 5, FALSE) * (1 - G3932))</f>
        <v>1501.46</v>
      </c>
      <c r="J3932" s="10"/>
    </row>
    <row r="3933" spans="1:10" ht="15.75" customHeight="1" x14ac:dyDescent="0.3">
      <c r="A3933" s="5" t="s">
        <v>4800</v>
      </c>
      <c r="B3933" s="11">
        <v>45884</v>
      </c>
      <c r="C3933" s="5" t="s">
        <v>368</v>
      </c>
      <c r="D3933" s="5" t="s">
        <v>232</v>
      </c>
      <c r="E3933" s="5" t="s">
        <v>33</v>
      </c>
      <c r="F3933" s="5">
        <v>3</v>
      </c>
      <c r="G3933" s="19">
        <v>0.1</v>
      </c>
      <c r="H3933" s="5" t="s">
        <v>697</v>
      </c>
      <c r="I3933" s="10">
        <f>IF(OR(D3933="", F3933=""), "", F3933 * VLOOKUP(D3933, Products!A:E, 5, FALSE) * (1 - G3933))</f>
        <v>5272.1550000000007</v>
      </c>
      <c r="J3933" s="10"/>
    </row>
    <row r="3934" spans="1:10" ht="15.75" customHeight="1" x14ac:dyDescent="0.3">
      <c r="A3934" s="5" t="s">
        <v>4801</v>
      </c>
      <c r="B3934" s="11">
        <v>45383</v>
      </c>
      <c r="C3934" s="5" t="s">
        <v>543</v>
      </c>
      <c r="D3934" s="5" t="s">
        <v>168</v>
      </c>
      <c r="E3934" s="5" t="s">
        <v>25</v>
      </c>
      <c r="F3934" s="5">
        <v>3</v>
      </c>
      <c r="G3934" s="19">
        <v>0</v>
      </c>
      <c r="H3934" s="5" t="s">
        <v>637</v>
      </c>
      <c r="I3934" s="10">
        <f>IF(OR(D3934="", F3934=""), "", F3934 * VLOOKUP(D3934, Products!A:E, 5, FALSE) * (1 - G3934))</f>
        <v>3047.2799999999997</v>
      </c>
      <c r="J3934" s="10"/>
    </row>
    <row r="3935" spans="1:10" ht="15.75" customHeight="1" x14ac:dyDescent="0.3">
      <c r="A3935" s="5" t="s">
        <v>4802</v>
      </c>
      <c r="B3935" s="11">
        <v>45792</v>
      </c>
      <c r="C3935" s="5" t="s">
        <v>674</v>
      </c>
      <c r="D3935" s="5" t="s">
        <v>262</v>
      </c>
      <c r="E3935" s="5" t="s">
        <v>29</v>
      </c>
      <c r="F3935" s="5">
        <v>2</v>
      </c>
      <c r="G3935" s="19">
        <v>0</v>
      </c>
      <c r="H3935" s="5" t="s">
        <v>697</v>
      </c>
      <c r="I3935" s="10">
        <f>IF(OR(D3935="", F3935=""), "", F3935 * VLOOKUP(D3935, Products!A:E, 5, FALSE) * (1 - G3935))</f>
        <v>907.24</v>
      </c>
      <c r="J3935" s="10"/>
    </row>
    <row r="3936" spans="1:10" ht="15.75" customHeight="1" x14ac:dyDescent="0.3">
      <c r="A3936" s="5" t="s">
        <v>4803</v>
      </c>
      <c r="B3936" s="11">
        <v>45328</v>
      </c>
      <c r="C3936" s="5" t="s">
        <v>779</v>
      </c>
      <c r="D3936" s="5" t="s">
        <v>193</v>
      </c>
      <c r="E3936" s="5" t="s">
        <v>37</v>
      </c>
      <c r="F3936" s="5">
        <v>2</v>
      </c>
      <c r="G3936" s="19">
        <v>0.05</v>
      </c>
      <c r="H3936" s="5" t="s">
        <v>697</v>
      </c>
      <c r="I3936" s="10">
        <f>IF(OR(D3936="", F3936=""), "", F3936 * VLOOKUP(D3936, Products!A:E, 5, FALSE) * (1 - G3936))</f>
        <v>55.555999999999997</v>
      </c>
      <c r="J3936" s="10"/>
    </row>
    <row r="3937" spans="1:10" ht="15.75" customHeight="1" x14ac:dyDescent="0.3">
      <c r="A3937" s="5" t="s">
        <v>4804</v>
      </c>
      <c r="B3937" s="11">
        <v>45705</v>
      </c>
      <c r="C3937" s="5" t="s">
        <v>462</v>
      </c>
      <c r="D3937" s="5" t="s">
        <v>291</v>
      </c>
      <c r="E3937" s="5" t="s">
        <v>29</v>
      </c>
      <c r="F3937" s="5">
        <v>1</v>
      </c>
      <c r="G3937" s="19">
        <v>0</v>
      </c>
      <c r="H3937" s="5" t="s">
        <v>776</v>
      </c>
      <c r="I3937" s="10">
        <f>IF(OR(D3937="", F3937=""), "", F3937 * VLOOKUP(D3937, Products!A:E, 5, FALSE) * (1 - G3937))</f>
        <v>1044.6400000000001</v>
      </c>
      <c r="J3937" s="10"/>
    </row>
    <row r="3938" spans="1:10" ht="15.75" customHeight="1" x14ac:dyDescent="0.3">
      <c r="A3938" s="5" t="s">
        <v>4805</v>
      </c>
      <c r="B3938" s="11">
        <v>45239</v>
      </c>
      <c r="C3938" s="5" t="s">
        <v>842</v>
      </c>
      <c r="D3938" s="5" t="s">
        <v>103</v>
      </c>
      <c r="E3938" s="5" t="s">
        <v>21</v>
      </c>
      <c r="F3938" s="5">
        <v>5</v>
      </c>
      <c r="G3938" s="19">
        <v>0</v>
      </c>
      <c r="H3938" s="5" t="s">
        <v>637</v>
      </c>
      <c r="I3938" s="10">
        <f>IF(OR(D3938="", F3938=""), "", F3938 * VLOOKUP(D3938, Products!A:E, 5, FALSE) * (1 - G3938))</f>
        <v>1352.25</v>
      </c>
      <c r="J3938" s="10"/>
    </row>
    <row r="3939" spans="1:10" ht="15.75" customHeight="1" x14ac:dyDescent="0.3">
      <c r="A3939" s="5" t="s">
        <v>4806</v>
      </c>
      <c r="B3939" s="11">
        <v>45622</v>
      </c>
      <c r="C3939" s="5" t="s">
        <v>662</v>
      </c>
      <c r="D3939" s="5" t="s">
        <v>206</v>
      </c>
      <c r="E3939" s="5" t="s">
        <v>21</v>
      </c>
      <c r="F3939" s="5">
        <v>3</v>
      </c>
      <c r="G3939" s="19">
        <v>0.05</v>
      </c>
      <c r="H3939" s="5" t="s">
        <v>776</v>
      </c>
      <c r="I3939" s="10">
        <f>IF(OR(D3939="", F3939=""), "", F3939 * VLOOKUP(D3939, Products!A:E, 5, FALSE) * (1 - G3939))</f>
        <v>868.42349999999988</v>
      </c>
      <c r="J3939" s="10"/>
    </row>
    <row r="3940" spans="1:10" ht="15.75" customHeight="1" x14ac:dyDescent="0.3">
      <c r="A3940" s="5" t="s">
        <v>4807</v>
      </c>
      <c r="B3940" s="11">
        <v>45666</v>
      </c>
      <c r="C3940" s="5" t="s">
        <v>758</v>
      </c>
      <c r="D3940" s="5" t="s">
        <v>119</v>
      </c>
      <c r="E3940" s="5" t="s">
        <v>37</v>
      </c>
      <c r="F3940" s="5">
        <v>5</v>
      </c>
      <c r="G3940" s="19">
        <v>0.15</v>
      </c>
      <c r="H3940" s="5" t="s">
        <v>454</v>
      </c>
      <c r="I3940" s="10">
        <f>IF(OR(D3940="", F3940=""), "", F3940 * VLOOKUP(D3940, Products!A:E, 5, FALSE) * (1 - G3940))</f>
        <v>4589.5325000000003</v>
      </c>
      <c r="J3940" s="10"/>
    </row>
    <row r="3941" spans="1:10" ht="15.75" customHeight="1" x14ac:dyDescent="0.3">
      <c r="A3941" s="5" t="s">
        <v>4808</v>
      </c>
      <c r="B3941" s="11">
        <v>45516</v>
      </c>
      <c r="C3941" s="5" t="s">
        <v>401</v>
      </c>
      <c r="D3941" s="5" t="s">
        <v>193</v>
      </c>
      <c r="E3941" s="5" t="s">
        <v>21</v>
      </c>
      <c r="F3941" s="5">
        <v>2</v>
      </c>
      <c r="G3941" s="19">
        <v>0</v>
      </c>
      <c r="H3941" s="5" t="s">
        <v>776</v>
      </c>
      <c r="I3941" s="10">
        <f>IF(OR(D3941="", F3941=""), "", F3941 * VLOOKUP(D3941, Products!A:E, 5, FALSE) * (1 - G3941))</f>
        <v>58.48</v>
      </c>
      <c r="J3941" s="10"/>
    </row>
    <row r="3942" spans="1:10" ht="15.75" customHeight="1" x14ac:dyDescent="0.3">
      <c r="A3942" s="5" t="s">
        <v>4809</v>
      </c>
      <c r="B3942" s="11">
        <v>45333</v>
      </c>
      <c r="C3942" s="5" t="s">
        <v>536</v>
      </c>
      <c r="D3942" s="5" t="s">
        <v>269</v>
      </c>
      <c r="E3942" s="5" t="s">
        <v>33</v>
      </c>
      <c r="F3942" s="5">
        <v>4</v>
      </c>
      <c r="G3942" s="19">
        <v>0.05</v>
      </c>
      <c r="H3942" s="5" t="s">
        <v>697</v>
      </c>
      <c r="I3942" s="10">
        <f>IF(OR(D3942="", F3942=""), "", F3942 * VLOOKUP(D3942, Products!A:E, 5, FALSE) * (1 - G3942))</f>
        <v>7140.503999999999</v>
      </c>
      <c r="J3942" s="10"/>
    </row>
    <row r="3943" spans="1:10" ht="15.75" customHeight="1" x14ac:dyDescent="0.3">
      <c r="A3943" s="5" t="s">
        <v>4810</v>
      </c>
      <c r="B3943" s="11">
        <v>45709</v>
      </c>
      <c r="C3943" s="5" t="s">
        <v>740</v>
      </c>
      <c r="D3943" s="5" t="s">
        <v>43</v>
      </c>
      <c r="E3943" s="5" t="s">
        <v>21</v>
      </c>
      <c r="F3943" s="5">
        <v>3</v>
      </c>
      <c r="G3943" s="19">
        <v>0.1</v>
      </c>
      <c r="H3943" s="5" t="s">
        <v>637</v>
      </c>
      <c r="I3943" s="10">
        <f>IF(OR(D3943="", F3943=""), "", F3943 * VLOOKUP(D3943, Products!A:E, 5, FALSE) * (1 - G3943))</f>
        <v>4518.9629999999997</v>
      </c>
      <c r="J3943" s="10"/>
    </row>
    <row r="3944" spans="1:10" ht="15.75" customHeight="1" x14ac:dyDescent="0.3">
      <c r="A3944" s="5" t="s">
        <v>4811</v>
      </c>
      <c r="B3944" s="11">
        <v>45636</v>
      </c>
      <c r="C3944" s="5" t="s">
        <v>488</v>
      </c>
      <c r="D3944" s="5" t="s">
        <v>153</v>
      </c>
      <c r="E3944" s="5" t="s">
        <v>37</v>
      </c>
      <c r="F3944" s="5">
        <v>5</v>
      </c>
      <c r="G3944" s="19">
        <v>0.15</v>
      </c>
      <c r="H3944" s="5" t="s">
        <v>454</v>
      </c>
      <c r="I3944" s="10">
        <f>IF(OR(D3944="", F3944=""), "", F3944 * VLOOKUP(D3944, Products!A:E, 5, FALSE) * (1 - G3944))</f>
        <v>6321.4925000000003</v>
      </c>
      <c r="J3944" s="10"/>
    </row>
    <row r="3945" spans="1:10" ht="15.75" customHeight="1" x14ac:dyDescent="0.3">
      <c r="A3945" s="5" t="s">
        <v>4812</v>
      </c>
      <c r="B3945" s="11">
        <v>45701</v>
      </c>
      <c r="C3945" s="5" t="s">
        <v>699</v>
      </c>
      <c r="D3945" s="5" t="s">
        <v>212</v>
      </c>
      <c r="E3945" s="5" t="s">
        <v>25</v>
      </c>
      <c r="F3945" s="5">
        <v>1</v>
      </c>
      <c r="G3945" s="19">
        <v>0.05</v>
      </c>
      <c r="H3945" s="5" t="s">
        <v>637</v>
      </c>
      <c r="I3945" s="10">
        <f>IF(OR(D3945="", F3945=""), "", F3945 * VLOOKUP(D3945, Products!A:E, 5, FALSE) * (1 - G3945))</f>
        <v>1709.0214999999998</v>
      </c>
      <c r="J3945" s="10"/>
    </row>
    <row r="3946" spans="1:10" ht="15.75" customHeight="1" x14ac:dyDescent="0.3">
      <c r="A3946" s="5" t="s">
        <v>4813</v>
      </c>
      <c r="B3946" s="11">
        <v>45305</v>
      </c>
      <c r="C3946" s="5" t="s">
        <v>466</v>
      </c>
      <c r="D3946" s="5" t="s">
        <v>122</v>
      </c>
      <c r="E3946" s="5" t="s">
        <v>25</v>
      </c>
      <c r="F3946" s="5">
        <v>4</v>
      </c>
      <c r="G3946" s="19">
        <v>0</v>
      </c>
      <c r="H3946" s="5" t="s">
        <v>697</v>
      </c>
      <c r="I3946" s="10">
        <f>IF(OR(D3946="", F3946=""), "", F3946 * VLOOKUP(D3946, Products!A:E, 5, FALSE) * (1 - G3946))</f>
        <v>7051.68</v>
      </c>
      <c r="J3946" s="10"/>
    </row>
    <row r="3947" spans="1:10" ht="15.75" customHeight="1" x14ac:dyDescent="0.3">
      <c r="A3947" s="5" t="s">
        <v>4814</v>
      </c>
      <c r="B3947" s="11">
        <v>45246</v>
      </c>
      <c r="C3947" s="5" t="s">
        <v>397</v>
      </c>
      <c r="D3947" s="5" t="s">
        <v>217</v>
      </c>
      <c r="E3947" s="5" t="s">
        <v>33</v>
      </c>
      <c r="F3947" s="5">
        <v>2</v>
      </c>
      <c r="G3947" s="19">
        <v>0</v>
      </c>
      <c r="H3947" s="5" t="s">
        <v>697</v>
      </c>
      <c r="I3947" s="10">
        <f>IF(OR(D3947="", F3947=""), "", F3947 * VLOOKUP(D3947, Products!A:E, 5, FALSE) * (1 - G3947))</f>
        <v>856.1</v>
      </c>
      <c r="J3947" s="10"/>
    </row>
    <row r="3948" spans="1:10" ht="15.75" customHeight="1" x14ac:dyDescent="0.3">
      <c r="A3948" s="5" t="s">
        <v>4815</v>
      </c>
      <c r="B3948" s="11">
        <v>45344</v>
      </c>
      <c r="C3948" s="5" t="s">
        <v>604</v>
      </c>
      <c r="D3948" s="5" t="s">
        <v>206</v>
      </c>
      <c r="E3948" s="5" t="s">
        <v>29</v>
      </c>
      <c r="F3948" s="5">
        <v>3</v>
      </c>
      <c r="G3948" s="19">
        <v>0.05</v>
      </c>
      <c r="H3948" s="5" t="s">
        <v>776</v>
      </c>
      <c r="I3948" s="10">
        <f>IF(OR(D3948="", F3948=""), "", F3948 * VLOOKUP(D3948, Products!A:E, 5, FALSE) * (1 - G3948))</f>
        <v>868.42349999999988</v>
      </c>
      <c r="J3948" s="10"/>
    </row>
    <row r="3949" spans="1:10" ht="15.75" customHeight="1" x14ac:dyDescent="0.3">
      <c r="A3949" s="5" t="s">
        <v>4816</v>
      </c>
      <c r="B3949" s="11">
        <v>45496</v>
      </c>
      <c r="C3949" s="5" t="s">
        <v>412</v>
      </c>
      <c r="D3949" s="5" t="s">
        <v>206</v>
      </c>
      <c r="E3949" s="5" t="s">
        <v>33</v>
      </c>
      <c r="F3949" s="5">
        <v>4</v>
      </c>
      <c r="G3949" s="19">
        <v>0</v>
      </c>
      <c r="H3949" s="5" t="s">
        <v>697</v>
      </c>
      <c r="I3949" s="10">
        <f>IF(OR(D3949="", F3949=""), "", F3949 * VLOOKUP(D3949, Products!A:E, 5, FALSE) * (1 - G3949))</f>
        <v>1218.8399999999999</v>
      </c>
      <c r="J3949" s="10"/>
    </row>
    <row r="3950" spans="1:10" ht="15.75" customHeight="1" x14ac:dyDescent="0.3">
      <c r="A3950" s="5" t="s">
        <v>4817</v>
      </c>
      <c r="B3950" s="11">
        <v>45456</v>
      </c>
      <c r="C3950" s="5" t="s">
        <v>16</v>
      </c>
      <c r="D3950" s="5" t="s">
        <v>162</v>
      </c>
      <c r="E3950" s="5" t="s">
        <v>33</v>
      </c>
      <c r="F3950" s="5">
        <v>1</v>
      </c>
      <c r="G3950" s="19">
        <v>0</v>
      </c>
      <c r="H3950" s="5" t="s">
        <v>454</v>
      </c>
      <c r="I3950" s="10">
        <f>IF(OR(D3950="", F3950=""), "", F3950 * VLOOKUP(D3950, Products!A:E, 5, FALSE) * (1 - G3950))</f>
        <v>429.15</v>
      </c>
      <c r="J3950" s="10"/>
    </row>
    <row r="3951" spans="1:10" ht="15.75" customHeight="1" x14ac:dyDescent="0.3">
      <c r="A3951" s="5" t="s">
        <v>4818</v>
      </c>
      <c r="B3951" s="11">
        <v>45293</v>
      </c>
      <c r="C3951" s="5" t="s">
        <v>317</v>
      </c>
      <c r="D3951" s="5" t="s">
        <v>291</v>
      </c>
      <c r="E3951" s="5" t="s">
        <v>25</v>
      </c>
      <c r="F3951" s="5">
        <v>5</v>
      </c>
      <c r="G3951" s="19">
        <v>0</v>
      </c>
      <c r="H3951" s="5" t="s">
        <v>697</v>
      </c>
      <c r="I3951" s="10">
        <f>IF(OR(D3951="", F3951=""), "", F3951 * VLOOKUP(D3951, Products!A:E, 5, FALSE) * (1 - G3951))</f>
        <v>5223.2000000000007</v>
      </c>
      <c r="J3951" s="10"/>
    </row>
    <row r="3952" spans="1:10" ht="15.75" customHeight="1" x14ac:dyDescent="0.3">
      <c r="A3952" s="5" t="s">
        <v>4819</v>
      </c>
      <c r="B3952" s="11">
        <v>45269</v>
      </c>
      <c r="C3952" s="5" t="s">
        <v>346</v>
      </c>
      <c r="D3952" s="5" t="s">
        <v>243</v>
      </c>
      <c r="E3952" s="5" t="s">
        <v>33</v>
      </c>
      <c r="F3952" s="5">
        <v>2</v>
      </c>
      <c r="G3952" s="19">
        <v>0</v>
      </c>
      <c r="H3952" s="5" t="s">
        <v>697</v>
      </c>
      <c r="I3952" s="10">
        <f>IF(OR(D3952="", F3952=""), "", F3952 * VLOOKUP(D3952, Products!A:E, 5, FALSE) * (1 - G3952))</f>
        <v>1081.8800000000001</v>
      </c>
      <c r="J3952" s="10"/>
    </row>
    <row r="3953" spans="1:10" ht="15.75" customHeight="1" x14ac:dyDescent="0.3">
      <c r="A3953" s="5" t="s">
        <v>4820</v>
      </c>
      <c r="B3953" s="11">
        <v>45696</v>
      </c>
      <c r="C3953" s="5" t="s">
        <v>181</v>
      </c>
      <c r="D3953" s="5" t="s">
        <v>256</v>
      </c>
      <c r="E3953" s="5" t="s">
        <v>29</v>
      </c>
      <c r="F3953" s="5">
        <v>5</v>
      </c>
      <c r="G3953" s="19">
        <v>0</v>
      </c>
      <c r="H3953" s="5" t="s">
        <v>637</v>
      </c>
      <c r="I3953" s="10">
        <f>IF(OR(D3953="", F3953=""), "", F3953 * VLOOKUP(D3953, Products!A:E, 5, FALSE) * (1 - G3953))</f>
        <v>8175.05</v>
      </c>
      <c r="J3953" s="10"/>
    </row>
    <row r="3954" spans="1:10" ht="15.75" customHeight="1" x14ac:dyDescent="0.3">
      <c r="A3954" s="5" t="s">
        <v>4821</v>
      </c>
      <c r="B3954" s="11">
        <v>45213</v>
      </c>
      <c r="C3954" s="5" t="s">
        <v>833</v>
      </c>
      <c r="D3954" s="5" t="s">
        <v>50</v>
      </c>
      <c r="E3954" s="5" t="s">
        <v>21</v>
      </c>
      <c r="F3954" s="5">
        <v>3</v>
      </c>
      <c r="G3954" s="19">
        <v>0</v>
      </c>
      <c r="H3954" s="5" t="s">
        <v>637</v>
      </c>
      <c r="I3954" s="10">
        <f>IF(OR(D3954="", F3954=""), "", F3954 * VLOOKUP(D3954, Products!A:E, 5, FALSE) * (1 - G3954))</f>
        <v>1012.89</v>
      </c>
      <c r="J3954" s="10"/>
    </row>
    <row r="3955" spans="1:10" ht="15.75" customHeight="1" x14ac:dyDescent="0.3">
      <c r="A3955" s="5" t="s">
        <v>4822</v>
      </c>
      <c r="B3955" s="11">
        <v>45232</v>
      </c>
      <c r="C3955" s="5" t="s">
        <v>240</v>
      </c>
      <c r="D3955" s="5" t="s">
        <v>262</v>
      </c>
      <c r="E3955" s="5" t="s">
        <v>21</v>
      </c>
      <c r="F3955" s="5">
        <v>5</v>
      </c>
      <c r="G3955" s="19">
        <v>0.15</v>
      </c>
      <c r="H3955" s="5" t="s">
        <v>697</v>
      </c>
      <c r="I3955" s="10">
        <f>IF(OR(D3955="", F3955=""), "", F3955 * VLOOKUP(D3955, Products!A:E, 5, FALSE) * (1 - G3955))</f>
        <v>1927.8849999999998</v>
      </c>
      <c r="J3955" s="10"/>
    </row>
    <row r="3956" spans="1:10" ht="15.75" customHeight="1" x14ac:dyDescent="0.3">
      <c r="A3956" s="5" t="s">
        <v>4823</v>
      </c>
      <c r="B3956" s="11">
        <v>45633</v>
      </c>
      <c r="C3956" s="5" t="s">
        <v>674</v>
      </c>
      <c r="D3956" s="5" t="s">
        <v>206</v>
      </c>
      <c r="E3956" s="5" t="s">
        <v>29</v>
      </c>
      <c r="F3956" s="5">
        <v>3</v>
      </c>
      <c r="G3956" s="19">
        <v>0</v>
      </c>
      <c r="H3956" s="5" t="s">
        <v>454</v>
      </c>
      <c r="I3956" s="10">
        <f>IF(OR(D3956="", F3956=""), "", F3956 * VLOOKUP(D3956, Products!A:E, 5, FALSE) * (1 - G3956))</f>
        <v>914.12999999999988</v>
      </c>
      <c r="J3956" s="10"/>
    </row>
    <row r="3957" spans="1:10" ht="15.75" customHeight="1" x14ac:dyDescent="0.3">
      <c r="A3957" s="5" t="s">
        <v>4824</v>
      </c>
      <c r="B3957" s="11">
        <v>45602</v>
      </c>
      <c r="C3957" s="5" t="s">
        <v>703</v>
      </c>
      <c r="D3957" s="5" t="s">
        <v>285</v>
      </c>
      <c r="E3957" s="5" t="s">
        <v>33</v>
      </c>
      <c r="F3957" s="5">
        <v>4</v>
      </c>
      <c r="G3957" s="19">
        <v>0.05</v>
      </c>
      <c r="H3957" s="5" t="s">
        <v>776</v>
      </c>
      <c r="I3957" s="10">
        <f>IF(OR(D3957="", F3957=""), "", F3957 * VLOOKUP(D3957, Products!A:E, 5, FALSE) * (1 - G3957))</f>
        <v>1475.3879999999999</v>
      </c>
      <c r="J3957" s="10"/>
    </row>
    <row r="3958" spans="1:10" ht="15.75" customHeight="1" x14ac:dyDescent="0.3">
      <c r="A3958" s="5" t="s">
        <v>4825</v>
      </c>
      <c r="B3958" s="11">
        <v>45677</v>
      </c>
      <c r="C3958" s="5" t="s">
        <v>532</v>
      </c>
      <c r="D3958" s="5" t="s">
        <v>119</v>
      </c>
      <c r="E3958" s="5" t="s">
        <v>37</v>
      </c>
      <c r="F3958" s="5">
        <v>5</v>
      </c>
      <c r="G3958" s="19">
        <v>0</v>
      </c>
      <c r="H3958" s="5" t="s">
        <v>776</v>
      </c>
      <c r="I3958" s="10">
        <f>IF(OR(D3958="", F3958=""), "", F3958 * VLOOKUP(D3958, Products!A:E, 5, FALSE) * (1 - G3958))</f>
        <v>5399.4500000000007</v>
      </c>
      <c r="J3958" s="10"/>
    </row>
    <row r="3959" spans="1:10" ht="15.75" customHeight="1" x14ac:dyDescent="0.3">
      <c r="A3959" s="5" t="s">
        <v>4826</v>
      </c>
      <c r="B3959" s="11">
        <v>45767</v>
      </c>
      <c r="C3959" s="5" t="s">
        <v>799</v>
      </c>
      <c r="D3959" s="5" t="s">
        <v>89</v>
      </c>
      <c r="E3959" s="5" t="s">
        <v>29</v>
      </c>
      <c r="F3959" s="5">
        <v>2</v>
      </c>
      <c r="G3959" s="19">
        <v>0.15</v>
      </c>
      <c r="H3959" s="5" t="s">
        <v>697</v>
      </c>
      <c r="I3959" s="10">
        <f>IF(OR(D3959="", F3959=""), "", F3959 * VLOOKUP(D3959, Products!A:E, 5, FALSE) * (1 - G3959))</f>
        <v>1929.1599999999999</v>
      </c>
      <c r="J3959" s="10"/>
    </row>
    <row r="3960" spans="1:10" ht="15.75" customHeight="1" x14ac:dyDescent="0.3">
      <c r="A3960" s="5" t="s">
        <v>4827</v>
      </c>
      <c r="B3960" s="11">
        <v>45642</v>
      </c>
      <c r="C3960" s="5" t="s">
        <v>181</v>
      </c>
      <c r="D3960" s="5" t="s">
        <v>168</v>
      </c>
      <c r="E3960" s="5" t="s">
        <v>37</v>
      </c>
      <c r="F3960" s="5">
        <v>4</v>
      </c>
      <c r="G3960" s="19">
        <v>0.05</v>
      </c>
      <c r="H3960" s="5" t="s">
        <v>637</v>
      </c>
      <c r="I3960" s="10">
        <f>IF(OR(D3960="", F3960=""), "", F3960 * VLOOKUP(D3960, Products!A:E, 5, FALSE) * (1 - G3960))</f>
        <v>3859.8879999999999</v>
      </c>
      <c r="J3960" s="10"/>
    </row>
    <row r="3961" spans="1:10" ht="15.75" customHeight="1" x14ac:dyDescent="0.3">
      <c r="A3961" s="5" t="s">
        <v>4828</v>
      </c>
      <c r="B3961" s="11">
        <v>45342</v>
      </c>
      <c r="C3961" s="5" t="s">
        <v>330</v>
      </c>
      <c r="D3961" s="5" t="s">
        <v>180</v>
      </c>
      <c r="E3961" s="5" t="s">
        <v>37</v>
      </c>
      <c r="F3961" s="5">
        <v>3</v>
      </c>
      <c r="G3961" s="19">
        <v>0.1</v>
      </c>
      <c r="H3961" s="5" t="s">
        <v>454</v>
      </c>
      <c r="I3961" s="10">
        <f>IF(OR(D3961="", F3961=""), "", F3961 * VLOOKUP(D3961, Products!A:E, 5, FALSE) * (1 - G3961))</f>
        <v>1819.2059999999999</v>
      </c>
      <c r="J3961" s="10"/>
    </row>
    <row r="3962" spans="1:10" ht="15.75" customHeight="1" x14ac:dyDescent="0.3">
      <c r="A3962" s="5" t="s">
        <v>4829</v>
      </c>
      <c r="B3962" s="11">
        <v>45271</v>
      </c>
      <c r="C3962" s="5" t="s">
        <v>159</v>
      </c>
      <c r="D3962" s="5" t="s">
        <v>82</v>
      </c>
      <c r="E3962" s="5" t="s">
        <v>21</v>
      </c>
      <c r="F3962" s="5">
        <v>5</v>
      </c>
      <c r="G3962" s="19">
        <v>0.05</v>
      </c>
      <c r="H3962" s="5" t="s">
        <v>697</v>
      </c>
      <c r="I3962" s="10">
        <f>IF(OR(D3962="", F3962=""), "", F3962 * VLOOKUP(D3962, Products!A:E, 5, FALSE) * (1 - G3962))</f>
        <v>5667.1774999999998</v>
      </c>
      <c r="J3962" s="10"/>
    </row>
    <row r="3963" spans="1:10" ht="15.75" customHeight="1" x14ac:dyDescent="0.3">
      <c r="A3963" s="5" t="s">
        <v>4830</v>
      </c>
      <c r="B3963" s="11">
        <v>45323</v>
      </c>
      <c r="C3963" s="5" t="s">
        <v>829</v>
      </c>
      <c r="D3963" s="5" t="s">
        <v>175</v>
      </c>
      <c r="E3963" s="5" t="s">
        <v>33</v>
      </c>
      <c r="F3963" s="5">
        <v>2</v>
      </c>
      <c r="G3963" s="19">
        <v>0</v>
      </c>
      <c r="H3963" s="5" t="s">
        <v>776</v>
      </c>
      <c r="I3963" s="10">
        <f>IF(OR(D3963="", F3963=""), "", F3963 * VLOOKUP(D3963, Products!A:E, 5, FALSE) * (1 - G3963))</f>
        <v>2544.46</v>
      </c>
      <c r="J3963" s="10"/>
    </row>
    <row r="3964" spans="1:10" ht="15.75" customHeight="1" x14ac:dyDescent="0.3">
      <c r="A3964" s="5" t="s">
        <v>4831</v>
      </c>
      <c r="B3964" s="11">
        <v>45454</v>
      </c>
      <c r="C3964" s="5" t="s">
        <v>334</v>
      </c>
      <c r="D3964" s="5" t="s">
        <v>57</v>
      </c>
      <c r="E3964" s="5" t="s">
        <v>37</v>
      </c>
      <c r="F3964" s="5">
        <v>2</v>
      </c>
      <c r="G3964" s="19">
        <v>0.1</v>
      </c>
      <c r="H3964" s="5" t="s">
        <v>697</v>
      </c>
      <c r="I3964" s="10">
        <f>IF(OR(D3964="", F3964=""), "", F3964 * VLOOKUP(D3964, Products!A:E, 5, FALSE) * (1 - G3964))</f>
        <v>2513.1959999999999</v>
      </c>
      <c r="J3964" s="10"/>
    </row>
    <row r="3965" spans="1:10" ht="15.75" customHeight="1" x14ac:dyDescent="0.3">
      <c r="A3965" s="5" t="s">
        <v>4832</v>
      </c>
      <c r="B3965" s="11">
        <v>45504</v>
      </c>
      <c r="C3965" s="5" t="s">
        <v>750</v>
      </c>
      <c r="D3965" s="5" t="s">
        <v>109</v>
      </c>
      <c r="E3965" s="5" t="s">
        <v>25</v>
      </c>
      <c r="F3965" s="5">
        <v>2</v>
      </c>
      <c r="G3965" s="19">
        <v>0.05</v>
      </c>
      <c r="H3965" s="5" t="s">
        <v>776</v>
      </c>
      <c r="I3965" s="10">
        <f>IF(OR(D3965="", F3965=""), "", F3965 * VLOOKUP(D3965, Products!A:E, 5, FALSE) * (1 - G3965))</f>
        <v>3531.625</v>
      </c>
      <c r="J3965" s="10"/>
    </row>
    <row r="3966" spans="1:10" ht="15.75" customHeight="1" x14ac:dyDescent="0.3">
      <c r="A3966" s="5" t="s">
        <v>4833</v>
      </c>
      <c r="B3966" s="11">
        <v>45583</v>
      </c>
      <c r="C3966" s="5" t="s">
        <v>409</v>
      </c>
      <c r="D3966" s="5" t="s">
        <v>147</v>
      </c>
      <c r="E3966" s="5" t="s">
        <v>21</v>
      </c>
      <c r="F3966" s="5">
        <v>3</v>
      </c>
      <c r="G3966" s="19">
        <v>0.1</v>
      </c>
      <c r="H3966" s="5" t="s">
        <v>637</v>
      </c>
      <c r="I3966" s="10">
        <f>IF(OR(D3966="", F3966=""), "", F3966 * VLOOKUP(D3966, Products!A:E, 5, FALSE) * (1 - G3966))</f>
        <v>5071.8689999999997</v>
      </c>
      <c r="J3966" s="10"/>
    </row>
    <row r="3967" spans="1:10" ht="15.75" customHeight="1" x14ac:dyDescent="0.3">
      <c r="A3967" s="5" t="s">
        <v>4834</v>
      </c>
      <c r="B3967" s="11">
        <v>45479</v>
      </c>
      <c r="C3967" s="5" t="s">
        <v>437</v>
      </c>
      <c r="D3967" s="5" t="s">
        <v>153</v>
      </c>
      <c r="E3967" s="5" t="s">
        <v>25</v>
      </c>
      <c r="F3967" s="5">
        <v>2</v>
      </c>
      <c r="G3967" s="19">
        <v>0</v>
      </c>
      <c r="H3967" s="5" t="s">
        <v>776</v>
      </c>
      <c r="I3967" s="10">
        <f>IF(OR(D3967="", F3967=""), "", F3967 * VLOOKUP(D3967, Products!A:E, 5, FALSE) * (1 - G3967))</f>
        <v>2974.82</v>
      </c>
      <c r="J3967" s="10"/>
    </row>
    <row r="3968" spans="1:10" ht="15.75" customHeight="1" x14ac:dyDescent="0.3">
      <c r="A3968" s="5" t="s">
        <v>4835</v>
      </c>
      <c r="B3968" s="11">
        <v>45575</v>
      </c>
      <c r="C3968" s="5" t="s">
        <v>567</v>
      </c>
      <c r="D3968" s="5" t="s">
        <v>54</v>
      </c>
      <c r="E3968" s="5" t="s">
        <v>29</v>
      </c>
      <c r="F3968" s="5">
        <v>5</v>
      </c>
      <c r="G3968" s="19">
        <v>0.05</v>
      </c>
      <c r="H3968" s="5" t="s">
        <v>776</v>
      </c>
      <c r="I3968" s="10">
        <f>IF(OR(D3968="", F3968=""), "", F3968 * VLOOKUP(D3968, Products!A:E, 5, FALSE) * (1 - G3968))</f>
        <v>8805.4074999999993</v>
      </c>
      <c r="J3968" s="10"/>
    </row>
    <row r="3969" spans="1:10" ht="15.75" customHeight="1" x14ac:dyDescent="0.3">
      <c r="A3969" s="5" t="s">
        <v>4836</v>
      </c>
      <c r="B3969" s="11">
        <v>45772</v>
      </c>
      <c r="C3969" s="5" t="s">
        <v>789</v>
      </c>
      <c r="D3969" s="5" t="s">
        <v>50</v>
      </c>
      <c r="E3969" s="5" t="s">
        <v>25</v>
      </c>
      <c r="F3969" s="5">
        <v>1</v>
      </c>
      <c r="G3969" s="19">
        <v>0.05</v>
      </c>
      <c r="H3969" s="5" t="s">
        <v>776</v>
      </c>
      <c r="I3969" s="10">
        <f>IF(OR(D3969="", F3969=""), "", F3969 * VLOOKUP(D3969, Products!A:E, 5, FALSE) * (1 - G3969))</f>
        <v>320.74849999999998</v>
      </c>
      <c r="J3969" s="10"/>
    </row>
    <row r="3970" spans="1:10" ht="15.75" customHeight="1" x14ac:dyDescent="0.3">
      <c r="A3970" s="5" t="s">
        <v>4837</v>
      </c>
      <c r="B3970" s="11">
        <v>45259</v>
      </c>
      <c r="C3970" s="5" t="s">
        <v>755</v>
      </c>
      <c r="D3970" s="5" t="s">
        <v>168</v>
      </c>
      <c r="E3970" s="5" t="s">
        <v>25</v>
      </c>
      <c r="F3970" s="5">
        <v>1</v>
      </c>
      <c r="G3970" s="19">
        <v>0.1</v>
      </c>
      <c r="H3970" s="5" t="s">
        <v>697</v>
      </c>
      <c r="I3970" s="10">
        <f>IF(OR(D3970="", F3970=""), "", F3970 * VLOOKUP(D3970, Products!A:E, 5, FALSE) * (1 - G3970))</f>
        <v>914.18399999999997</v>
      </c>
      <c r="J3970" s="10"/>
    </row>
    <row r="3971" spans="1:10" ht="15.75" customHeight="1" x14ac:dyDescent="0.3">
      <c r="A3971" s="5" t="s">
        <v>4838</v>
      </c>
      <c r="B3971" s="11">
        <v>45385</v>
      </c>
      <c r="C3971" s="5" t="s">
        <v>376</v>
      </c>
      <c r="D3971" s="5" t="s">
        <v>175</v>
      </c>
      <c r="E3971" s="5" t="s">
        <v>25</v>
      </c>
      <c r="F3971" s="5">
        <v>2</v>
      </c>
      <c r="G3971" s="19">
        <v>0.15</v>
      </c>
      <c r="H3971" s="5" t="s">
        <v>637</v>
      </c>
      <c r="I3971" s="10">
        <f>IF(OR(D3971="", F3971=""), "", F3971 * VLOOKUP(D3971, Products!A:E, 5, FALSE) * (1 - G3971))</f>
        <v>2162.7910000000002</v>
      </c>
      <c r="J3971" s="10"/>
    </row>
    <row r="3972" spans="1:10" ht="15.75" customHeight="1" x14ac:dyDescent="0.3">
      <c r="A3972" s="5" t="s">
        <v>4839</v>
      </c>
      <c r="B3972" s="11">
        <v>45274</v>
      </c>
      <c r="C3972" s="5" t="s">
        <v>511</v>
      </c>
      <c r="D3972" s="5" t="s">
        <v>188</v>
      </c>
      <c r="E3972" s="5" t="s">
        <v>25</v>
      </c>
      <c r="F3972" s="5">
        <v>1</v>
      </c>
      <c r="G3972" s="19">
        <v>0.05</v>
      </c>
      <c r="H3972" s="5" t="s">
        <v>454</v>
      </c>
      <c r="I3972" s="10">
        <f>IF(OR(D3972="", F3972=""), "", F3972 * VLOOKUP(D3972, Products!A:E, 5, FALSE) * (1 - G3972))</f>
        <v>1410.7974999999999</v>
      </c>
      <c r="J3972" s="10"/>
    </row>
    <row r="3973" spans="1:10" ht="15.75" customHeight="1" x14ac:dyDescent="0.3">
      <c r="A3973" s="5" t="s">
        <v>4840</v>
      </c>
      <c r="B3973" s="11">
        <v>45853</v>
      </c>
      <c r="C3973" s="5" t="s">
        <v>826</v>
      </c>
      <c r="D3973" s="5" t="s">
        <v>147</v>
      </c>
      <c r="E3973" s="5" t="s">
        <v>25</v>
      </c>
      <c r="F3973" s="5">
        <v>1</v>
      </c>
      <c r="G3973" s="19">
        <v>0.05</v>
      </c>
      <c r="H3973" s="5" t="s">
        <v>776</v>
      </c>
      <c r="I3973" s="10">
        <f>IF(OR(D3973="", F3973=""), "", F3973 * VLOOKUP(D3973, Products!A:E, 5, FALSE) * (1 - G3973))</f>
        <v>1784.5464999999999</v>
      </c>
      <c r="J3973" s="10"/>
    </row>
    <row r="3974" spans="1:10" ht="15.75" customHeight="1" x14ac:dyDescent="0.3">
      <c r="A3974" s="5" t="s">
        <v>4841</v>
      </c>
      <c r="B3974" s="11">
        <v>45544</v>
      </c>
      <c r="C3974" s="5" t="s">
        <v>563</v>
      </c>
      <c r="D3974" s="5" t="s">
        <v>269</v>
      </c>
      <c r="E3974" s="5" t="s">
        <v>29</v>
      </c>
      <c r="F3974" s="5">
        <v>1</v>
      </c>
      <c r="G3974" s="19">
        <v>0.15</v>
      </c>
      <c r="H3974" s="5" t="s">
        <v>454</v>
      </c>
      <c r="I3974" s="10">
        <f>IF(OR(D3974="", F3974=""), "", F3974 * VLOOKUP(D3974, Products!A:E, 5, FALSE) * (1 - G3974))</f>
        <v>1597.2179999999998</v>
      </c>
      <c r="J3974" s="10"/>
    </row>
    <row r="3975" spans="1:10" ht="15.75" customHeight="1" x14ac:dyDescent="0.3">
      <c r="A3975" s="5" t="s">
        <v>4842</v>
      </c>
      <c r="B3975" s="11">
        <v>45269</v>
      </c>
      <c r="C3975" s="5" t="s">
        <v>546</v>
      </c>
      <c r="D3975" s="5" t="s">
        <v>95</v>
      </c>
      <c r="E3975" s="5" t="s">
        <v>25</v>
      </c>
      <c r="F3975" s="5">
        <v>1</v>
      </c>
      <c r="G3975" s="19">
        <v>0</v>
      </c>
      <c r="H3975" s="5" t="s">
        <v>454</v>
      </c>
      <c r="I3975" s="10">
        <f>IF(OR(D3975="", F3975=""), "", F3975 * VLOOKUP(D3975, Products!A:E, 5, FALSE) * (1 - G3975))</f>
        <v>1342.75</v>
      </c>
      <c r="J3975" s="10"/>
    </row>
    <row r="3976" spans="1:10" ht="15.75" customHeight="1" x14ac:dyDescent="0.3">
      <c r="A3976" s="5" t="s">
        <v>4843</v>
      </c>
      <c r="B3976" s="11">
        <v>45791</v>
      </c>
      <c r="C3976" s="5" t="s">
        <v>826</v>
      </c>
      <c r="D3976" s="5" t="s">
        <v>128</v>
      </c>
      <c r="E3976" s="5" t="s">
        <v>37</v>
      </c>
      <c r="F3976" s="5">
        <v>2</v>
      </c>
      <c r="G3976" s="19">
        <v>0.15</v>
      </c>
      <c r="H3976" s="5" t="s">
        <v>637</v>
      </c>
      <c r="I3976" s="10">
        <f>IF(OR(D3976="", F3976=""), "", F3976 * VLOOKUP(D3976, Products!A:E, 5, FALSE) * (1 - G3976))</f>
        <v>550.66399999999999</v>
      </c>
      <c r="J3976" s="10"/>
    </row>
    <row r="3977" spans="1:10" ht="15.75" customHeight="1" x14ac:dyDescent="0.3">
      <c r="A3977" s="5" t="s">
        <v>4844</v>
      </c>
      <c r="B3977" s="11">
        <v>45841</v>
      </c>
      <c r="C3977" s="5" t="s">
        <v>604</v>
      </c>
      <c r="D3977" s="5" t="s">
        <v>226</v>
      </c>
      <c r="E3977" s="5" t="s">
        <v>29</v>
      </c>
      <c r="F3977" s="5">
        <v>4</v>
      </c>
      <c r="G3977" s="19">
        <v>0</v>
      </c>
      <c r="H3977" s="5" t="s">
        <v>697</v>
      </c>
      <c r="I3977" s="10">
        <f>IF(OR(D3977="", F3977=""), "", F3977 * VLOOKUP(D3977, Products!A:E, 5, FALSE) * (1 - G3977))</f>
        <v>6005.84</v>
      </c>
      <c r="J3977" s="10"/>
    </row>
    <row r="3978" spans="1:10" ht="15.75" customHeight="1" x14ac:dyDescent="0.3">
      <c r="A3978" s="5" t="s">
        <v>4845</v>
      </c>
      <c r="B3978" s="11">
        <v>45438</v>
      </c>
      <c r="C3978" s="5" t="s">
        <v>281</v>
      </c>
      <c r="D3978" s="5" t="s">
        <v>249</v>
      </c>
      <c r="E3978" s="5" t="s">
        <v>21</v>
      </c>
      <c r="F3978" s="5">
        <v>1</v>
      </c>
      <c r="G3978" s="19">
        <v>0.05</v>
      </c>
      <c r="H3978" s="5" t="s">
        <v>776</v>
      </c>
      <c r="I3978" s="10">
        <f>IF(OR(D3978="", F3978=""), "", F3978 * VLOOKUP(D3978, Products!A:E, 5, FALSE) * (1 - G3978))</f>
        <v>1658.3294999999998</v>
      </c>
      <c r="J3978" s="10"/>
    </row>
    <row r="3979" spans="1:10" ht="15.75" customHeight="1" x14ac:dyDescent="0.3">
      <c r="A3979" s="5" t="s">
        <v>4846</v>
      </c>
      <c r="B3979" s="11">
        <v>45701</v>
      </c>
      <c r="C3979" s="5" t="s">
        <v>563</v>
      </c>
      <c r="D3979" s="5" t="s">
        <v>115</v>
      </c>
      <c r="E3979" s="5" t="s">
        <v>21</v>
      </c>
      <c r="F3979" s="5">
        <v>4</v>
      </c>
      <c r="G3979" s="19">
        <v>0.1</v>
      </c>
      <c r="H3979" s="5" t="s">
        <v>637</v>
      </c>
      <c r="I3979" s="10">
        <f>IF(OR(D3979="", F3979=""), "", F3979 * VLOOKUP(D3979, Products!A:E, 5, FALSE) * (1 - G3979))</f>
        <v>4485.9960000000001</v>
      </c>
      <c r="J3979" s="10"/>
    </row>
    <row r="3980" spans="1:10" ht="15.75" customHeight="1" x14ac:dyDescent="0.3">
      <c r="A3980" s="5" t="s">
        <v>4847</v>
      </c>
      <c r="B3980" s="11">
        <v>45339</v>
      </c>
      <c r="C3980" s="5" t="s">
        <v>733</v>
      </c>
      <c r="D3980" s="5" t="s">
        <v>122</v>
      </c>
      <c r="E3980" s="5" t="s">
        <v>21</v>
      </c>
      <c r="F3980" s="5">
        <v>2</v>
      </c>
      <c r="G3980" s="19">
        <v>0.05</v>
      </c>
      <c r="H3980" s="5" t="s">
        <v>776</v>
      </c>
      <c r="I3980" s="10">
        <f>IF(OR(D3980="", F3980=""), "", F3980 * VLOOKUP(D3980, Products!A:E, 5, FALSE) * (1 - G3980))</f>
        <v>3349.5479999999998</v>
      </c>
      <c r="J3980" s="10"/>
    </row>
    <row r="3981" spans="1:10" ht="15.75" customHeight="1" x14ac:dyDescent="0.3">
      <c r="A3981" s="5" t="s">
        <v>4848</v>
      </c>
      <c r="B3981" s="11">
        <v>45712</v>
      </c>
      <c r="C3981" s="5" t="s">
        <v>121</v>
      </c>
      <c r="D3981" s="5" t="s">
        <v>221</v>
      </c>
      <c r="E3981" s="5" t="s">
        <v>29</v>
      </c>
      <c r="F3981" s="5">
        <v>2</v>
      </c>
      <c r="G3981" s="19">
        <v>0.1</v>
      </c>
      <c r="H3981" s="5" t="s">
        <v>776</v>
      </c>
      <c r="I3981" s="10">
        <f>IF(OR(D3981="", F3981=""), "", F3981 * VLOOKUP(D3981, Products!A:E, 5, FALSE) * (1 - G3981))</f>
        <v>2812.3740000000003</v>
      </c>
      <c r="J3981" s="10"/>
    </row>
    <row r="3982" spans="1:10" ht="15.75" customHeight="1" x14ac:dyDescent="0.3">
      <c r="A3982" s="5" t="s">
        <v>4849</v>
      </c>
      <c r="B3982" s="11">
        <v>45560</v>
      </c>
      <c r="C3982" s="5" t="s">
        <v>744</v>
      </c>
      <c r="D3982" s="5" t="s">
        <v>200</v>
      </c>
      <c r="E3982" s="5" t="s">
        <v>33</v>
      </c>
      <c r="F3982" s="5">
        <v>4</v>
      </c>
      <c r="G3982" s="19">
        <v>0.05</v>
      </c>
      <c r="H3982" s="5" t="s">
        <v>697</v>
      </c>
      <c r="I3982" s="10">
        <f>IF(OR(D3982="", F3982=""), "", F3982 * VLOOKUP(D3982, Products!A:E, 5, FALSE) * (1 - G3982))</f>
        <v>4163.7359999999999</v>
      </c>
      <c r="J3982" s="10"/>
    </row>
    <row r="3983" spans="1:10" ht="15.75" customHeight="1" x14ac:dyDescent="0.3">
      <c r="A3983" s="5" t="s">
        <v>4850</v>
      </c>
      <c r="B3983" s="11">
        <v>45462</v>
      </c>
      <c r="C3983" s="5" t="s">
        <v>703</v>
      </c>
      <c r="D3983" s="5" t="s">
        <v>89</v>
      </c>
      <c r="E3983" s="5" t="s">
        <v>21</v>
      </c>
      <c r="F3983" s="5">
        <v>2</v>
      </c>
      <c r="G3983" s="19">
        <v>0</v>
      </c>
      <c r="H3983" s="5" t="s">
        <v>637</v>
      </c>
      <c r="I3983" s="10">
        <f>IF(OR(D3983="", F3983=""), "", F3983 * VLOOKUP(D3983, Products!A:E, 5, FALSE) * (1 - G3983))</f>
        <v>2269.6</v>
      </c>
      <c r="J3983" s="10"/>
    </row>
    <row r="3984" spans="1:10" ht="15.75" customHeight="1" x14ac:dyDescent="0.3">
      <c r="A3984" s="5" t="s">
        <v>4851</v>
      </c>
      <c r="B3984" s="11">
        <v>45772</v>
      </c>
      <c r="C3984" s="5" t="s">
        <v>628</v>
      </c>
      <c r="D3984" s="5" t="s">
        <v>122</v>
      </c>
      <c r="E3984" s="5" t="s">
        <v>21</v>
      </c>
      <c r="F3984" s="5">
        <v>5</v>
      </c>
      <c r="G3984" s="19">
        <v>0</v>
      </c>
      <c r="H3984" s="5" t="s">
        <v>454</v>
      </c>
      <c r="I3984" s="10">
        <f>IF(OR(D3984="", F3984=""), "", F3984 * VLOOKUP(D3984, Products!A:E, 5, FALSE) * (1 - G3984))</f>
        <v>8814.6</v>
      </c>
      <c r="J3984" s="10"/>
    </row>
    <row r="3985" spans="1:10" ht="15.75" customHeight="1" x14ac:dyDescent="0.3">
      <c r="A3985" s="5" t="s">
        <v>4852</v>
      </c>
      <c r="B3985" s="11">
        <v>45336</v>
      </c>
      <c r="C3985" s="5" t="s">
        <v>554</v>
      </c>
      <c r="D3985" s="5" t="s">
        <v>243</v>
      </c>
      <c r="E3985" s="5" t="s">
        <v>37</v>
      </c>
      <c r="F3985" s="5">
        <v>3</v>
      </c>
      <c r="G3985" s="19">
        <v>0.15</v>
      </c>
      <c r="H3985" s="5" t="s">
        <v>637</v>
      </c>
      <c r="I3985" s="10">
        <f>IF(OR(D3985="", F3985=""), "", F3985 * VLOOKUP(D3985, Products!A:E, 5, FALSE) * (1 - G3985))</f>
        <v>1379.3970000000002</v>
      </c>
      <c r="J3985" s="10"/>
    </row>
    <row r="3986" spans="1:10" ht="15.75" customHeight="1" x14ac:dyDescent="0.3">
      <c r="A3986" s="5" t="s">
        <v>4853</v>
      </c>
      <c r="B3986" s="11">
        <v>45186</v>
      </c>
      <c r="C3986" s="5" t="s">
        <v>604</v>
      </c>
      <c r="D3986" s="5" t="s">
        <v>103</v>
      </c>
      <c r="E3986" s="5" t="s">
        <v>21</v>
      </c>
      <c r="F3986" s="5">
        <v>4</v>
      </c>
      <c r="G3986" s="19">
        <v>0.05</v>
      </c>
      <c r="H3986" s="5" t="s">
        <v>637</v>
      </c>
      <c r="I3986" s="10">
        <f>IF(OR(D3986="", F3986=""), "", F3986 * VLOOKUP(D3986, Products!A:E, 5, FALSE) * (1 - G3986))</f>
        <v>1027.7099999999998</v>
      </c>
      <c r="J3986" s="10"/>
    </row>
    <row r="3987" spans="1:10" ht="15.75" customHeight="1" x14ac:dyDescent="0.3">
      <c r="A3987" s="5" t="s">
        <v>4854</v>
      </c>
      <c r="B3987" s="11">
        <v>45480</v>
      </c>
      <c r="C3987" s="5" t="s">
        <v>308</v>
      </c>
      <c r="D3987" s="5" t="s">
        <v>153</v>
      </c>
      <c r="E3987" s="5" t="s">
        <v>21</v>
      </c>
      <c r="F3987" s="5">
        <v>5</v>
      </c>
      <c r="G3987" s="19">
        <v>0.15</v>
      </c>
      <c r="H3987" s="5" t="s">
        <v>454</v>
      </c>
      <c r="I3987" s="10">
        <f>IF(OR(D3987="", F3987=""), "", F3987 * VLOOKUP(D3987, Products!A:E, 5, FALSE) * (1 - G3987))</f>
        <v>6321.4925000000003</v>
      </c>
      <c r="J3987" s="10"/>
    </row>
    <row r="3988" spans="1:10" ht="15.75" customHeight="1" x14ac:dyDescent="0.3">
      <c r="A3988" s="5" t="s">
        <v>4855</v>
      </c>
      <c r="B3988" s="11">
        <v>45708</v>
      </c>
      <c r="C3988" s="5" t="s">
        <v>515</v>
      </c>
      <c r="D3988" s="5" t="s">
        <v>256</v>
      </c>
      <c r="E3988" s="5" t="s">
        <v>21</v>
      </c>
      <c r="F3988" s="5">
        <v>3</v>
      </c>
      <c r="G3988" s="19">
        <v>0.1</v>
      </c>
      <c r="H3988" s="5" t="s">
        <v>454</v>
      </c>
      <c r="I3988" s="10">
        <f>IF(OR(D3988="", F3988=""), "", F3988 * VLOOKUP(D3988, Products!A:E, 5, FALSE) * (1 - G3988))</f>
        <v>4414.527</v>
      </c>
      <c r="J3988" s="10"/>
    </row>
    <row r="3989" spans="1:10" ht="15.75" customHeight="1" x14ac:dyDescent="0.3">
      <c r="A3989" s="5" t="s">
        <v>4856</v>
      </c>
      <c r="B3989" s="11">
        <v>45570</v>
      </c>
      <c r="C3989" s="5" t="s">
        <v>455</v>
      </c>
      <c r="D3989" s="5" t="s">
        <v>232</v>
      </c>
      <c r="E3989" s="5" t="s">
        <v>21</v>
      </c>
      <c r="F3989" s="5">
        <v>4</v>
      </c>
      <c r="G3989" s="19">
        <v>0.15</v>
      </c>
      <c r="H3989" s="5" t="s">
        <v>637</v>
      </c>
      <c r="I3989" s="10">
        <f>IF(OR(D3989="", F3989=""), "", F3989 * VLOOKUP(D3989, Products!A:E, 5, FALSE) * (1 - G3989))</f>
        <v>6639.01</v>
      </c>
      <c r="J3989" s="10"/>
    </row>
    <row r="3990" spans="1:10" ht="15.75" customHeight="1" x14ac:dyDescent="0.3">
      <c r="A3990" s="5" t="s">
        <v>4857</v>
      </c>
      <c r="B3990" s="11">
        <v>45869</v>
      </c>
      <c r="C3990" s="5" t="s">
        <v>353</v>
      </c>
      <c r="D3990" s="5" t="s">
        <v>256</v>
      </c>
      <c r="E3990" s="5" t="s">
        <v>29</v>
      </c>
      <c r="F3990" s="5">
        <v>5</v>
      </c>
      <c r="G3990" s="19">
        <v>0.05</v>
      </c>
      <c r="H3990" s="5" t="s">
        <v>697</v>
      </c>
      <c r="I3990" s="10">
        <f>IF(OR(D3990="", F3990=""), "", F3990 * VLOOKUP(D3990, Products!A:E, 5, FALSE) * (1 - G3990))</f>
        <v>7766.2974999999997</v>
      </c>
      <c r="J3990" s="10"/>
    </row>
    <row r="3991" spans="1:10" ht="15.75" customHeight="1" x14ac:dyDescent="0.3">
      <c r="A3991" s="5" t="s">
        <v>4858</v>
      </c>
      <c r="B3991" s="11">
        <v>45732</v>
      </c>
      <c r="C3991" s="5" t="s">
        <v>703</v>
      </c>
      <c r="D3991" s="5" t="s">
        <v>74</v>
      </c>
      <c r="E3991" s="5" t="s">
        <v>33</v>
      </c>
      <c r="F3991" s="5">
        <v>3</v>
      </c>
      <c r="G3991" s="19">
        <v>0</v>
      </c>
      <c r="H3991" s="5" t="s">
        <v>454</v>
      </c>
      <c r="I3991" s="10">
        <f>IF(OR(D3991="", F3991=""), "", F3991 * VLOOKUP(D3991, Products!A:E, 5, FALSE) * (1 - G3991))</f>
        <v>3582.3599999999997</v>
      </c>
      <c r="J3991" s="10"/>
    </row>
    <row r="3992" spans="1:10" ht="15.75" customHeight="1" x14ac:dyDescent="0.3">
      <c r="A3992" s="5" t="s">
        <v>4859</v>
      </c>
      <c r="B3992" s="11">
        <v>45381</v>
      </c>
      <c r="C3992" s="5" t="s">
        <v>766</v>
      </c>
      <c r="D3992" s="5" t="s">
        <v>122</v>
      </c>
      <c r="E3992" s="5" t="s">
        <v>37</v>
      </c>
      <c r="F3992" s="5">
        <v>4</v>
      </c>
      <c r="G3992" s="19">
        <v>0.05</v>
      </c>
      <c r="H3992" s="5" t="s">
        <v>637</v>
      </c>
      <c r="I3992" s="10">
        <f>IF(OR(D3992="", F3992=""), "", F3992 * VLOOKUP(D3992, Products!A:E, 5, FALSE) * (1 - G3992))</f>
        <v>6699.0959999999995</v>
      </c>
      <c r="J3992" s="10"/>
    </row>
    <row r="3993" spans="1:10" ht="15.75" customHeight="1" x14ac:dyDescent="0.3">
      <c r="A3993" s="5" t="s">
        <v>4860</v>
      </c>
      <c r="B3993" s="11">
        <v>45723</v>
      </c>
      <c r="C3993" s="5" t="s">
        <v>346</v>
      </c>
      <c r="D3993" s="5" t="s">
        <v>232</v>
      </c>
      <c r="E3993" s="5" t="s">
        <v>25</v>
      </c>
      <c r="F3993" s="5">
        <v>2</v>
      </c>
      <c r="G3993" s="19">
        <v>0.15</v>
      </c>
      <c r="H3993" s="5" t="s">
        <v>697</v>
      </c>
      <c r="I3993" s="10">
        <f>IF(OR(D3993="", F3993=""), "", F3993 * VLOOKUP(D3993, Products!A:E, 5, FALSE) * (1 - G3993))</f>
        <v>3319.5050000000001</v>
      </c>
      <c r="J3993" s="10"/>
    </row>
    <row r="3994" spans="1:10" ht="15.75" customHeight="1" x14ac:dyDescent="0.3">
      <c r="A3994" s="5" t="s">
        <v>4861</v>
      </c>
      <c r="B3994" s="11">
        <v>45383</v>
      </c>
      <c r="C3994" s="5" t="s">
        <v>583</v>
      </c>
      <c r="D3994" s="5" t="s">
        <v>200</v>
      </c>
      <c r="E3994" s="5" t="s">
        <v>21</v>
      </c>
      <c r="F3994" s="5">
        <v>1</v>
      </c>
      <c r="G3994" s="19">
        <v>0.1</v>
      </c>
      <c r="H3994" s="5" t="s">
        <v>697</v>
      </c>
      <c r="I3994" s="10">
        <f>IF(OR(D3994="", F3994=""), "", F3994 * VLOOKUP(D3994, Products!A:E, 5, FALSE) * (1 - G3994))</f>
        <v>986.14800000000002</v>
      </c>
      <c r="J3994" s="10"/>
    </row>
    <row r="3995" spans="1:10" ht="15.75" customHeight="1" x14ac:dyDescent="0.3">
      <c r="A3995" s="5" t="s">
        <v>4862</v>
      </c>
      <c r="B3995" s="11">
        <v>45227</v>
      </c>
      <c r="C3995" s="5" t="s">
        <v>412</v>
      </c>
      <c r="D3995" s="5" t="s">
        <v>82</v>
      </c>
      <c r="E3995" s="5" t="s">
        <v>25</v>
      </c>
      <c r="F3995" s="5">
        <v>4</v>
      </c>
      <c r="G3995" s="19">
        <v>0.05</v>
      </c>
      <c r="H3995" s="5" t="s">
        <v>454</v>
      </c>
      <c r="I3995" s="10">
        <f>IF(OR(D3995="", F3995=""), "", F3995 * VLOOKUP(D3995, Products!A:E, 5, FALSE) * (1 - G3995))</f>
        <v>4533.7419999999993</v>
      </c>
      <c r="J3995" s="10"/>
    </row>
    <row r="3996" spans="1:10" ht="15.75" customHeight="1" x14ac:dyDescent="0.3">
      <c r="A3996" s="5" t="s">
        <v>4863</v>
      </c>
      <c r="B3996" s="11">
        <v>45287</v>
      </c>
      <c r="C3996" s="5" t="s">
        <v>774</v>
      </c>
      <c r="D3996" s="5" t="s">
        <v>61</v>
      </c>
      <c r="E3996" s="5" t="s">
        <v>37</v>
      </c>
      <c r="F3996" s="5">
        <v>3</v>
      </c>
      <c r="G3996" s="19">
        <v>0.1</v>
      </c>
      <c r="H3996" s="5" t="s">
        <v>697</v>
      </c>
      <c r="I3996" s="10">
        <f>IF(OR(D3996="", F3996=""), "", F3996 * VLOOKUP(D3996, Products!A:E, 5, FALSE) * (1 - G3996))</f>
        <v>858.73500000000013</v>
      </c>
      <c r="J3996" s="10"/>
    </row>
    <row r="3997" spans="1:10" ht="15.75" customHeight="1" x14ac:dyDescent="0.3">
      <c r="A3997" s="5" t="s">
        <v>4864</v>
      </c>
      <c r="B3997" s="11">
        <v>45700</v>
      </c>
      <c r="C3997" s="5" t="s">
        <v>229</v>
      </c>
      <c r="D3997" s="5" t="s">
        <v>188</v>
      </c>
      <c r="E3997" s="5" t="s">
        <v>37</v>
      </c>
      <c r="F3997" s="5">
        <v>5</v>
      </c>
      <c r="G3997" s="19">
        <v>0</v>
      </c>
      <c r="H3997" s="5" t="s">
        <v>637</v>
      </c>
      <c r="I3997" s="10">
        <f>IF(OR(D3997="", F3997=""), "", F3997 * VLOOKUP(D3997, Products!A:E, 5, FALSE) * (1 - G3997))</f>
        <v>7425.25</v>
      </c>
      <c r="J3997" s="10"/>
    </row>
    <row r="3998" spans="1:10" ht="15.75" customHeight="1" x14ac:dyDescent="0.3">
      <c r="A3998" s="5" t="s">
        <v>4865</v>
      </c>
      <c r="B3998" s="11">
        <v>45434</v>
      </c>
      <c r="C3998" s="5" t="s">
        <v>724</v>
      </c>
      <c r="D3998" s="5" t="s">
        <v>200</v>
      </c>
      <c r="E3998" s="5" t="s">
        <v>37</v>
      </c>
      <c r="F3998" s="5">
        <v>1</v>
      </c>
      <c r="G3998" s="19">
        <v>0.15</v>
      </c>
      <c r="H3998" s="5" t="s">
        <v>697</v>
      </c>
      <c r="I3998" s="10">
        <f>IF(OR(D3998="", F3998=""), "", F3998 * VLOOKUP(D3998, Products!A:E, 5, FALSE) * (1 - G3998))</f>
        <v>931.36199999999997</v>
      </c>
      <c r="J3998" s="10"/>
    </row>
    <row r="3999" spans="1:10" ht="15.75" customHeight="1" x14ac:dyDescent="0.3">
      <c r="A3999" s="5" t="s">
        <v>4866</v>
      </c>
      <c r="B3999" s="11">
        <v>45299</v>
      </c>
      <c r="C3999" s="5" t="s">
        <v>758</v>
      </c>
      <c r="D3999" s="5" t="s">
        <v>212</v>
      </c>
      <c r="E3999" s="5" t="s">
        <v>25</v>
      </c>
      <c r="F3999" s="5">
        <v>3</v>
      </c>
      <c r="G3999" s="19">
        <v>0</v>
      </c>
      <c r="H3999" s="5" t="s">
        <v>637</v>
      </c>
      <c r="I3999" s="10">
        <f>IF(OR(D3999="", F3999=""), "", F3999 * VLOOKUP(D3999, Products!A:E, 5, FALSE) * (1 - G3999))</f>
        <v>5396.91</v>
      </c>
      <c r="J3999" s="10"/>
    </row>
    <row r="4000" spans="1:10" ht="15.75" customHeight="1" x14ac:dyDescent="0.3">
      <c r="A4000" s="5" t="s">
        <v>4867</v>
      </c>
      <c r="B4000" s="11">
        <v>45691</v>
      </c>
      <c r="C4000" s="5" t="s">
        <v>420</v>
      </c>
      <c r="D4000" s="5" t="s">
        <v>95</v>
      </c>
      <c r="E4000" s="5" t="s">
        <v>25</v>
      </c>
      <c r="F4000" s="5">
        <v>2</v>
      </c>
      <c r="G4000" s="19">
        <v>0.1</v>
      </c>
      <c r="H4000" s="5" t="s">
        <v>697</v>
      </c>
      <c r="I4000" s="10">
        <f>IF(OR(D4000="", F4000=""), "", F4000 * VLOOKUP(D4000, Products!A:E, 5, FALSE) * (1 - G4000))</f>
        <v>2416.9500000000003</v>
      </c>
      <c r="J4000" s="10"/>
    </row>
    <row r="4001" spans="1:10" ht="15.75" customHeight="1" x14ac:dyDescent="0.3">
      <c r="A4001" s="5" t="s">
        <v>4868</v>
      </c>
      <c r="B4001" s="11">
        <v>45755</v>
      </c>
      <c r="C4001" s="5" t="s">
        <v>286</v>
      </c>
      <c r="D4001" s="5" t="s">
        <v>200</v>
      </c>
      <c r="E4001" s="5" t="s">
        <v>29</v>
      </c>
      <c r="F4001" s="5">
        <v>4</v>
      </c>
      <c r="G4001" s="19">
        <v>0.05</v>
      </c>
      <c r="H4001" s="5" t="s">
        <v>454</v>
      </c>
      <c r="I4001" s="10">
        <f>IF(OR(D4001="", F4001=""), "", F4001 * VLOOKUP(D4001, Products!A:E, 5, FALSE) * (1 - G4001))</f>
        <v>4163.7359999999999</v>
      </c>
      <c r="J4001" s="10"/>
    </row>
    <row r="4002" spans="1:10" ht="15.75" customHeight="1" x14ac:dyDescent="0.3">
      <c r="A4002" s="5" t="s">
        <v>4869</v>
      </c>
      <c r="B4002" s="11">
        <v>45373</v>
      </c>
      <c r="C4002" s="5" t="s">
        <v>602</v>
      </c>
      <c r="D4002" s="5" t="s">
        <v>180</v>
      </c>
      <c r="E4002" s="5" t="s">
        <v>21</v>
      </c>
      <c r="F4002" s="5">
        <v>3</v>
      </c>
      <c r="G4002" s="19">
        <v>0.05</v>
      </c>
      <c r="H4002" s="5" t="s">
        <v>697</v>
      </c>
      <c r="I4002" s="10">
        <f>IF(OR(D4002="", F4002=""), "", F4002 * VLOOKUP(D4002, Products!A:E, 5, FALSE) * (1 - G4002))</f>
        <v>1920.2729999999999</v>
      </c>
      <c r="J4002" s="10"/>
    </row>
    <row r="4003" spans="1:10" ht="15.75" customHeight="1" x14ac:dyDescent="0.3">
      <c r="A4003" s="5" t="s">
        <v>4870</v>
      </c>
      <c r="B4003" s="11">
        <v>45844</v>
      </c>
      <c r="C4003" s="5" t="s">
        <v>401</v>
      </c>
      <c r="D4003" s="5" t="s">
        <v>168</v>
      </c>
      <c r="E4003" s="5" t="s">
        <v>29</v>
      </c>
      <c r="F4003" s="5">
        <v>2</v>
      </c>
      <c r="G4003" s="19">
        <v>0</v>
      </c>
      <c r="H4003" s="5" t="s">
        <v>697</v>
      </c>
      <c r="I4003" s="10">
        <f>IF(OR(D4003="", F4003=""), "", F4003 * VLOOKUP(D4003, Products!A:E, 5, FALSE) * (1 - G4003))</f>
        <v>2031.52</v>
      </c>
      <c r="J4003" s="10"/>
    </row>
    <row r="4004" spans="1:10" ht="15.75" customHeight="1" x14ac:dyDescent="0.3">
      <c r="A4004" s="5" t="s">
        <v>4871</v>
      </c>
      <c r="B4004" s="11">
        <v>45517</v>
      </c>
      <c r="C4004" s="5" t="s">
        <v>191</v>
      </c>
      <c r="D4004" s="5" t="s">
        <v>67</v>
      </c>
      <c r="E4004" s="5" t="s">
        <v>21</v>
      </c>
      <c r="F4004" s="5">
        <v>3</v>
      </c>
      <c r="G4004" s="19">
        <v>0.15</v>
      </c>
      <c r="H4004" s="5" t="s">
        <v>637</v>
      </c>
      <c r="I4004" s="10">
        <f>IF(OR(D4004="", F4004=""), "", F4004 * VLOOKUP(D4004, Products!A:E, 5, FALSE) * (1 - G4004))</f>
        <v>279.93900000000002</v>
      </c>
      <c r="J4004" s="10"/>
    </row>
    <row r="4005" spans="1:10" ht="15.75" customHeight="1" x14ac:dyDescent="0.3">
      <c r="A4005" s="5" t="s">
        <v>4872</v>
      </c>
      <c r="B4005" s="11">
        <v>45506</v>
      </c>
      <c r="C4005" s="5" t="s">
        <v>121</v>
      </c>
      <c r="D4005" s="5" t="s">
        <v>54</v>
      </c>
      <c r="E4005" s="5" t="s">
        <v>29</v>
      </c>
      <c r="F4005" s="5">
        <v>3</v>
      </c>
      <c r="G4005" s="19">
        <v>0.1</v>
      </c>
      <c r="H4005" s="5" t="s">
        <v>637</v>
      </c>
      <c r="I4005" s="10">
        <f>IF(OR(D4005="", F4005=""), "", F4005 * VLOOKUP(D4005, Products!A:E, 5, FALSE) * (1 - G4005))</f>
        <v>5005.1790000000001</v>
      </c>
      <c r="J4005" s="10"/>
    </row>
    <row r="4006" spans="1:10" ht="15.75" customHeight="1" x14ac:dyDescent="0.3">
      <c r="A4006" s="5" t="s">
        <v>4873</v>
      </c>
      <c r="B4006" s="11">
        <v>45811</v>
      </c>
      <c r="C4006" s="5" t="s">
        <v>878</v>
      </c>
      <c r="D4006" s="5" t="s">
        <v>95</v>
      </c>
      <c r="E4006" s="5" t="s">
        <v>33</v>
      </c>
      <c r="F4006" s="5">
        <v>5</v>
      </c>
      <c r="G4006" s="19">
        <v>0.1</v>
      </c>
      <c r="H4006" s="5" t="s">
        <v>637</v>
      </c>
      <c r="I4006" s="10">
        <f>IF(OR(D4006="", F4006=""), "", F4006 * VLOOKUP(D4006, Products!A:E, 5, FALSE) * (1 - G4006))</f>
        <v>6042.375</v>
      </c>
      <c r="J4006" s="10"/>
    </row>
    <row r="4007" spans="1:10" ht="15.75" customHeight="1" x14ac:dyDescent="0.3">
      <c r="A4007" s="5" t="s">
        <v>4874</v>
      </c>
      <c r="B4007" s="11">
        <v>45748</v>
      </c>
      <c r="C4007" s="5" t="s">
        <v>484</v>
      </c>
      <c r="D4007" s="5" t="s">
        <v>276</v>
      </c>
      <c r="E4007" s="5" t="s">
        <v>33</v>
      </c>
      <c r="F4007" s="5">
        <v>4</v>
      </c>
      <c r="G4007" s="19">
        <v>0.1</v>
      </c>
      <c r="H4007" s="5" t="s">
        <v>454</v>
      </c>
      <c r="I4007" s="10">
        <f>IF(OR(D4007="", F4007=""), "", F4007 * VLOOKUP(D4007, Products!A:E, 5, FALSE) * (1 - G4007))</f>
        <v>4309.848</v>
      </c>
      <c r="J4007" s="10"/>
    </row>
    <row r="4008" spans="1:10" ht="15.75" customHeight="1" x14ac:dyDescent="0.3">
      <c r="A4008" s="5" t="s">
        <v>4875</v>
      </c>
      <c r="B4008" s="11">
        <v>45264</v>
      </c>
      <c r="C4008" s="5" t="s">
        <v>357</v>
      </c>
      <c r="D4008" s="5" t="s">
        <v>212</v>
      </c>
      <c r="E4008" s="5" t="s">
        <v>29</v>
      </c>
      <c r="F4008" s="5">
        <v>2</v>
      </c>
      <c r="G4008" s="19">
        <v>0.15</v>
      </c>
      <c r="H4008" s="5" t="s">
        <v>454</v>
      </c>
      <c r="I4008" s="10">
        <f>IF(OR(D4008="", F4008=""), "", F4008 * VLOOKUP(D4008, Products!A:E, 5, FALSE) * (1 - G4008))</f>
        <v>3058.2489999999998</v>
      </c>
      <c r="J4008" s="10"/>
    </row>
    <row r="4009" spans="1:10" ht="15.75" customHeight="1" x14ac:dyDescent="0.3">
      <c r="A4009" s="5" t="s">
        <v>4876</v>
      </c>
      <c r="B4009" s="11">
        <v>45444</v>
      </c>
      <c r="C4009" s="5" t="s">
        <v>699</v>
      </c>
      <c r="D4009" s="5" t="s">
        <v>103</v>
      </c>
      <c r="E4009" s="5" t="s">
        <v>33</v>
      </c>
      <c r="F4009" s="5">
        <v>3</v>
      </c>
      <c r="G4009" s="19">
        <v>0.15</v>
      </c>
      <c r="H4009" s="5" t="s">
        <v>637</v>
      </c>
      <c r="I4009" s="10">
        <f>IF(OR(D4009="", F4009=""), "", F4009 * VLOOKUP(D4009, Products!A:E, 5, FALSE) * (1 - G4009))</f>
        <v>689.64749999999992</v>
      </c>
      <c r="J4009" s="10"/>
    </row>
    <row r="4010" spans="1:10" ht="15.75" customHeight="1" x14ac:dyDescent="0.3">
      <c r="A4010" s="5" t="s">
        <v>4877</v>
      </c>
      <c r="B4010" s="11">
        <v>45487</v>
      </c>
      <c r="C4010" s="5" t="s">
        <v>837</v>
      </c>
      <c r="D4010" s="5" t="s">
        <v>232</v>
      </c>
      <c r="E4010" s="5" t="s">
        <v>37</v>
      </c>
      <c r="F4010" s="5">
        <v>5</v>
      </c>
      <c r="G4010" s="19">
        <v>0.15</v>
      </c>
      <c r="H4010" s="5" t="s">
        <v>776</v>
      </c>
      <c r="I4010" s="10">
        <f>IF(OR(D4010="", F4010=""), "", F4010 * VLOOKUP(D4010, Products!A:E, 5, FALSE) * (1 - G4010))</f>
        <v>8298.7624999999989</v>
      </c>
      <c r="J4010" s="10"/>
    </row>
    <row r="4011" spans="1:10" ht="15.75" customHeight="1" x14ac:dyDescent="0.3">
      <c r="A4011" s="5" t="s">
        <v>4878</v>
      </c>
      <c r="B4011" s="11">
        <v>45510</v>
      </c>
      <c r="C4011" s="5" t="s">
        <v>579</v>
      </c>
      <c r="D4011" s="5" t="s">
        <v>272</v>
      </c>
      <c r="E4011" s="5" t="s">
        <v>25</v>
      </c>
      <c r="F4011" s="5">
        <v>3</v>
      </c>
      <c r="G4011" s="19">
        <v>0.05</v>
      </c>
      <c r="H4011" s="5" t="s">
        <v>776</v>
      </c>
      <c r="I4011" s="10">
        <f>IF(OR(D4011="", F4011=""), "", F4011 * VLOOKUP(D4011, Products!A:E, 5, FALSE) * (1 - G4011))</f>
        <v>3321.3044999999997</v>
      </c>
      <c r="J4011" s="10"/>
    </row>
    <row r="4012" spans="1:10" ht="15.75" customHeight="1" x14ac:dyDescent="0.3">
      <c r="A4012" s="5" t="s">
        <v>4879</v>
      </c>
      <c r="B4012" s="11">
        <v>45602</v>
      </c>
      <c r="C4012" s="5" t="s">
        <v>334</v>
      </c>
      <c r="D4012" s="5" t="s">
        <v>272</v>
      </c>
      <c r="E4012" s="5" t="s">
        <v>29</v>
      </c>
      <c r="F4012" s="5">
        <v>3</v>
      </c>
      <c r="G4012" s="19">
        <v>0.1</v>
      </c>
      <c r="H4012" s="5" t="s">
        <v>776</v>
      </c>
      <c r="I4012" s="10">
        <f>IF(OR(D4012="", F4012=""), "", F4012 * VLOOKUP(D4012, Products!A:E, 5, FALSE) * (1 - G4012))</f>
        <v>3146.4989999999998</v>
      </c>
      <c r="J4012" s="10"/>
    </row>
    <row r="4013" spans="1:10" ht="15.75" customHeight="1" x14ac:dyDescent="0.3">
      <c r="A4013" s="5" t="s">
        <v>4880</v>
      </c>
      <c r="B4013" s="11">
        <v>45218</v>
      </c>
      <c r="C4013" s="5" t="s">
        <v>674</v>
      </c>
      <c r="D4013" s="5" t="s">
        <v>119</v>
      </c>
      <c r="E4013" s="5" t="s">
        <v>21</v>
      </c>
      <c r="F4013" s="5">
        <v>5</v>
      </c>
      <c r="G4013" s="19">
        <v>0.1</v>
      </c>
      <c r="H4013" s="5" t="s">
        <v>454</v>
      </c>
      <c r="I4013" s="10">
        <f>IF(OR(D4013="", F4013=""), "", F4013 * VLOOKUP(D4013, Products!A:E, 5, FALSE) * (1 - G4013))</f>
        <v>4859.505000000001</v>
      </c>
      <c r="J4013" s="10"/>
    </row>
    <row r="4014" spans="1:10" ht="15.75" customHeight="1" x14ac:dyDescent="0.3">
      <c r="A4014" s="5" t="s">
        <v>4881</v>
      </c>
      <c r="B4014" s="11">
        <v>45701</v>
      </c>
      <c r="C4014" s="5" t="s">
        <v>649</v>
      </c>
      <c r="D4014" s="5" t="s">
        <v>265</v>
      </c>
      <c r="E4014" s="5" t="s">
        <v>21</v>
      </c>
      <c r="F4014" s="5">
        <v>3</v>
      </c>
      <c r="G4014" s="19">
        <v>0.05</v>
      </c>
      <c r="H4014" s="5" t="s">
        <v>637</v>
      </c>
      <c r="I4014" s="10">
        <f>IF(OR(D4014="", F4014=""), "", F4014 * VLOOKUP(D4014, Products!A:E, 5, FALSE) * (1 - G4014))</f>
        <v>1608.5969999999998</v>
      </c>
      <c r="J4014" s="10"/>
    </row>
    <row r="4015" spans="1:10" ht="15.75" customHeight="1" x14ac:dyDescent="0.3">
      <c r="A4015" s="5" t="s">
        <v>4882</v>
      </c>
      <c r="B4015" s="11">
        <v>45430</v>
      </c>
      <c r="C4015" s="5" t="s">
        <v>724</v>
      </c>
      <c r="D4015" s="5" t="s">
        <v>285</v>
      </c>
      <c r="E4015" s="5" t="s">
        <v>25</v>
      </c>
      <c r="F4015" s="5">
        <v>3</v>
      </c>
      <c r="G4015" s="19">
        <v>0.1</v>
      </c>
      <c r="H4015" s="5" t="s">
        <v>637</v>
      </c>
      <c r="I4015" s="10">
        <f>IF(OR(D4015="", F4015=""), "", F4015 * VLOOKUP(D4015, Products!A:E, 5, FALSE) * (1 - G4015))</f>
        <v>1048.3019999999999</v>
      </c>
      <c r="J4015" s="10"/>
    </row>
    <row r="4016" spans="1:10" ht="15.75" customHeight="1" x14ac:dyDescent="0.3">
      <c r="A4016" s="5" t="s">
        <v>4883</v>
      </c>
      <c r="B4016" s="11">
        <v>45502</v>
      </c>
      <c r="C4016" s="5" t="s">
        <v>546</v>
      </c>
      <c r="D4016" s="5" t="s">
        <v>285</v>
      </c>
      <c r="E4016" s="5" t="s">
        <v>29</v>
      </c>
      <c r="F4016" s="5">
        <v>4</v>
      </c>
      <c r="G4016" s="19">
        <v>0.05</v>
      </c>
      <c r="H4016" s="5" t="s">
        <v>776</v>
      </c>
      <c r="I4016" s="10">
        <f>IF(OR(D4016="", F4016=""), "", F4016 * VLOOKUP(D4016, Products!A:E, 5, FALSE) * (1 - G4016))</f>
        <v>1475.3879999999999</v>
      </c>
      <c r="J4016" s="10"/>
    </row>
    <row r="4017" spans="1:10" ht="15.75" customHeight="1" x14ac:dyDescent="0.3">
      <c r="A4017" s="5" t="s">
        <v>4884</v>
      </c>
      <c r="B4017" s="11">
        <v>45894</v>
      </c>
      <c r="C4017" s="5" t="s">
        <v>397</v>
      </c>
      <c r="D4017" s="5" t="s">
        <v>70</v>
      </c>
      <c r="E4017" s="5" t="s">
        <v>21</v>
      </c>
      <c r="F4017" s="5">
        <v>4</v>
      </c>
      <c r="G4017" s="19">
        <v>0.1</v>
      </c>
      <c r="H4017" s="5" t="s">
        <v>697</v>
      </c>
      <c r="I4017" s="10">
        <f>IF(OR(D4017="", F4017=""), "", F4017 * VLOOKUP(D4017, Products!A:E, 5, FALSE) * (1 - G4017))</f>
        <v>443.48399999999998</v>
      </c>
      <c r="J4017" s="10"/>
    </row>
    <row r="4018" spans="1:10" ht="15.75" customHeight="1" x14ac:dyDescent="0.3">
      <c r="A4018" s="5" t="s">
        <v>4885</v>
      </c>
      <c r="B4018" s="11">
        <v>45659</v>
      </c>
      <c r="C4018" s="5" t="s">
        <v>397</v>
      </c>
      <c r="D4018" s="5" t="s">
        <v>249</v>
      </c>
      <c r="E4018" s="5" t="s">
        <v>29</v>
      </c>
      <c r="F4018" s="5">
        <v>5</v>
      </c>
      <c r="G4018" s="19">
        <v>0</v>
      </c>
      <c r="H4018" s="5" t="s">
        <v>454</v>
      </c>
      <c r="I4018" s="10">
        <f>IF(OR(D4018="", F4018=""), "", F4018 * VLOOKUP(D4018, Products!A:E, 5, FALSE) * (1 - G4018))</f>
        <v>8728.0499999999993</v>
      </c>
      <c r="J4018" s="10"/>
    </row>
    <row r="4019" spans="1:10" ht="15.75" customHeight="1" x14ac:dyDescent="0.3">
      <c r="A4019" s="5" t="s">
        <v>4886</v>
      </c>
      <c r="B4019" s="11">
        <v>45264</v>
      </c>
      <c r="C4019" s="5" t="s">
        <v>338</v>
      </c>
      <c r="D4019" s="5" t="s">
        <v>153</v>
      </c>
      <c r="E4019" s="5" t="s">
        <v>33</v>
      </c>
      <c r="F4019" s="5">
        <v>1</v>
      </c>
      <c r="G4019" s="19">
        <v>0.1</v>
      </c>
      <c r="H4019" s="5" t="s">
        <v>776</v>
      </c>
      <c r="I4019" s="10">
        <f>IF(OR(D4019="", F4019=""), "", F4019 * VLOOKUP(D4019, Products!A:E, 5, FALSE) * (1 - G4019))</f>
        <v>1338.6690000000001</v>
      </c>
      <c r="J4019" s="10"/>
    </row>
    <row r="4020" spans="1:10" ht="15.75" customHeight="1" x14ac:dyDescent="0.3">
      <c r="A4020" s="5" t="s">
        <v>4887</v>
      </c>
      <c r="B4020" s="11">
        <v>45248</v>
      </c>
      <c r="C4020" s="5" t="s">
        <v>602</v>
      </c>
      <c r="D4020" s="5" t="s">
        <v>147</v>
      </c>
      <c r="E4020" s="5" t="s">
        <v>29</v>
      </c>
      <c r="F4020" s="5">
        <v>5</v>
      </c>
      <c r="G4020" s="19">
        <v>0.05</v>
      </c>
      <c r="H4020" s="5" t="s">
        <v>697</v>
      </c>
      <c r="I4020" s="10">
        <f>IF(OR(D4020="", F4020=""), "", F4020 * VLOOKUP(D4020, Products!A:E, 5, FALSE) * (1 - G4020))</f>
        <v>8922.7325000000001</v>
      </c>
      <c r="J4020" s="10"/>
    </row>
    <row r="4021" spans="1:10" ht="15.75" customHeight="1" x14ac:dyDescent="0.3">
      <c r="A4021" s="5" t="s">
        <v>4888</v>
      </c>
      <c r="B4021" s="11">
        <v>45510</v>
      </c>
      <c r="C4021" s="5" t="s">
        <v>312</v>
      </c>
      <c r="D4021" s="5" t="s">
        <v>115</v>
      </c>
      <c r="E4021" s="5" t="s">
        <v>33</v>
      </c>
      <c r="F4021" s="5">
        <v>1</v>
      </c>
      <c r="G4021" s="19">
        <v>0.1</v>
      </c>
      <c r="H4021" s="5" t="s">
        <v>454</v>
      </c>
      <c r="I4021" s="10">
        <f>IF(OR(D4021="", F4021=""), "", F4021 * VLOOKUP(D4021, Products!A:E, 5, FALSE) * (1 - G4021))</f>
        <v>1121.499</v>
      </c>
      <c r="J4021" s="10"/>
    </row>
    <row r="4022" spans="1:10" ht="15.75" customHeight="1" x14ac:dyDescent="0.3">
      <c r="A4022" s="5" t="s">
        <v>4889</v>
      </c>
      <c r="B4022" s="11">
        <v>45442</v>
      </c>
      <c r="C4022" s="5" t="s">
        <v>466</v>
      </c>
      <c r="D4022" s="5" t="s">
        <v>206</v>
      </c>
      <c r="E4022" s="5" t="s">
        <v>25</v>
      </c>
      <c r="F4022" s="5">
        <v>1</v>
      </c>
      <c r="G4022" s="19">
        <v>0.15</v>
      </c>
      <c r="H4022" s="5" t="s">
        <v>637</v>
      </c>
      <c r="I4022" s="10">
        <f>IF(OR(D4022="", F4022=""), "", F4022 * VLOOKUP(D4022, Products!A:E, 5, FALSE) * (1 - G4022))</f>
        <v>259.00349999999997</v>
      </c>
      <c r="J4022" s="10"/>
    </row>
    <row r="4023" spans="1:10" ht="15.75" customHeight="1" x14ac:dyDescent="0.3">
      <c r="A4023" s="5" t="s">
        <v>4890</v>
      </c>
      <c r="B4023" s="11">
        <v>45477</v>
      </c>
      <c r="C4023" s="5" t="s">
        <v>376</v>
      </c>
      <c r="D4023" s="5" t="s">
        <v>188</v>
      </c>
      <c r="E4023" s="5" t="s">
        <v>33</v>
      </c>
      <c r="F4023" s="5">
        <v>2</v>
      </c>
      <c r="G4023" s="19">
        <v>0</v>
      </c>
      <c r="H4023" s="5" t="s">
        <v>776</v>
      </c>
      <c r="I4023" s="10">
        <f>IF(OR(D4023="", F4023=""), "", F4023 * VLOOKUP(D4023, Products!A:E, 5, FALSE) * (1 - G4023))</f>
        <v>2970.1</v>
      </c>
      <c r="J4023" s="10"/>
    </row>
    <row r="4024" spans="1:10" ht="15.75" customHeight="1" x14ac:dyDescent="0.3">
      <c r="A4024" s="5" t="s">
        <v>4891</v>
      </c>
      <c r="B4024" s="11">
        <v>45398</v>
      </c>
      <c r="C4024" s="5" t="s">
        <v>121</v>
      </c>
      <c r="D4024" s="5" t="s">
        <v>162</v>
      </c>
      <c r="E4024" s="5" t="s">
        <v>37</v>
      </c>
      <c r="F4024" s="5">
        <v>1</v>
      </c>
      <c r="G4024" s="19">
        <v>0.15</v>
      </c>
      <c r="H4024" s="5" t="s">
        <v>454</v>
      </c>
      <c r="I4024" s="10">
        <f>IF(OR(D4024="", F4024=""), "", F4024 * VLOOKUP(D4024, Products!A:E, 5, FALSE) * (1 - G4024))</f>
        <v>364.77749999999997</v>
      </c>
      <c r="J4024" s="10"/>
    </row>
    <row r="4025" spans="1:10" ht="15.75" customHeight="1" x14ac:dyDescent="0.3">
      <c r="A4025" s="5" t="s">
        <v>4892</v>
      </c>
      <c r="B4025" s="11">
        <v>45191</v>
      </c>
      <c r="C4025" s="5" t="s">
        <v>322</v>
      </c>
      <c r="D4025" s="5" t="s">
        <v>65</v>
      </c>
      <c r="E4025" s="5" t="s">
        <v>25</v>
      </c>
      <c r="F4025" s="5">
        <v>1</v>
      </c>
      <c r="G4025" s="19">
        <v>0</v>
      </c>
      <c r="H4025" s="5" t="s">
        <v>454</v>
      </c>
      <c r="I4025" s="10">
        <f>IF(OR(D4025="", F4025=""), "", F4025 * VLOOKUP(D4025, Products!A:E, 5, FALSE) * (1 - G4025))</f>
        <v>1474.12</v>
      </c>
      <c r="J4025" s="10"/>
    </row>
    <row r="4026" spans="1:10" ht="15.75" customHeight="1" x14ac:dyDescent="0.3">
      <c r="A4026" s="5" t="s">
        <v>4893</v>
      </c>
      <c r="B4026" s="11">
        <v>45246</v>
      </c>
      <c r="C4026" s="5" t="s">
        <v>837</v>
      </c>
      <c r="D4026" s="5" t="s">
        <v>217</v>
      </c>
      <c r="E4026" s="5" t="s">
        <v>37</v>
      </c>
      <c r="F4026" s="5">
        <v>4</v>
      </c>
      <c r="G4026" s="19">
        <v>0</v>
      </c>
      <c r="H4026" s="5" t="s">
        <v>454</v>
      </c>
      <c r="I4026" s="10">
        <f>IF(OR(D4026="", F4026=""), "", F4026 * VLOOKUP(D4026, Products!A:E, 5, FALSE) * (1 - G4026))</f>
        <v>1712.2</v>
      </c>
      <c r="J4026" s="10"/>
    </row>
    <row r="4027" spans="1:10" ht="15.75" customHeight="1" x14ac:dyDescent="0.3">
      <c r="A4027" s="5" t="s">
        <v>4894</v>
      </c>
      <c r="B4027" s="11">
        <v>45610</v>
      </c>
      <c r="C4027" s="5" t="s">
        <v>474</v>
      </c>
      <c r="D4027" s="5" t="s">
        <v>262</v>
      </c>
      <c r="E4027" s="5" t="s">
        <v>25</v>
      </c>
      <c r="F4027" s="5">
        <v>2</v>
      </c>
      <c r="G4027" s="19">
        <v>0.1</v>
      </c>
      <c r="H4027" s="5" t="s">
        <v>454</v>
      </c>
      <c r="I4027" s="10">
        <f>IF(OR(D4027="", F4027=""), "", F4027 * VLOOKUP(D4027, Products!A:E, 5, FALSE) * (1 - G4027))</f>
        <v>816.51600000000008</v>
      </c>
      <c r="J4027" s="10"/>
    </row>
    <row r="4028" spans="1:10" ht="15.75" customHeight="1" x14ac:dyDescent="0.3">
      <c r="A4028" s="5" t="s">
        <v>4895</v>
      </c>
      <c r="B4028" s="11">
        <v>45637</v>
      </c>
      <c r="C4028" s="5" t="s">
        <v>847</v>
      </c>
      <c r="D4028" s="5" t="s">
        <v>95</v>
      </c>
      <c r="E4028" s="5" t="s">
        <v>25</v>
      </c>
      <c r="F4028" s="5">
        <v>4</v>
      </c>
      <c r="G4028" s="19">
        <v>0.15</v>
      </c>
      <c r="H4028" s="5" t="s">
        <v>454</v>
      </c>
      <c r="I4028" s="10">
        <f>IF(OR(D4028="", F4028=""), "", F4028 * VLOOKUP(D4028, Products!A:E, 5, FALSE) * (1 - G4028))</f>
        <v>4565.3499999999995</v>
      </c>
      <c r="J4028" s="10"/>
    </row>
    <row r="4029" spans="1:10" ht="15.75" customHeight="1" x14ac:dyDescent="0.3">
      <c r="A4029" s="5" t="s">
        <v>4896</v>
      </c>
      <c r="B4029" s="11">
        <v>45811</v>
      </c>
      <c r="C4029" s="5" t="s">
        <v>425</v>
      </c>
      <c r="D4029" s="5" t="s">
        <v>272</v>
      </c>
      <c r="E4029" s="5" t="s">
        <v>33</v>
      </c>
      <c r="F4029" s="5">
        <v>1</v>
      </c>
      <c r="G4029" s="19">
        <v>0</v>
      </c>
      <c r="H4029" s="5" t="s">
        <v>637</v>
      </c>
      <c r="I4029" s="10">
        <f>IF(OR(D4029="", F4029=""), "", F4029 * VLOOKUP(D4029, Products!A:E, 5, FALSE) * (1 - G4029))</f>
        <v>1165.3699999999999</v>
      </c>
      <c r="J4029" s="10"/>
    </row>
    <row r="4030" spans="1:10" ht="15.75" customHeight="1" x14ac:dyDescent="0.3">
      <c r="A4030" s="5" t="s">
        <v>4897</v>
      </c>
      <c r="B4030" s="11">
        <v>45413</v>
      </c>
      <c r="C4030" s="5" t="s">
        <v>350</v>
      </c>
      <c r="D4030" s="5" t="s">
        <v>226</v>
      </c>
      <c r="E4030" s="5" t="s">
        <v>25</v>
      </c>
      <c r="F4030" s="5">
        <v>1</v>
      </c>
      <c r="G4030" s="19">
        <v>0.15</v>
      </c>
      <c r="H4030" s="5" t="s">
        <v>454</v>
      </c>
      <c r="I4030" s="10">
        <f>IF(OR(D4030="", F4030=""), "", F4030 * VLOOKUP(D4030, Products!A:E, 5, FALSE) * (1 - G4030))</f>
        <v>1276.241</v>
      </c>
      <c r="J4030" s="10"/>
    </row>
    <row r="4031" spans="1:10" ht="15.75" customHeight="1" x14ac:dyDescent="0.3">
      <c r="A4031" s="5" t="s">
        <v>4898</v>
      </c>
      <c r="B4031" s="11">
        <v>45312</v>
      </c>
      <c r="C4031" s="5" t="s">
        <v>847</v>
      </c>
      <c r="D4031" s="5" t="s">
        <v>249</v>
      </c>
      <c r="E4031" s="5" t="s">
        <v>25</v>
      </c>
      <c r="F4031" s="5">
        <v>2</v>
      </c>
      <c r="G4031" s="19">
        <v>0.15</v>
      </c>
      <c r="H4031" s="5" t="s">
        <v>637</v>
      </c>
      <c r="I4031" s="10">
        <f>IF(OR(D4031="", F4031=""), "", F4031 * VLOOKUP(D4031, Products!A:E, 5, FALSE) * (1 - G4031))</f>
        <v>2967.5369999999998</v>
      </c>
      <c r="J4031" s="10"/>
    </row>
    <row r="4032" spans="1:10" ht="15.75" customHeight="1" x14ac:dyDescent="0.3">
      <c r="A4032" s="5" t="s">
        <v>4899</v>
      </c>
      <c r="B4032" s="11">
        <v>45236</v>
      </c>
      <c r="C4032" s="5" t="s">
        <v>597</v>
      </c>
      <c r="D4032" s="5" t="s">
        <v>272</v>
      </c>
      <c r="E4032" s="5" t="s">
        <v>25</v>
      </c>
      <c r="F4032" s="5">
        <v>5</v>
      </c>
      <c r="G4032" s="19">
        <v>0.15</v>
      </c>
      <c r="H4032" s="5" t="s">
        <v>637</v>
      </c>
      <c r="I4032" s="10">
        <f>IF(OR(D4032="", F4032=""), "", F4032 * VLOOKUP(D4032, Products!A:E, 5, FALSE) * (1 - G4032))</f>
        <v>4952.8224999999993</v>
      </c>
      <c r="J4032" s="10"/>
    </row>
    <row r="4033" spans="1:10" ht="15.75" customHeight="1" x14ac:dyDescent="0.3">
      <c r="A4033" s="5" t="s">
        <v>4900</v>
      </c>
      <c r="B4033" s="11">
        <v>45823</v>
      </c>
      <c r="C4033" s="5" t="s">
        <v>795</v>
      </c>
      <c r="D4033" s="5" t="s">
        <v>77</v>
      </c>
      <c r="E4033" s="5" t="s">
        <v>29</v>
      </c>
      <c r="F4033" s="5">
        <v>4</v>
      </c>
      <c r="G4033" s="19">
        <v>0.05</v>
      </c>
      <c r="H4033" s="5" t="s">
        <v>697</v>
      </c>
      <c r="I4033" s="10">
        <f>IF(OR(D4033="", F4033=""), "", F4033 * VLOOKUP(D4033, Products!A:E, 5, FALSE) * (1 - G4033))</f>
        <v>944.56599999999992</v>
      </c>
      <c r="J4033" s="10"/>
    </row>
    <row r="4034" spans="1:10" ht="15.75" customHeight="1" x14ac:dyDescent="0.3">
      <c r="A4034" s="5" t="s">
        <v>4901</v>
      </c>
      <c r="B4034" s="11">
        <v>45483</v>
      </c>
      <c r="C4034" s="5" t="s">
        <v>611</v>
      </c>
      <c r="D4034" s="5" t="s">
        <v>243</v>
      </c>
      <c r="E4034" s="5" t="s">
        <v>21</v>
      </c>
      <c r="F4034" s="5">
        <v>1</v>
      </c>
      <c r="G4034" s="19">
        <v>0.1</v>
      </c>
      <c r="H4034" s="5" t="s">
        <v>776</v>
      </c>
      <c r="I4034" s="10">
        <f>IF(OR(D4034="", F4034=""), "", F4034 * VLOOKUP(D4034, Products!A:E, 5, FALSE) * (1 - G4034))</f>
        <v>486.84600000000006</v>
      </c>
      <c r="J4034" s="10"/>
    </row>
    <row r="4035" spans="1:10" ht="15.75" customHeight="1" x14ac:dyDescent="0.3">
      <c r="A4035" s="5" t="s">
        <v>4902</v>
      </c>
      <c r="B4035" s="11">
        <v>45179</v>
      </c>
      <c r="C4035" s="5" t="s">
        <v>766</v>
      </c>
      <c r="D4035" s="5" t="s">
        <v>217</v>
      </c>
      <c r="E4035" s="5" t="s">
        <v>21</v>
      </c>
      <c r="F4035" s="5">
        <v>3</v>
      </c>
      <c r="G4035" s="19">
        <v>0.05</v>
      </c>
      <c r="H4035" s="5" t="s">
        <v>637</v>
      </c>
      <c r="I4035" s="10">
        <f>IF(OR(D4035="", F4035=""), "", F4035 * VLOOKUP(D4035, Products!A:E, 5, FALSE) * (1 - G4035))</f>
        <v>1219.9425000000001</v>
      </c>
      <c r="J4035" s="10"/>
    </row>
    <row r="4036" spans="1:10" ht="15.75" customHeight="1" x14ac:dyDescent="0.3">
      <c r="A4036" s="5" t="s">
        <v>4903</v>
      </c>
      <c r="B4036" s="11">
        <v>45824</v>
      </c>
      <c r="C4036" s="5" t="s">
        <v>674</v>
      </c>
      <c r="D4036" s="5" t="s">
        <v>226</v>
      </c>
      <c r="E4036" s="5" t="s">
        <v>21</v>
      </c>
      <c r="F4036" s="5">
        <v>1</v>
      </c>
      <c r="G4036" s="19">
        <v>0.1</v>
      </c>
      <c r="H4036" s="5" t="s">
        <v>454</v>
      </c>
      <c r="I4036" s="10">
        <f>IF(OR(D4036="", F4036=""), "", F4036 * VLOOKUP(D4036, Products!A:E, 5, FALSE) * (1 - G4036))</f>
        <v>1351.3140000000001</v>
      </c>
      <c r="J4036" s="10"/>
    </row>
    <row r="4037" spans="1:10" ht="15.75" customHeight="1" x14ac:dyDescent="0.3">
      <c r="A4037" s="5" t="s">
        <v>4904</v>
      </c>
      <c r="B4037" s="11">
        <v>45727</v>
      </c>
      <c r="C4037" s="5" t="s">
        <v>770</v>
      </c>
      <c r="D4037" s="5" t="s">
        <v>272</v>
      </c>
      <c r="E4037" s="5" t="s">
        <v>37</v>
      </c>
      <c r="F4037" s="5">
        <v>1</v>
      </c>
      <c r="G4037" s="19">
        <v>0</v>
      </c>
      <c r="H4037" s="5" t="s">
        <v>776</v>
      </c>
      <c r="I4037" s="10">
        <f>IF(OR(D4037="", F4037=""), "", F4037 * VLOOKUP(D4037, Products!A:E, 5, FALSE) * (1 - G4037))</f>
        <v>1165.3699999999999</v>
      </c>
      <c r="J4037" s="10"/>
    </row>
    <row r="4038" spans="1:10" ht="15.75" customHeight="1" x14ac:dyDescent="0.3">
      <c r="A4038" s="5" t="s">
        <v>4905</v>
      </c>
      <c r="B4038" s="11">
        <v>45396</v>
      </c>
      <c r="C4038" s="5" t="s">
        <v>304</v>
      </c>
      <c r="D4038" s="5" t="s">
        <v>115</v>
      </c>
      <c r="E4038" s="5" t="s">
        <v>33</v>
      </c>
      <c r="F4038" s="5">
        <v>2</v>
      </c>
      <c r="G4038" s="19">
        <v>0.05</v>
      </c>
      <c r="H4038" s="5" t="s">
        <v>776</v>
      </c>
      <c r="I4038" s="10">
        <f>IF(OR(D4038="", F4038=""), "", F4038 * VLOOKUP(D4038, Products!A:E, 5, FALSE) * (1 - G4038))</f>
        <v>2367.6089999999999</v>
      </c>
      <c r="J4038" s="10"/>
    </row>
    <row r="4039" spans="1:10" ht="15.75" customHeight="1" x14ac:dyDescent="0.3">
      <c r="A4039" s="5" t="s">
        <v>4906</v>
      </c>
      <c r="B4039" s="11">
        <v>45603</v>
      </c>
      <c r="C4039" s="5" t="s">
        <v>466</v>
      </c>
      <c r="D4039" s="5" t="s">
        <v>272</v>
      </c>
      <c r="E4039" s="5" t="s">
        <v>25</v>
      </c>
      <c r="F4039" s="5">
        <v>3</v>
      </c>
      <c r="G4039" s="19">
        <v>0.15</v>
      </c>
      <c r="H4039" s="5" t="s">
        <v>697</v>
      </c>
      <c r="I4039" s="10">
        <f>IF(OR(D4039="", F4039=""), "", F4039 * VLOOKUP(D4039, Products!A:E, 5, FALSE) * (1 - G4039))</f>
        <v>2971.6934999999999</v>
      </c>
      <c r="J4039" s="10"/>
    </row>
    <row r="4040" spans="1:10" ht="15.75" customHeight="1" x14ac:dyDescent="0.3">
      <c r="A4040" s="5" t="s">
        <v>4907</v>
      </c>
      <c r="B4040" s="11">
        <v>45191</v>
      </c>
      <c r="C4040" s="5" t="s">
        <v>255</v>
      </c>
      <c r="D4040" s="5" t="s">
        <v>265</v>
      </c>
      <c r="E4040" s="5" t="s">
        <v>33</v>
      </c>
      <c r="F4040" s="5">
        <v>1</v>
      </c>
      <c r="G4040" s="19">
        <v>0.1</v>
      </c>
      <c r="H4040" s="5" t="s">
        <v>697</v>
      </c>
      <c r="I4040" s="10">
        <f>IF(OR(D4040="", F4040=""), "", F4040 * VLOOKUP(D4040, Products!A:E, 5, FALSE) * (1 - G4040))</f>
        <v>507.97799999999995</v>
      </c>
      <c r="J4040" s="10"/>
    </row>
    <row r="4041" spans="1:10" ht="15.75" customHeight="1" x14ac:dyDescent="0.3">
      <c r="A4041" s="5" t="s">
        <v>4908</v>
      </c>
      <c r="B4041" s="11">
        <v>45342</v>
      </c>
      <c r="C4041" s="5" t="s">
        <v>705</v>
      </c>
      <c r="D4041" s="5" t="s">
        <v>109</v>
      </c>
      <c r="E4041" s="5" t="s">
        <v>21</v>
      </c>
      <c r="F4041" s="5">
        <v>2</v>
      </c>
      <c r="G4041" s="19">
        <v>0.15</v>
      </c>
      <c r="H4041" s="5" t="s">
        <v>776</v>
      </c>
      <c r="I4041" s="10">
        <f>IF(OR(D4041="", F4041=""), "", F4041 * VLOOKUP(D4041, Products!A:E, 5, FALSE) * (1 - G4041))</f>
        <v>3159.875</v>
      </c>
      <c r="J4041" s="10"/>
    </row>
    <row r="4042" spans="1:10" ht="15.75" customHeight="1" x14ac:dyDescent="0.3">
      <c r="A4042" s="5" t="s">
        <v>4909</v>
      </c>
      <c r="B4042" s="11">
        <v>45678</v>
      </c>
      <c r="C4042" s="5" t="s">
        <v>634</v>
      </c>
      <c r="D4042" s="5" t="s">
        <v>175</v>
      </c>
      <c r="E4042" s="5" t="s">
        <v>25</v>
      </c>
      <c r="F4042" s="5">
        <v>1</v>
      </c>
      <c r="G4042" s="19">
        <v>0.05</v>
      </c>
      <c r="H4042" s="5" t="s">
        <v>776</v>
      </c>
      <c r="I4042" s="10">
        <f>IF(OR(D4042="", F4042=""), "", F4042 * VLOOKUP(D4042, Products!A:E, 5, FALSE) * (1 - G4042))</f>
        <v>1208.6185</v>
      </c>
      <c r="J4042" s="10"/>
    </row>
    <row r="4043" spans="1:10" ht="15.75" customHeight="1" x14ac:dyDescent="0.3">
      <c r="A4043" s="5" t="s">
        <v>4910</v>
      </c>
      <c r="B4043" s="11">
        <v>45670</v>
      </c>
      <c r="C4043" s="5" t="s">
        <v>353</v>
      </c>
      <c r="D4043" s="5" t="s">
        <v>95</v>
      </c>
      <c r="E4043" s="5" t="s">
        <v>33</v>
      </c>
      <c r="F4043" s="5">
        <v>5</v>
      </c>
      <c r="G4043" s="19">
        <v>0.1</v>
      </c>
      <c r="H4043" s="5" t="s">
        <v>454</v>
      </c>
      <c r="I4043" s="10">
        <f>IF(OR(D4043="", F4043=""), "", F4043 * VLOOKUP(D4043, Products!A:E, 5, FALSE) * (1 - G4043))</f>
        <v>6042.375</v>
      </c>
      <c r="J4043" s="10"/>
    </row>
    <row r="4044" spans="1:10" ht="15.75" customHeight="1" x14ac:dyDescent="0.3">
      <c r="A4044" s="5" t="s">
        <v>4911</v>
      </c>
      <c r="B4044" s="11">
        <v>45264</v>
      </c>
      <c r="C4044" s="5" t="s">
        <v>819</v>
      </c>
      <c r="D4044" s="5" t="s">
        <v>128</v>
      </c>
      <c r="E4044" s="5" t="s">
        <v>25</v>
      </c>
      <c r="F4044" s="5">
        <v>5</v>
      </c>
      <c r="G4044" s="19">
        <v>0.15</v>
      </c>
      <c r="H4044" s="5" t="s">
        <v>697</v>
      </c>
      <c r="I4044" s="10">
        <f>IF(OR(D4044="", F4044=""), "", F4044 * VLOOKUP(D4044, Products!A:E, 5, FALSE) * (1 - G4044))</f>
        <v>1376.66</v>
      </c>
      <c r="J4044" s="10"/>
    </row>
    <row r="4045" spans="1:10" ht="15.75" customHeight="1" x14ac:dyDescent="0.3">
      <c r="A4045" s="5" t="s">
        <v>4912</v>
      </c>
      <c r="B4045" s="11">
        <v>45332</v>
      </c>
      <c r="C4045" s="5" t="s">
        <v>829</v>
      </c>
      <c r="D4045" s="5" t="s">
        <v>193</v>
      </c>
      <c r="E4045" s="5" t="s">
        <v>21</v>
      </c>
      <c r="F4045" s="5">
        <v>5</v>
      </c>
      <c r="G4045" s="19">
        <v>0.05</v>
      </c>
      <c r="H4045" s="5" t="s">
        <v>637</v>
      </c>
      <c r="I4045" s="10">
        <f>IF(OR(D4045="", F4045=""), "", F4045 * VLOOKUP(D4045, Products!A:E, 5, FALSE) * (1 - G4045))</f>
        <v>138.88999999999999</v>
      </c>
      <c r="J4045" s="10"/>
    </row>
    <row r="4046" spans="1:10" ht="15.75" customHeight="1" x14ac:dyDescent="0.3">
      <c r="A4046" s="5" t="s">
        <v>4913</v>
      </c>
      <c r="B4046" s="11">
        <v>45479</v>
      </c>
      <c r="C4046" s="5" t="s">
        <v>405</v>
      </c>
      <c r="D4046" s="5" t="s">
        <v>193</v>
      </c>
      <c r="E4046" s="5" t="s">
        <v>29</v>
      </c>
      <c r="F4046" s="5">
        <v>2</v>
      </c>
      <c r="G4046" s="19">
        <v>0.1</v>
      </c>
      <c r="H4046" s="5" t="s">
        <v>454</v>
      </c>
      <c r="I4046" s="10">
        <f>IF(OR(D4046="", F4046=""), "", F4046 * VLOOKUP(D4046, Products!A:E, 5, FALSE) * (1 - G4046))</f>
        <v>52.631999999999998</v>
      </c>
      <c r="J4046" s="10"/>
    </row>
    <row r="4047" spans="1:10" ht="15.75" customHeight="1" x14ac:dyDescent="0.3">
      <c r="A4047" s="5" t="s">
        <v>4914</v>
      </c>
      <c r="B4047" s="11">
        <v>45595</v>
      </c>
      <c r="C4047" s="5" t="s">
        <v>773</v>
      </c>
      <c r="D4047" s="5" t="s">
        <v>249</v>
      </c>
      <c r="E4047" s="5" t="s">
        <v>25</v>
      </c>
      <c r="F4047" s="5">
        <v>2</v>
      </c>
      <c r="G4047" s="19">
        <v>0.05</v>
      </c>
      <c r="H4047" s="5" t="s">
        <v>697</v>
      </c>
      <c r="I4047" s="10">
        <f>IF(OR(D4047="", F4047=""), "", F4047 * VLOOKUP(D4047, Products!A:E, 5, FALSE) * (1 - G4047))</f>
        <v>3316.6589999999997</v>
      </c>
      <c r="J4047" s="10"/>
    </row>
    <row r="4048" spans="1:10" ht="15.75" customHeight="1" x14ac:dyDescent="0.3">
      <c r="A4048" s="5" t="s">
        <v>4915</v>
      </c>
      <c r="B4048" s="11">
        <v>45667</v>
      </c>
      <c r="C4048" s="5" t="s">
        <v>304</v>
      </c>
      <c r="D4048" s="5" t="s">
        <v>193</v>
      </c>
      <c r="E4048" s="5" t="s">
        <v>33</v>
      </c>
      <c r="F4048" s="5">
        <v>2</v>
      </c>
      <c r="G4048" s="19">
        <v>0.05</v>
      </c>
      <c r="H4048" s="5" t="s">
        <v>697</v>
      </c>
      <c r="I4048" s="10">
        <f>IF(OR(D4048="", F4048=""), "", F4048 * VLOOKUP(D4048, Products!A:E, 5, FALSE) * (1 - G4048))</f>
        <v>55.555999999999997</v>
      </c>
      <c r="J4048" s="10"/>
    </row>
    <row r="4049" spans="1:10" ht="15.75" customHeight="1" x14ac:dyDescent="0.3">
      <c r="A4049" s="5" t="s">
        <v>4916</v>
      </c>
      <c r="B4049" s="11">
        <v>45844</v>
      </c>
      <c r="C4049" s="5" t="s">
        <v>16</v>
      </c>
      <c r="D4049" s="5" t="s">
        <v>54</v>
      </c>
      <c r="E4049" s="5" t="s">
        <v>29</v>
      </c>
      <c r="F4049" s="5">
        <v>3</v>
      </c>
      <c r="G4049" s="19">
        <v>0.15</v>
      </c>
      <c r="H4049" s="5" t="s">
        <v>697</v>
      </c>
      <c r="I4049" s="10">
        <f>IF(OR(D4049="", F4049=""), "", F4049 * VLOOKUP(D4049, Products!A:E, 5, FALSE) * (1 - G4049))</f>
        <v>4727.1134999999995</v>
      </c>
      <c r="J4049" s="10"/>
    </row>
    <row r="4050" spans="1:10" ht="15.75" customHeight="1" x14ac:dyDescent="0.3">
      <c r="A4050" s="5" t="s">
        <v>4917</v>
      </c>
      <c r="B4050" s="11">
        <v>45843</v>
      </c>
      <c r="C4050" s="5" t="s">
        <v>507</v>
      </c>
      <c r="D4050" s="5" t="s">
        <v>43</v>
      </c>
      <c r="E4050" s="5" t="s">
        <v>25</v>
      </c>
      <c r="F4050" s="5">
        <v>2</v>
      </c>
      <c r="G4050" s="19">
        <v>0.05</v>
      </c>
      <c r="H4050" s="5" t="s">
        <v>637</v>
      </c>
      <c r="I4050" s="10">
        <f>IF(OR(D4050="", F4050=""), "", F4050 * VLOOKUP(D4050, Products!A:E, 5, FALSE) * (1 - G4050))</f>
        <v>3180.011</v>
      </c>
      <c r="J4050" s="10"/>
    </row>
    <row r="4051" spans="1:10" ht="15.75" customHeight="1" x14ac:dyDescent="0.3">
      <c r="A4051" s="5" t="s">
        <v>4918</v>
      </c>
      <c r="B4051" s="11">
        <v>45432</v>
      </c>
      <c r="C4051" s="5" t="s">
        <v>575</v>
      </c>
      <c r="D4051" s="5" t="s">
        <v>285</v>
      </c>
      <c r="E4051" s="5" t="s">
        <v>21</v>
      </c>
      <c r="F4051" s="5">
        <v>5</v>
      </c>
      <c r="G4051" s="19">
        <v>0.1</v>
      </c>
      <c r="H4051" s="5" t="s">
        <v>776</v>
      </c>
      <c r="I4051" s="10">
        <f>IF(OR(D4051="", F4051=""), "", F4051 * VLOOKUP(D4051, Products!A:E, 5, FALSE) * (1 - G4051))</f>
        <v>1747.17</v>
      </c>
      <c r="J4051" s="10"/>
    </row>
    <row r="4052" spans="1:10" ht="15.75" customHeight="1" x14ac:dyDescent="0.3">
      <c r="A4052" s="5" t="s">
        <v>4919</v>
      </c>
      <c r="B4052" s="11">
        <v>45753</v>
      </c>
      <c r="C4052" s="5" t="s">
        <v>615</v>
      </c>
      <c r="D4052" s="5" t="s">
        <v>89</v>
      </c>
      <c r="E4052" s="5" t="s">
        <v>33</v>
      </c>
      <c r="F4052" s="5">
        <v>1</v>
      </c>
      <c r="G4052" s="19">
        <v>0</v>
      </c>
      <c r="H4052" s="5" t="s">
        <v>637</v>
      </c>
      <c r="I4052" s="10">
        <f>IF(OR(D4052="", F4052=""), "", F4052 * VLOOKUP(D4052, Products!A:E, 5, FALSE) * (1 - G4052))</f>
        <v>1134.8</v>
      </c>
      <c r="J4052" s="10"/>
    </row>
    <row r="4053" spans="1:10" ht="15.75" customHeight="1" x14ac:dyDescent="0.3">
      <c r="A4053" s="5" t="s">
        <v>4920</v>
      </c>
      <c r="B4053" s="11">
        <v>45702</v>
      </c>
      <c r="C4053" s="5" t="s">
        <v>149</v>
      </c>
      <c r="D4053" s="5" t="s">
        <v>147</v>
      </c>
      <c r="E4053" s="5" t="s">
        <v>37</v>
      </c>
      <c r="F4053" s="5">
        <v>2</v>
      </c>
      <c r="G4053" s="19">
        <v>0.15</v>
      </c>
      <c r="H4053" s="5" t="s">
        <v>637</v>
      </c>
      <c r="I4053" s="10">
        <f>IF(OR(D4053="", F4053=""), "", F4053 * VLOOKUP(D4053, Products!A:E, 5, FALSE) * (1 - G4053))</f>
        <v>3193.3989999999999</v>
      </c>
      <c r="J4053" s="10"/>
    </row>
    <row r="4054" spans="1:10" ht="15.75" customHeight="1" x14ac:dyDescent="0.3">
      <c r="A4054" s="5" t="s">
        <v>4921</v>
      </c>
      <c r="B4054" s="11">
        <v>45851</v>
      </c>
      <c r="C4054" s="5" t="s">
        <v>255</v>
      </c>
      <c r="D4054" s="5" t="s">
        <v>226</v>
      </c>
      <c r="E4054" s="5" t="s">
        <v>37</v>
      </c>
      <c r="F4054" s="5">
        <v>2</v>
      </c>
      <c r="G4054" s="19">
        <v>0.05</v>
      </c>
      <c r="H4054" s="5" t="s">
        <v>637</v>
      </c>
      <c r="I4054" s="10">
        <f>IF(OR(D4054="", F4054=""), "", F4054 * VLOOKUP(D4054, Products!A:E, 5, FALSE) * (1 - G4054))</f>
        <v>2852.7739999999999</v>
      </c>
      <c r="J4054" s="10"/>
    </row>
    <row r="4055" spans="1:10" ht="15.75" customHeight="1" x14ac:dyDescent="0.3">
      <c r="A4055" s="5" t="s">
        <v>4922</v>
      </c>
      <c r="B4055" s="11">
        <v>45551</v>
      </c>
      <c r="C4055" s="5" t="s">
        <v>137</v>
      </c>
      <c r="D4055" s="5" t="s">
        <v>232</v>
      </c>
      <c r="E4055" s="5" t="s">
        <v>21</v>
      </c>
      <c r="F4055" s="5">
        <v>1</v>
      </c>
      <c r="G4055" s="19">
        <v>0.15</v>
      </c>
      <c r="H4055" s="5" t="s">
        <v>776</v>
      </c>
      <c r="I4055" s="10">
        <f>IF(OR(D4055="", F4055=""), "", F4055 * VLOOKUP(D4055, Products!A:E, 5, FALSE) * (1 - G4055))</f>
        <v>1659.7525000000001</v>
      </c>
      <c r="J4055" s="10"/>
    </row>
    <row r="4056" spans="1:10" ht="15.75" customHeight="1" x14ac:dyDescent="0.3">
      <c r="A4056" s="5" t="s">
        <v>4923</v>
      </c>
      <c r="B4056" s="11">
        <v>45567</v>
      </c>
      <c r="C4056" s="5" t="s">
        <v>308</v>
      </c>
      <c r="D4056" s="5" t="s">
        <v>115</v>
      </c>
      <c r="E4056" s="5" t="s">
        <v>33</v>
      </c>
      <c r="F4056" s="5">
        <v>1</v>
      </c>
      <c r="G4056" s="19">
        <v>0.1</v>
      </c>
      <c r="H4056" s="5" t="s">
        <v>697</v>
      </c>
      <c r="I4056" s="10">
        <f>IF(OR(D4056="", F4056=""), "", F4056 * VLOOKUP(D4056, Products!A:E, 5, FALSE) * (1 - G4056))</f>
        <v>1121.499</v>
      </c>
      <c r="J4056" s="10"/>
    </row>
    <row r="4057" spans="1:10" ht="15.75" customHeight="1" x14ac:dyDescent="0.3">
      <c r="A4057" s="5" t="s">
        <v>4924</v>
      </c>
      <c r="B4057" s="11">
        <v>45593</v>
      </c>
      <c r="C4057" s="5" t="s">
        <v>691</v>
      </c>
      <c r="D4057" s="5" t="s">
        <v>95</v>
      </c>
      <c r="E4057" s="5" t="s">
        <v>37</v>
      </c>
      <c r="F4057" s="5">
        <v>2</v>
      </c>
      <c r="G4057" s="19">
        <v>0</v>
      </c>
      <c r="H4057" s="5" t="s">
        <v>637</v>
      </c>
      <c r="I4057" s="10">
        <f>IF(OR(D4057="", F4057=""), "", F4057 * VLOOKUP(D4057, Products!A:E, 5, FALSE) * (1 - G4057))</f>
        <v>2685.5</v>
      </c>
      <c r="J4057" s="10"/>
    </row>
    <row r="4058" spans="1:10" ht="15.75" customHeight="1" x14ac:dyDescent="0.3">
      <c r="A4058" s="5" t="s">
        <v>4925</v>
      </c>
      <c r="B4058" s="11">
        <v>45750</v>
      </c>
      <c r="C4058" s="5" t="s">
        <v>602</v>
      </c>
      <c r="D4058" s="5" t="s">
        <v>47</v>
      </c>
      <c r="E4058" s="5" t="s">
        <v>33</v>
      </c>
      <c r="F4058" s="5">
        <v>3</v>
      </c>
      <c r="G4058" s="19">
        <v>0.1</v>
      </c>
      <c r="H4058" s="5" t="s">
        <v>637</v>
      </c>
      <c r="I4058" s="10">
        <f>IF(OR(D4058="", F4058=""), "", F4058 * VLOOKUP(D4058, Products!A:E, 5, FALSE) * (1 - G4058))</f>
        <v>2210.652</v>
      </c>
      <c r="J4058" s="10"/>
    </row>
    <row r="4059" spans="1:10" ht="15.75" customHeight="1" x14ac:dyDescent="0.3">
      <c r="A4059" s="5" t="s">
        <v>4926</v>
      </c>
      <c r="B4059" s="11">
        <v>45387</v>
      </c>
      <c r="C4059" s="5" t="s">
        <v>620</v>
      </c>
      <c r="D4059" s="5" t="s">
        <v>43</v>
      </c>
      <c r="E4059" s="5" t="s">
        <v>25</v>
      </c>
      <c r="F4059" s="5">
        <v>3</v>
      </c>
      <c r="G4059" s="19">
        <v>0.15</v>
      </c>
      <c r="H4059" s="5" t="s">
        <v>454</v>
      </c>
      <c r="I4059" s="10">
        <f>IF(OR(D4059="", F4059=""), "", F4059 * VLOOKUP(D4059, Products!A:E, 5, FALSE) * (1 - G4059))</f>
        <v>4267.9094999999998</v>
      </c>
      <c r="J4059" s="10"/>
    </row>
    <row r="4060" spans="1:10" ht="15.75" customHeight="1" x14ac:dyDescent="0.3">
      <c r="A4060" s="5" t="s">
        <v>4927</v>
      </c>
      <c r="B4060" s="11">
        <v>45538</v>
      </c>
      <c r="C4060" s="5" t="s">
        <v>281</v>
      </c>
      <c r="D4060" s="5" t="s">
        <v>95</v>
      </c>
      <c r="E4060" s="5" t="s">
        <v>25</v>
      </c>
      <c r="F4060" s="5">
        <v>2</v>
      </c>
      <c r="G4060" s="19">
        <v>0.05</v>
      </c>
      <c r="H4060" s="5" t="s">
        <v>697</v>
      </c>
      <c r="I4060" s="10">
        <f>IF(OR(D4060="", F4060=""), "", F4060 * VLOOKUP(D4060, Products!A:E, 5, FALSE) * (1 - G4060))</f>
        <v>2551.2249999999999</v>
      </c>
      <c r="J4060" s="10"/>
    </row>
    <row r="4061" spans="1:10" ht="15.75" customHeight="1" x14ac:dyDescent="0.3">
      <c r="A4061" s="5" t="s">
        <v>4928</v>
      </c>
      <c r="B4061" s="11">
        <v>45491</v>
      </c>
      <c r="C4061" s="5" t="s">
        <v>296</v>
      </c>
      <c r="D4061" s="5" t="s">
        <v>175</v>
      </c>
      <c r="E4061" s="5" t="s">
        <v>25</v>
      </c>
      <c r="F4061" s="5">
        <v>5</v>
      </c>
      <c r="G4061" s="19">
        <v>0</v>
      </c>
      <c r="H4061" s="5" t="s">
        <v>776</v>
      </c>
      <c r="I4061" s="10">
        <f>IF(OR(D4061="", F4061=""), "", F4061 * VLOOKUP(D4061, Products!A:E, 5, FALSE) * (1 - G4061))</f>
        <v>6361.15</v>
      </c>
      <c r="J4061" s="10"/>
    </row>
    <row r="4062" spans="1:10" ht="15.75" customHeight="1" x14ac:dyDescent="0.3">
      <c r="A4062" s="5" t="s">
        <v>4929</v>
      </c>
      <c r="B4062" s="11">
        <v>45464</v>
      </c>
      <c r="C4062" s="5" t="s">
        <v>859</v>
      </c>
      <c r="D4062" s="5" t="s">
        <v>217</v>
      </c>
      <c r="E4062" s="5" t="s">
        <v>37</v>
      </c>
      <c r="F4062" s="5">
        <v>3</v>
      </c>
      <c r="G4062" s="19">
        <v>0.1</v>
      </c>
      <c r="H4062" s="5" t="s">
        <v>697</v>
      </c>
      <c r="I4062" s="10">
        <f>IF(OR(D4062="", F4062=""), "", F4062 * VLOOKUP(D4062, Products!A:E, 5, FALSE) * (1 - G4062))</f>
        <v>1155.7350000000001</v>
      </c>
      <c r="J4062" s="10"/>
    </row>
    <row r="4063" spans="1:10" ht="15.75" customHeight="1" x14ac:dyDescent="0.3">
      <c r="A4063" s="5" t="s">
        <v>4930</v>
      </c>
      <c r="B4063" s="11">
        <v>45657</v>
      </c>
      <c r="C4063" s="5" t="s">
        <v>499</v>
      </c>
      <c r="D4063" s="5" t="s">
        <v>57</v>
      </c>
      <c r="E4063" s="5" t="s">
        <v>37</v>
      </c>
      <c r="F4063" s="5">
        <v>5</v>
      </c>
      <c r="G4063" s="19">
        <v>0.05</v>
      </c>
      <c r="H4063" s="5" t="s">
        <v>697</v>
      </c>
      <c r="I4063" s="10">
        <f>IF(OR(D4063="", F4063=""), "", F4063 * VLOOKUP(D4063, Products!A:E, 5, FALSE) * (1 - G4063))</f>
        <v>6632.0450000000001</v>
      </c>
      <c r="J4063" s="10"/>
    </row>
    <row r="4064" spans="1:10" ht="15.75" customHeight="1" x14ac:dyDescent="0.3">
      <c r="A4064" s="5" t="s">
        <v>4931</v>
      </c>
      <c r="B4064" s="11">
        <v>45648</v>
      </c>
      <c r="C4064" s="5" t="s">
        <v>334</v>
      </c>
      <c r="D4064" s="5" t="s">
        <v>103</v>
      </c>
      <c r="E4064" s="5" t="s">
        <v>29</v>
      </c>
      <c r="F4064" s="5">
        <v>4</v>
      </c>
      <c r="G4064" s="19">
        <v>0</v>
      </c>
      <c r="H4064" s="5" t="s">
        <v>637</v>
      </c>
      <c r="I4064" s="10">
        <f>IF(OR(D4064="", F4064=""), "", F4064 * VLOOKUP(D4064, Products!A:E, 5, FALSE) * (1 - G4064))</f>
        <v>1081.8</v>
      </c>
      <c r="J4064" s="10"/>
    </row>
    <row r="4065" spans="1:10" ht="15.75" customHeight="1" x14ac:dyDescent="0.3">
      <c r="A4065" s="5" t="s">
        <v>4932</v>
      </c>
      <c r="B4065" s="11">
        <v>45187</v>
      </c>
      <c r="C4065" s="5" t="s">
        <v>338</v>
      </c>
      <c r="D4065" s="5" t="s">
        <v>122</v>
      </c>
      <c r="E4065" s="5" t="s">
        <v>37</v>
      </c>
      <c r="F4065" s="5">
        <v>3</v>
      </c>
      <c r="G4065" s="19">
        <v>0.05</v>
      </c>
      <c r="H4065" s="5" t="s">
        <v>454</v>
      </c>
      <c r="I4065" s="10">
        <f>IF(OR(D4065="", F4065=""), "", F4065 * VLOOKUP(D4065, Products!A:E, 5, FALSE) * (1 - G4065))</f>
        <v>5024.3220000000001</v>
      </c>
      <c r="J4065" s="10"/>
    </row>
    <row r="4066" spans="1:10" ht="15.75" customHeight="1" x14ac:dyDescent="0.3">
      <c r="A4066" s="5" t="s">
        <v>4933</v>
      </c>
      <c r="B4066" s="11">
        <v>45265</v>
      </c>
      <c r="C4066" s="5" t="s">
        <v>774</v>
      </c>
      <c r="D4066" s="5" t="s">
        <v>95</v>
      </c>
      <c r="E4066" s="5" t="s">
        <v>21</v>
      </c>
      <c r="F4066" s="5">
        <v>4</v>
      </c>
      <c r="G4066" s="19">
        <v>0.05</v>
      </c>
      <c r="H4066" s="5" t="s">
        <v>637</v>
      </c>
      <c r="I4066" s="10">
        <f>IF(OR(D4066="", F4066=""), "", F4066 * VLOOKUP(D4066, Products!A:E, 5, FALSE) * (1 - G4066))</f>
        <v>5102.45</v>
      </c>
      <c r="J4066" s="10"/>
    </row>
    <row r="4067" spans="1:10" ht="15.75" customHeight="1" x14ac:dyDescent="0.3">
      <c r="A4067" s="5" t="s">
        <v>4934</v>
      </c>
      <c r="B4067" s="11">
        <v>45295</v>
      </c>
      <c r="C4067" s="5" t="s">
        <v>401</v>
      </c>
      <c r="D4067" s="5" t="s">
        <v>77</v>
      </c>
      <c r="E4067" s="5" t="s">
        <v>21</v>
      </c>
      <c r="F4067" s="5">
        <v>1</v>
      </c>
      <c r="G4067" s="19">
        <v>0</v>
      </c>
      <c r="H4067" s="5" t="s">
        <v>454</v>
      </c>
      <c r="I4067" s="10">
        <f>IF(OR(D4067="", F4067=""), "", F4067 * VLOOKUP(D4067, Products!A:E, 5, FALSE) * (1 - G4067))</f>
        <v>248.57</v>
      </c>
      <c r="J4067" s="10"/>
    </row>
    <row r="4068" spans="1:10" ht="15.75" customHeight="1" x14ac:dyDescent="0.3">
      <c r="A4068" s="5" t="s">
        <v>4935</v>
      </c>
      <c r="B4068" s="11">
        <v>45704</v>
      </c>
      <c r="C4068" s="5" t="s">
        <v>546</v>
      </c>
      <c r="D4068" s="5" t="s">
        <v>249</v>
      </c>
      <c r="E4068" s="5" t="s">
        <v>33</v>
      </c>
      <c r="F4068" s="5">
        <v>3</v>
      </c>
      <c r="G4068" s="19">
        <v>0</v>
      </c>
      <c r="H4068" s="5" t="s">
        <v>697</v>
      </c>
      <c r="I4068" s="10">
        <f>IF(OR(D4068="", F4068=""), "", F4068 * VLOOKUP(D4068, Products!A:E, 5, FALSE) * (1 - G4068))</f>
        <v>5236.83</v>
      </c>
      <c r="J4068" s="10"/>
    </row>
    <row r="4069" spans="1:10" ht="15.75" customHeight="1" x14ac:dyDescent="0.3">
      <c r="A4069" s="5" t="s">
        <v>4936</v>
      </c>
      <c r="B4069" s="11">
        <v>45449</v>
      </c>
      <c r="C4069" s="5" t="s">
        <v>69</v>
      </c>
      <c r="D4069" s="5" t="s">
        <v>61</v>
      </c>
      <c r="E4069" s="5" t="s">
        <v>33</v>
      </c>
      <c r="F4069" s="5">
        <v>3</v>
      </c>
      <c r="G4069" s="19">
        <v>0.05</v>
      </c>
      <c r="H4069" s="5" t="s">
        <v>454</v>
      </c>
      <c r="I4069" s="10">
        <f>IF(OR(D4069="", F4069=""), "", F4069 * VLOOKUP(D4069, Products!A:E, 5, FALSE) * (1 - G4069))</f>
        <v>906.4425</v>
      </c>
      <c r="J4069" s="10"/>
    </row>
    <row r="4070" spans="1:10" ht="15.75" customHeight="1" x14ac:dyDescent="0.3">
      <c r="A4070" s="5" t="s">
        <v>4937</v>
      </c>
      <c r="B4070" s="11">
        <v>45691</v>
      </c>
      <c r="C4070" s="5" t="s">
        <v>872</v>
      </c>
      <c r="D4070" s="5" t="s">
        <v>221</v>
      </c>
      <c r="E4070" s="5" t="s">
        <v>21</v>
      </c>
      <c r="F4070" s="5">
        <v>5</v>
      </c>
      <c r="G4070" s="19">
        <v>0.1</v>
      </c>
      <c r="H4070" s="5" t="s">
        <v>697</v>
      </c>
      <c r="I4070" s="10">
        <f>IF(OR(D4070="", F4070=""), "", F4070 * VLOOKUP(D4070, Products!A:E, 5, FALSE) * (1 - G4070))</f>
        <v>7030.9350000000004</v>
      </c>
      <c r="J4070" s="10"/>
    </row>
    <row r="4071" spans="1:10" ht="15.75" customHeight="1" x14ac:dyDescent="0.3">
      <c r="A4071" s="5" t="s">
        <v>4938</v>
      </c>
      <c r="B4071" s="11">
        <v>45238</v>
      </c>
      <c r="C4071" s="5" t="s">
        <v>91</v>
      </c>
      <c r="D4071" s="5" t="s">
        <v>232</v>
      </c>
      <c r="E4071" s="5" t="s">
        <v>21</v>
      </c>
      <c r="F4071" s="5">
        <v>2</v>
      </c>
      <c r="G4071" s="19">
        <v>0.15</v>
      </c>
      <c r="H4071" s="5" t="s">
        <v>697</v>
      </c>
      <c r="I4071" s="10">
        <f>IF(OR(D4071="", F4071=""), "", F4071 * VLOOKUP(D4071, Products!A:E, 5, FALSE) * (1 - G4071))</f>
        <v>3319.5050000000001</v>
      </c>
      <c r="J4071" s="10"/>
    </row>
    <row r="4072" spans="1:10" ht="15.75" customHeight="1" x14ac:dyDescent="0.3">
      <c r="A4072" s="5" t="s">
        <v>4939</v>
      </c>
      <c r="B4072" s="11">
        <v>45199</v>
      </c>
      <c r="C4072" s="5" t="s">
        <v>550</v>
      </c>
      <c r="D4072" s="5" t="s">
        <v>243</v>
      </c>
      <c r="E4072" s="5" t="s">
        <v>21</v>
      </c>
      <c r="F4072" s="5">
        <v>5</v>
      </c>
      <c r="G4072" s="19">
        <v>0.1</v>
      </c>
      <c r="H4072" s="5" t="s">
        <v>637</v>
      </c>
      <c r="I4072" s="10">
        <f>IF(OR(D4072="", F4072=""), "", F4072 * VLOOKUP(D4072, Products!A:E, 5, FALSE) * (1 - G4072))</f>
        <v>2434.2300000000005</v>
      </c>
      <c r="J4072" s="10"/>
    </row>
    <row r="4073" spans="1:10" ht="15.75" customHeight="1" x14ac:dyDescent="0.3">
      <c r="A4073" s="5" t="s">
        <v>4940</v>
      </c>
      <c r="B4073" s="11">
        <v>45318</v>
      </c>
      <c r="C4073" s="5" t="s">
        <v>387</v>
      </c>
      <c r="D4073" s="5" t="s">
        <v>249</v>
      </c>
      <c r="E4073" s="5" t="s">
        <v>37</v>
      </c>
      <c r="F4073" s="5">
        <v>4</v>
      </c>
      <c r="G4073" s="19">
        <v>0.1</v>
      </c>
      <c r="H4073" s="5" t="s">
        <v>637</v>
      </c>
      <c r="I4073" s="10">
        <f>IF(OR(D4073="", F4073=""), "", F4073 * VLOOKUP(D4073, Products!A:E, 5, FALSE) * (1 - G4073))</f>
        <v>6284.1959999999999</v>
      </c>
      <c r="J4073" s="10"/>
    </row>
    <row r="4074" spans="1:10" ht="15.75" customHeight="1" x14ac:dyDescent="0.3">
      <c r="A4074" s="5" t="s">
        <v>4941</v>
      </c>
      <c r="B4074" s="11">
        <v>45321</v>
      </c>
      <c r="C4074" s="5" t="s">
        <v>177</v>
      </c>
      <c r="D4074" s="5" t="s">
        <v>262</v>
      </c>
      <c r="E4074" s="5" t="s">
        <v>29</v>
      </c>
      <c r="F4074" s="5">
        <v>3</v>
      </c>
      <c r="G4074" s="19">
        <v>0.15</v>
      </c>
      <c r="H4074" s="5" t="s">
        <v>776</v>
      </c>
      <c r="I4074" s="10">
        <f>IF(OR(D4074="", F4074=""), "", F4074 * VLOOKUP(D4074, Products!A:E, 5, FALSE) * (1 - G4074))</f>
        <v>1156.731</v>
      </c>
      <c r="J4074" s="10"/>
    </row>
    <row r="4075" spans="1:10" ht="15.75" customHeight="1" x14ac:dyDescent="0.3">
      <c r="A4075" s="5" t="s">
        <v>4942</v>
      </c>
      <c r="B4075" s="11">
        <v>45269</v>
      </c>
      <c r="C4075" s="5" t="s">
        <v>515</v>
      </c>
      <c r="D4075" s="5" t="s">
        <v>147</v>
      </c>
      <c r="E4075" s="5" t="s">
        <v>29</v>
      </c>
      <c r="F4075" s="5">
        <v>3</v>
      </c>
      <c r="G4075" s="19">
        <v>0</v>
      </c>
      <c r="H4075" s="5" t="s">
        <v>697</v>
      </c>
      <c r="I4075" s="10">
        <f>IF(OR(D4075="", F4075=""), "", F4075 * VLOOKUP(D4075, Products!A:E, 5, FALSE) * (1 - G4075))</f>
        <v>5635.41</v>
      </c>
      <c r="J4075" s="10"/>
    </row>
    <row r="4076" spans="1:10" ht="15.75" customHeight="1" x14ac:dyDescent="0.3">
      <c r="A4076" s="5" t="s">
        <v>4943</v>
      </c>
      <c r="B4076" s="11">
        <v>45782</v>
      </c>
      <c r="C4076" s="5" t="s">
        <v>750</v>
      </c>
      <c r="D4076" s="5" t="s">
        <v>134</v>
      </c>
      <c r="E4076" s="5" t="s">
        <v>21</v>
      </c>
      <c r="F4076" s="5">
        <v>3</v>
      </c>
      <c r="G4076" s="19">
        <v>0</v>
      </c>
      <c r="H4076" s="5" t="s">
        <v>637</v>
      </c>
      <c r="I4076" s="10">
        <f>IF(OR(D4076="", F4076=""), "", F4076 * VLOOKUP(D4076, Products!A:E, 5, FALSE) * (1 - G4076))</f>
        <v>3681.7200000000003</v>
      </c>
      <c r="J4076" s="10"/>
    </row>
    <row r="4077" spans="1:10" ht="15.75" customHeight="1" x14ac:dyDescent="0.3">
      <c r="A4077" s="5" t="s">
        <v>4944</v>
      </c>
      <c r="B4077" s="11">
        <v>45424</v>
      </c>
      <c r="C4077" s="5" t="s">
        <v>829</v>
      </c>
      <c r="D4077" s="5" t="s">
        <v>147</v>
      </c>
      <c r="E4077" s="5" t="s">
        <v>29</v>
      </c>
      <c r="F4077" s="5">
        <v>1</v>
      </c>
      <c r="G4077" s="19">
        <v>0</v>
      </c>
      <c r="H4077" s="5" t="s">
        <v>454</v>
      </c>
      <c r="I4077" s="10">
        <f>IF(OR(D4077="", F4077=""), "", F4077 * VLOOKUP(D4077, Products!A:E, 5, FALSE) * (1 - G4077))</f>
        <v>1878.47</v>
      </c>
      <c r="J4077" s="10"/>
    </row>
    <row r="4078" spans="1:10" ht="15.75" customHeight="1" x14ac:dyDescent="0.3">
      <c r="A4078" s="5" t="s">
        <v>4945</v>
      </c>
      <c r="B4078" s="11">
        <v>45874</v>
      </c>
      <c r="C4078" s="5" t="s">
        <v>484</v>
      </c>
      <c r="D4078" s="5" t="s">
        <v>180</v>
      </c>
      <c r="E4078" s="5" t="s">
        <v>33</v>
      </c>
      <c r="F4078" s="5">
        <v>3</v>
      </c>
      <c r="G4078" s="19">
        <v>0</v>
      </c>
      <c r="H4078" s="5" t="s">
        <v>776</v>
      </c>
      <c r="I4078" s="10">
        <f>IF(OR(D4078="", F4078=""), "", F4078 * VLOOKUP(D4078, Products!A:E, 5, FALSE) * (1 - G4078))</f>
        <v>2021.34</v>
      </c>
      <c r="J4078" s="10"/>
    </row>
    <row r="4079" spans="1:10" ht="15.75" customHeight="1" x14ac:dyDescent="0.3">
      <c r="A4079" s="5" t="s">
        <v>4946</v>
      </c>
      <c r="B4079" s="11">
        <v>45594</v>
      </c>
      <c r="C4079" s="5" t="s">
        <v>708</v>
      </c>
      <c r="D4079" s="5" t="s">
        <v>61</v>
      </c>
      <c r="E4079" s="5" t="s">
        <v>33</v>
      </c>
      <c r="F4079" s="5">
        <v>5</v>
      </c>
      <c r="G4079" s="19">
        <v>0.05</v>
      </c>
      <c r="H4079" s="5" t="s">
        <v>454</v>
      </c>
      <c r="I4079" s="10">
        <f>IF(OR(D4079="", F4079=""), "", F4079 * VLOOKUP(D4079, Products!A:E, 5, FALSE) * (1 - G4079))</f>
        <v>1510.7375</v>
      </c>
      <c r="J4079" s="10"/>
    </row>
    <row r="4080" spans="1:10" ht="15.75" customHeight="1" x14ac:dyDescent="0.3">
      <c r="A4080" s="5" t="s">
        <v>4947</v>
      </c>
      <c r="B4080" s="11">
        <v>45893</v>
      </c>
      <c r="C4080" s="5" t="s">
        <v>597</v>
      </c>
      <c r="D4080" s="5" t="s">
        <v>109</v>
      </c>
      <c r="E4080" s="5" t="s">
        <v>37</v>
      </c>
      <c r="F4080" s="5">
        <v>4</v>
      </c>
      <c r="G4080" s="19">
        <v>0.1</v>
      </c>
      <c r="H4080" s="5" t="s">
        <v>697</v>
      </c>
      <c r="I4080" s="10">
        <f>IF(OR(D4080="", F4080=""), "", F4080 * VLOOKUP(D4080, Products!A:E, 5, FALSE) * (1 - G4080))</f>
        <v>6691.5</v>
      </c>
      <c r="J4080" s="10"/>
    </row>
    <row r="4081" spans="1:10" ht="15.75" customHeight="1" x14ac:dyDescent="0.3">
      <c r="A4081" s="5" t="s">
        <v>4948</v>
      </c>
      <c r="B4081" s="11">
        <v>45543</v>
      </c>
      <c r="C4081" s="5" t="s">
        <v>171</v>
      </c>
      <c r="D4081" s="5" t="s">
        <v>119</v>
      </c>
      <c r="E4081" s="5" t="s">
        <v>33</v>
      </c>
      <c r="F4081" s="5">
        <v>1</v>
      </c>
      <c r="G4081" s="19">
        <v>0.05</v>
      </c>
      <c r="H4081" s="5" t="s">
        <v>776</v>
      </c>
      <c r="I4081" s="10">
        <f>IF(OR(D4081="", F4081=""), "", F4081 * VLOOKUP(D4081, Products!A:E, 5, FALSE) * (1 - G4081))</f>
        <v>1025.8955000000001</v>
      </c>
      <c r="J4081" s="10"/>
    </row>
    <row r="4082" spans="1:10" ht="15.75" customHeight="1" x14ac:dyDescent="0.3">
      <c r="A4082" s="5" t="s">
        <v>4949</v>
      </c>
      <c r="B4082" s="11">
        <v>45757</v>
      </c>
      <c r="C4082" s="5" t="s">
        <v>409</v>
      </c>
      <c r="D4082" s="5" t="s">
        <v>140</v>
      </c>
      <c r="E4082" s="5" t="s">
        <v>25</v>
      </c>
      <c r="F4082" s="5">
        <v>4</v>
      </c>
      <c r="G4082" s="19">
        <v>0.05</v>
      </c>
      <c r="H4082" s="5" t="s">
        <v>776</v>
      </c>
      <c r="I4082" s="10">
        <f>IF(OR(D4082="", F4082=""), "", F4082 * VLOOKUP(D4082, Products!A:E, 5, FALSE) * (1 - G4082))</f>
        <v>97.165999999999997</v>
      </c>
      <c r="J4082" s="10"/>
    </row>
    <row r="4083" spans="1:10" ht="15.75" customHeight="1" x14ac:dyDescent="0.3">
      <c r="A4083" s="5" t="s">
        <v>4950</v>
      </c>
      <c r="B4083" s="11">
        <v>45400</v>
      </c>
      <c r="C4083" s="5" t="s">
        <v>185</v>
      </c>
      <c r="D4083" s="5" t="s">
        <v>103</v>
      </c>
      <c r="E4083" s="5" t="s">
        <v>37</v>
      </c>
      <c r="F4083" s="5">
        <v>4</v>
      </c>
      <c r="G4083" s="19">
        <v>0</v>
      </c>
      <c r="H4083" s="5" t="s">
        <v>697</v>
      </c>
      <c r="I4083" s="10">
        <f>IF(OR(D4083="", F4083=""), "", F4083 * VLOOKUP(D4083, Products!A:E, 5, FALSE) * (1 - G4083))</f>
        <v>1081.8</v>
      </c>
      <c r="J4083" s="10"/>
    </row>
    <row r="4084" spans="1:10" ht="15.75" customHeight="1" x14ac:dyDescent="0.3">
      <c r="A4084" s="5" t="s">
        <v>4951</v>
      </c>
      <c r="B4084" s="11">
        <v>45330</v>
      </c>
      <c r="C4084" s="5" t="s">
        <v>837</v>
      </c>
      <c r="D4084" s="5" t="s">
        <v>65</v>
      </c>
      <c r="E4084" s="5" t="s">
        <v>21</v>
      </c>
      <c r="F4084" s="5">
        <v>2</v>
      </c>
      <c r="G4084" s="19">
        <v>0.1</v>
      </c>
      <c r="H4084" s="5" t="s">
        <v>776</v>
      </c>
      <c r="I4084" s="10">
        <f>IF(OR(D4084="", F4084=""), "", F4084 * VLOOKUP(D4084, Products!A:E, 5, FALSE) * (1 - G4084))</f>
        <v>2653.4159999999997</v>
      </c>
      <c r="J4084" s="10"/>
    </row>
    <row r="4085" spans="1:10" ht="15.75" customHeight="1" x14ac:dyDescent="0.3">
      <c r="A4085" s="5" t="s">
        <v>4952</v>
      </c>
      <c r="B4085" s="11">
        <v>45235</v>
      </c>
      <c r="C4085" s="5" t="s">
        <v>357</v>
      </c>
      <c r="D4085" s="5" t="s">
        <v>200</v>
      </c>
      <c r="E4085" s="5" t="s">
        <v>37</v>
      </c>
      <c r="F4085" s="5">
        <v>2</v>
      </c>
      <c r="G4085" s="19">
        <v>0.15</v>
      </c>
      <c r="H4085" s="5" t="s">
        <v>637</v>
      </c>
      <c r="I4085" s="10">
        <f>IF(OR(D4085="", F4085=""), "", F4085 * VLOOKUP(D4085, Products!A:E, 5, FALSE) * (1 - G4085))</f>
        <v>1862.7239999999999</v>
      </c>
      <c r="J4085" s="10"/>
    </row>
    <row r="4086" spans="1:10" ht="15.75" customHeight="1" x14ac:dyDescent="0.3">
      <c r="A4086" s="5" t="s">
        <v>4953</v>
      </c>
      <c r="B4086" s="11">
        <v>45893</v>
      </c>
      <c r="C4086" s="5" t="s">
        <v>608</v>
      </c>
      <c r="D4086" s="5" t="s">
        <v>95</v>
      </c>
      <c r="E4086" s="5" t="s">
        <v>37</v>
      </c>
      <c r="F4086" s="5">
        <v>5</v>
      </c>
      <c r="G4086" s="19">
        <v>0.15</v>
      </c>
      <c r="H4086" s="5" t="s">
        <v>637</v>
      </c>
      <c r="I4086" s="10">
        <f>IF(OR(D4086="", F4086=""), "", F4086 * VLOOKUP(D4086, Products!A:E, 5, FALSE) * (1 - G4086))</f>
        <v>5706.6875</v>
      </c>
      <c r="J4086" s="10"/>
    </row>
    <row r="4087" spans="1:10" ht="15.75" customHeight="1" x14ac:dyDescent="0.3">
      <c r="A4087" s="5" t="s">
        <v>4954</v>
      </c>
      <c r="B4087" s="11">
        <v>45604</v>
      </c>
      <c r="C4087" s="5" t="s">
        <v>137</v>
      </c>
      <c r="D4087" s="5" t="s">
        <v>249</v>
      </c>
      <c r="E4087" s="5" t="s">
        <v>37</v>
      </c>
      <c r="F4087" s="5">
        <v>5</v>
      </c>
      <c r="G4087" s="19">
        <v>0.15</v>
      </c>
      <c r="H4087" s="5" t="s">
        <v>697</v>
      </c>
      <c r="I4087" s="10">
        <f>IF(OR(D4087="", F4087=""), "", F4087 * VLOOKUP(D4087, Products!A:E, 5, FALSE) * (1 - G4087))</f>
        <v>7418.8424999999988</v>
      </c>
      <c r="J4087" s="10"/>
    </row>
    <row r="4088" spans="1:10" ht="15.75" customHeight="1" x14ac:dyDescent="0.3">
      <c r="A4088" s="5" t="s">
        <v>4955</v>
      </c>
      <c r="B4088" s="11">
        <v>45408</v>
      </c>
      <c r="C4088" s="5" t="s">
        <v>185</v>
      </c>
      <c r="D4088" s="5" t="s">
        <v>276</v>
      </c>
      <c r="E4088" s="5" t="s">
        <v>25</v>
      </c>
      <c r="F4088" s="5">
        <v>4</v>
      </c>
      <c r="G4088" s="19">
        <v>0.15</v>
      </c>
      <c r="H4088" s="5" t="s">
        <v>637</v>
      </c>
      <c r="I4088" s="10">
        <f>IF(OR(D4088="", F4088=""), "", F4088 * VLOOKUP(D4088, Products!A:E, 5, FALSE) * (1 - G4088))</f>
        <v>4070.4120000000003</v>
      </c>
      <c r="J4088" s="10"/>
    </row>
    <row r="4089" spans="1:10" ht="15.75" customHeight="1" x14ac:dyDescent="0.3">
      <c r="A4089" s="5" t="s">
        <v>4956</v>
      </c>
      <c r="B4089" s="11">
        <v>45789</v>
      </c>
      <c r="C4089" s="5" t="s">
        <v>389</v>
      </c>
      <c r="D4089" s="5" t="s">
        <v>280</v>
      </c>
      <c r="E4089" s="5" t="s">
        <v>21</v>
      </c>
      <c r="F4089" s="5">
        <v>5</v>
      </c>
      <c r="G4089" s="19">
        <v>0.05</v>
      </c>
      <c r="H4089" s="5" t="s">
        <v>697</v>
      </c>
      <c r="I4089" s="10">
        <f>IF(OR(D4089="", F4089=""), "", F4089 * VLOOKUP(D4089, Products!A:E, 5, FALSE) * (1 - G4089))</f>
        <v>5777.7099999999991</v>
      </c>
      <c r="J4089" s="10"/>
    </row>
    <row r="4090" spans="1:10" ht="15.75" customHeight="1" x14ac:dyDescent="0.3">
      <c r="A4090" s="5" t="s">
        <v>4957</v>
      </c>
      <c r="B4090" s="11">
        <v>45383</v>
      </c>
      <c r="C4090" s="5" t="s">
        <v>586</v>
      </c>
      <c r="D4090" s="5" t="s">
        <v>285</v>
      </c>
      <c r="E4090" s="5" t="s">
        <v>33</v>
      </c>
      <c r="F4090" s="5">
        <v>1</v>
      </c>
      <c r="G4090" s="19">
        <v>0.15</v>
      </c>
      <c r="H4090" s="5" t="s">
        <v>454</v>
      </c>
      <c r="I4090" s="10">
        <f>IF(OR(D4090="", F4090=""), "", F4090 * VLOOKUP(D4090, Products!A:E, 5, FALSE) * (1 - G4090))</f>
        <v>330.02099999999996</v>
      </c>
      <c r="J4090" s="10"/>
    </row>
    <row r="4091" spans="1:10" ht="15.75" customHeight="1" x14ac:dyDescent="0.3">
      <c r="A4091" s="5" t="s">
        <v>4958</v>
      </c>
      <c r="B4091" s="11">
        <v>45402</v>
      </c>
      <c r="C4091" s="5" t="s">
        <v>808</v>
      </c>
      <c r="D4091" s="5" t="s">
        <v>82</v>
      </c>
      <c r="E4091" s="5" t="s">
        <v>37</v>
      </c>
      <c r="F4091" s="5">
        <v>5</v>
      </c>
      <c r="G4091" s="19">
        <v>0.15</v>
      </c>
      <c r="H4091" s="5" t="s">
        <v>637</v>
      </c>
      <c r="I4091" s="10">
        <f>IF(OR(D4091="", F4091=""), "", F4091 * VLOOKUP(D4091, Products!A:E, 5, FALSE) * (1 - G4091))</f>
        <v>5070.6324999999997</v>
      </c>
      <c r="J4091" s="10"/>
    </row>
    <row r="4092" spans="1:10" ht="15.75" customHeight="1" x14ac:dyDescent="0.3">
      <c r="A4092" s="5" t="s">
        <v>4959</v>
      </c>
      <c r="B4092" s="11">
        <v>45751</v>
      </c>
      <c r="C4092" s="5" t="s">
        <v>507</v>
      </c>
      <c r="D4092" s="5" t="s">
        <v>217</v>
      </c>
      <c r="E4092" s="5" t="s">
        <v>25</v>
      </c>
      <c r="F4092" s="5">
        <v>2</v>
      </c>
      <c r="G4092" s="19">
        <v>0.1</v>
      </c>
      <c r="H4092" s="5" t="s">
        <v>697</v>
      </c>
      <c r="I4092" s="10">
        <f>IF(OR(D4092="", F4092=""), "", F4092 * VLOOKUP(D4092, Products!A:E, 5, FALSE) * (1 - G4092))</f>
        <v>770.49</v>
      </c>
      <c r="J4092" s="10"/>
    </row>
    <row r="4093" spans="1:10" ht="15.75" customHeight="1" x14ac:dyDescent="0.3">
      <c r="A4093" s="5" t="s">
        <v>4960</v>
      </c>
      <c r="B4093" s="11">
        <v>45329</v>
      </c>
      <c r="C4093" s="5" t="s">
        <v>250</v>
      </c>
      <c r="D4093" s="5" t="s">
        <v>188</v>
      </c>
      <c r="E4093" s="5" t="s">
        <v>37</v>
      </c>
      <c r="F4093" s="5">
        <v>1</v>
      </c>
      <c r="G4093" s="19">
        <v>0.15</v>
      </c>
      <c r="H4093" s="5" t="s">
        <v>454</v>
      </c>
      <c r="I4093" s="10">
        <f>IF(OR(D4093="", F4093=""), "", F4093 * VLOOKUP(D4093, Products!A:E, 5, FALSE) * (1 - G4093))</f>
        <v>1262.2925</v>
      </c>
      <c r="J4093" s="10"/>
    </row>
    <row r="4094" spans="1:10" ht="15.75" customHeight="1" x14ac:dyDescent="0.3">
      <c r="A4094" s="5" t="s">
        <v>4961</v>
      </c>
      <c r="B4094" s="11">
        <v>45198</v>
      </c>
      <c r="C4094" s="5" t="s">
        <v>466</v>
      </c>
      <c r="D4094" s="5" t="s">
        <v>74</v>
      </c>
      <c r="E4094" s="5" t="s">
        <v>25</v>
      </c>
      <c r="F4094" s="5">
        <v>1</v>
      </c>
      <c r="G4094" s="19">
        <v>0.1</v>
      </c>
      <c r="H4094" s="5" t="s">
        <v>697</v>
      </c>
      <c r="I4094" s="10">
        <f>IF(OR(D4094="", F4094=""), "", F4094 * VLOOKUP(D4094, Products!A:E, 5, FALSE) * (1 - G4094))</f>
        <v>1074.7079999999999</v>
      </c>
      <c r="J4094" s="10"/>
    </row>
    <row r="4095" spans="1:10" ht="15.75" customHeight="1" x14ac:dyDescent="0.3">
      <c r="A4095" s="5" t="s">
        <v>4962</v>
      </c>
      <c r="B4095" s="11">
        <v>45195</v>
      </c>
      <c r="C4095" s="5" t="s">
        <v>389</v>
      </c>
      <c r="D4095" s="5" t="s">
        <v>180</v>
      </c>
      <c r="E4095" s="5" t="s">
        <v>21</v>
      </c>
      <c r="F4095" s="5">
        <v>2</v>
      </c>
      <c r="G4095" s="19">
        <v>0</v>
      </c>
      <c r="H4095" s="5" t="s">
        <v>697</v>
      </c>
      <c r="I4095" s="10">
        <f>IF(OR(D4095="", F4095=""), "", F4095 * VLOOKUP(D4095, Products!A:E, 5, FALSE) * (1 - G4095))</f>
        <v>1347.56</v>
      </c>
      <c r="J4095" s="10"/>
    </row>
    <row r="4096" spans="1:10" ht="15.75" customHeight="1" x14ac:dyDescent="0.3">
      <c r="A4096" s="5" t="s">
        <v>4963</v>
      </c>
      <c r="B4096" s="11">
        <v>45618</v>
      </c>
      <c r="C4096" s="5" t="s">
        <v>255</v>
      </c>
      <c r="D4096" s="5" t="s">
        <v>193</v>
      </c>
      <c r="E4096" s="5" t="s">
        <v>37</v>
      </c>
      <c r="F4096" s="5">
        <v>1</v>
      </c>
      <c r="G4096" s="19">
        <v>0.1</v>
      </c>
      <c r="H4096" s="5" t="s">
        <v>776</v>
      </c>
      <c r="I4096" s="10">
        <f>IF(OR(D4096="", F4096=""), "", F4096 * VLOOKUP(D4096, Products!A:E, 5, FALSE) * (1 - G4096))</f>
        <v>26.315999999999999</v>
      </c>
      <c r="J4096" s="10"/>
    </row>
    <row r="4097" spans="1:10" ht="15.75" customHeight="1" x14ac:dyDescent="0.3">
      <c r="A4097" s="5" t="s">
        <v>4964</v>
      </c>
      <c r="B4097" s="11">
        <v>45255</v>
      </c>
      <c r="C4097" s="5" t="s">
        <v>876</v>
      </c>
      <c r="D4097" s="5" t="s">
        <v>89</v>
      </c>
      <c r="E4097" s="5" t="s">
        <v>29</v>
      </c>
      <c r="F4097" s="5">
        <v>4</v>
      </c>
      <c r="G4097" s="19">
        <v>0.15</v>
      </c>
      <c r="H4097" s="5" t="s">
        <v>454</v>
      </c>
      <c r="I4097" s="10">
        <f>IF(OR(D4097="", F4097=""), "", F4097 * VLOOKUP(D4097, Products!A:E, 5, FALSE) * (1 - G4097))</f>
        <v>3858.3199999999997</v>
      </c>
      <c r="J4097" s="10"/>
    </row>
    <row r="4098" spans="1:10" ht="15.75" customHeight="1" x14ac:dyDescent="0.3">
      <c r="A4098" s="5" t="s">
        <v>4965</v>
      </c>
      <c r="B4098" s="11">
        <v>45890</v>
      </c>
      <c r="C4098" s="5" t="s">
        <v>440</v>
      </c>
      <c r="D4098" s="5" t="s">
        <v>237</v>
      </c>
      <c r="E4098" s="5" t="s">
        <v>37</v>
      </c>
      <c r="F4098" s="5">
        <v>4</v>
      </c>
      <c r="G4098" s="19">
        <v>0.1</v>
      </c>
      <c r="H4098" s="5" t="s">
        <v>637</v>
      </c>
      <c r="I4098" s="10">
        <f>IF(OR(D4098="", F4098=""), "", F4098 * VLOOKUP(D4098, Products!A:E, 5, FALSE) * (1 - G4098))</f>
        <v>1320.9480000000001</v>
      </c>
      <c r="J4098" s="10"/>
    </row>
    <row r="4099" spans="1:10" ht="15.75" customHeight="1" x14ac:dyDescent="0.3">
      <c r="A4099" s="5" t="s">
        <v>4966</v>
      </c>
      <c r="B4099" s="11">
        <v>45669</v>
      </c>
      <c r="C4099" s="5" t="s">
        <v>69</v>
      </c>
      <c r="D4099" s="5" t="s">
        <v>180</v>
      </c>
      <c r="E4099" s="5" t="s">
        <v>21</v>
      </c>
      <c r="F4099" s="5">
        <v>1</v>
      </c>
      <c r="G4099" s="19">
        <v>0.05</v>
      </c>
      <c r="H4099" s="5" t="s">
        <v>637</v>
      </c>
      <c r="I4099" s="10">
        <f>IF(OR(D4099="", F4099=""), "", F4099 * VLOOKUP(D4099, Products!A:E, 5, FALSE) * (1 - G4099))</f>
        <v>640.09099999999989</v>
      </c>
      <c r="J4099" s="10"/>
    </row>
    <row r="4100" spans="1:10" ht="15.75" customHeight="1" x14ac:dyDescent="0.3">
      <c r="A4100" s="5" t="s">
        <v>4967</v>
      </c>
      <c r="B4100" s="11">
        <v>45773</v>
      </c>
      <c r="C4100" s="5" t="s">
        <v>695</v>
      </c>
      <c r="D4100" s="5" t="s">
        <v>168</v>
      </c>
      <c r="E4100" s="5" t="s">
        <v>33</v>
      </c>
      <c r="F4100" s="5">
        <v>4</v>
      </c>
      <c r="G4100" s="19">
        <v>0.1</v>
      </c>
      <c r="H4100" s="5" t="s">
        <v>454</v>
      </c>
      <c r="I4100" s="10">
        <f>IF(OR(D4100="", F4100=""), "", F4100 * VLOOKUP(D4100, Products!A:E, 5, FALSE) * (1 - G4100))</f>
        <v>3656.7359999999999</v>
      </c>
      <c r="J4100" s="10"/>
    </row>
    <row r="4101" spans="1:10" ht="15.75" customHeight="1" x14ac:dyDescent="0.3">
      <c r="A4101" s="5" t="s">
        <v>4968</v>
      </c>
      <c r="B4101" s="11">
        <v>45372</v>
      </c>
      <c r="C4101" s="5" t="s">
        <v>680</v>
      </c>
      <c r="D4101" s="5" t="s">
        <v>265</v>
      </c>
      <c r="E4101" s="5" t="s">
        <v>33</v>
      </c>
      <c r="F4101" s="5">
        <v>4</v>
      </c>
      <c r="G4101" s="19">
        <v>0.15</v>
      </c>
      <c r="H4101" s="5" t="s">
        <v>454</v>
      </c>
      <c r="I4101" s="10">
        <f>IF(OR(D4101="", F4101=""), "", F4101 * VLOOKUP(D4101, Products!A:E, 5, FALSE) * (1 - G4101))</f>
        <v>1919.0279999999998</v>
      </c>
      <c r="J4101" s="10"/>
    </row>
    <row r="4102" spans="1:10" ht="15.75" customHeight="1" x14ac:dyDescent="0.3">
      <c r="A4102" s="5" t="s">
        <v>4969</v>
      </c>
      <c r="B4102" s="11">
        <v>45826</v>
      </c>
      <c r="C4102" s="5" t="s">
        <v>705</v>
      </c>
      <c r="D4102" s="5" t="s">
        <v>265</v>
      </c>
      <c r="E4102" s="5" t="s">
        <v>33</v>
      </c>
      <c r="F4102" s="5">
        <v>5</v>
      </c>
      <c r="G4102" s="19">
        <v>0.15</v>
      </c>
      <c r="H4102" s="5" t="s">
        <v>454</v>
      </c>
      <c r="I4102" s="10">
        <f>IF(OR(D4102="", F4102=""), "", F4102 * VLOOKUP(D4102, Products!A:E, 5, FALSE) * (1 - G4102))</f>
        <v>2398.7849999999999</v>
      </c>
      <c r="J4102" s="10"/>
    </row>
    <row r="4103" spans="1:10" ht="15.75" customHeight="1" x14ac:dyDescent="0.3">
      <c r="A4103" s="5" t="s">
        <v>4970</v>
      </c>
      <c r="B4103" s="11">
        <v>45894</v>
      </c>
      <c r="C4103" s="5" t="s">
        <v>209</v>
      </c>
      <c r="D4103" s="5" t="s">
        <v>122</v>
      </c>
      <c r="E4103" s="5" t="s">
        <v>33</v>
      </c>
      <c r="F4103" s="5">
        <v>2</v>
      </c>
      <c r="G4103" s="19">
        <v>0.15</v>
      </c>
      <c r="H4103" s="5" t="s">
        <v>454</v>
      </c>
      <c r="I4103" s="10">
        <f>IF(OR(D4103="", F4103=""), "", F4103 * VLOOKUP(D4103, Products!A:E, 5, FALSE) * (1 - G4103))</f>
        <v>2996.9639999999999</v>
      </c>
      <c r="J4103" s="10"/>
    </row>
    <row r="4104" spans="1:10" ht="15.75" customHeight="1" x14ac:dyDescent="0.3">
      <c r="A4104" s="5" t="s">
        <v>4971</v>
      </c>
      <c r="B4104" s="11">
        <v>45317</v>
      </c>
      <c r="C4104" s="5" t="s">
        <v>575</v>
      </c>
      <c r="D4104" s="5" t="s">
        <v>226</v>
      </c>
      <c r="E4104" s="5" t="s">
        <v>21</v>
      </c>
      <c r="F4104" s="5">
        <v>3</v>
      </c>
      <c r="G4104" s="19">
        <v>0.1</v>
      </c>
      <c r="H4104" s="5" t="s">
        <v>776</v>
      </c>
      <c r="I4104" s="10">
        <f>IF(OR(D4104="", F4104=""), "", F4104 * VLOOKUP(D4104, Products!A:E, 5, FALSE) * (1 - G4104))</f>
        <v>4053.942</v>
      </c>
      <c r="J4104" s="10"/>
    </row>
    <row r="4105" spans="1:10" ht="15.75" customHeight="1" x14ac:dyDescent="0.3">
      <c r="A4105" s="5" t="s">
        <v>4972</v>
      </c>
      <c r="B4105" s="11">
        <v>45275</v>
      </c>
      <c r="C4105" s="5" t="s">
        <v>106</v>
      </c>
      <c r="D4105" s="5" t="s">
        <v>95</v>
      </c>
      <c r="E4105" s="5" t="s">
        <v>33</v>
      </c>
      <c r="F4105" s="5">
        <v>2</v>
      </c>
      <c r="G4105" s="19">
        <v>0.1</v>
      </c>
      <c r="H4105" s="5" t="s">
        <v>454</v>
      </c>
      <c r="I4105" s="10">
        <f>IF(OR(D4105="", F4105=""), "", F4105 * VLOOKUP(D4105, Products!A:E, 5, FALSE) * (1 - G4105))</f>
        <v>2416.9500000000003</v>
      </c>
      <c r="J4105" s="10"/>
    </row>
    <row r="4106" spans="1:10" ht="15.75" customHeight="1" x14ac:dyDescent="0.3">
      <c r="A4106" s="5" t="s">
        <v>4973</v>
      </c>
      <c r="B4106" s="11">
        <v>45317</v>
      </c>
      <c r="C4106" s="5" t="s">
        <v>808</v>
      </c>
      <c r="D4106" s="5" t="s">
        <v>140</v>
      </c>
      <c r="E4106" s="5" t="s">
        <v>25</v>
      </c>
      <c r="F4106" s="5">
        <v>4</v>
      </c>
      <c r="G4106" s="19">
        <v>0.05</v>
      </c>
      <c r="H4106" s="5" t="s">
        <v>776</v>
      </c>
      <c r="I4106" s="10">
        <f>IF(OR(D4106="", F4106=""), "", F4106 * VLOOKUP(D4106, Products!A:E, 5, FALSE) * (1 - G4106))</f>
        <v>97.165999999999997</v>
      </c>
      <c r="J4106" s="10"/>
    </row>
    <row r="4107" spans="1:10" ht="15.75" customHeight="1" x14ac:dyDescent="0.3">
      <c r="A4107" s="5" t="s">
        <v>4974</v>
      </c>
      <c r="B4107" s="11">
        <v>45743</v>
      </c>
      <c r="C4107" s="5" t="s">
        <v>718</v>
      </c>
      <c r="D4107" s="5" t="s">
        <v>43</v>
      </c>
      <c r="E4107" s="5" t="s">
        <v>33</v>
      </c>
      <c r="F4107" s="5">
        <v>3</v>
      </c>
      <c r="G4107" s="19">
        <v>0.15</v>
      </c>
      <c r="H4107" s="5" t="s">
        <v>697</v>
      </c>
      <c r="I4107" s="10">
        <f>IF(OR(D4107="", F4107=""), "", F4107 * VLOOKUP(D4107, Products!A:E, 5, FALSE) * (1 - G4107))</f>
        <v>4267.9094999999998</v>
      </c>
      <c r="J4107" s="10"/>
    </row>
    <row r="4108" spans="1:10" ht="15.75" customHeight="1" x14ac:dyDescent="0.3">
      <c r="A4108" s="5" t="s">
        <v>4975</v>
      </c>
      <c r="B4108" s="11">
        <v>45416</v>
      </c>
      <c r="C4108" s="5" t="s">
        <v>608</v>
      </c>
      <c r="D4108" s="5" t="s">
        <v>140</v>
      </c>
      <c r="E4108" s="5" t="s">
        <v>33</v>
      </c>
      <c r="F4108" s="5">
        <v>1</v>
      </c>
      <c r="G4108" s="19">
        <v>0</v>
      </c>
      <c r="H4108" s="5" t="s">
        <v>454</v>
      </c>
      <c r="I4108" s="10">
        <f>IF(OR(D4108="", F4108=""), "", F4108 * VLOOKUP(D4108, Products!A:E, 5, FALSE) * (1 - G4108))</f>
        <v>25.57</v>
      </c>
      <c r="J4108" s="10"/>
    </row>
    <row r="4109" spans="1:10" ht="15.75" customHeight="1" x14ac:dyDescent="0.3">
      <c r="A4109" s="5" t="s">
        <v>4976</v>
      </c>
      <c r="B4109" s="11">
        <v>45360</v>
      </c>
      <c r="C4109" s="5" t="s">
        <v>292</v>
      </c>
      <c r="D4109" s="5" t="s">
        <v>54</v>
      </c>
      <c r="E4109" s="5" t="s">
        <v>37</v>
      </c>
      <c r="F4109" s="5">
        <v>4</v>
      </c>
      <c r="G4109" s="19">
        <v>0.05</v>
      </c>
      <c r="H4109" s="5" t="s">
        <v>454</v>
      </c>
      <c r="I4109" s="10">
        <f>IF(OR(D4109="", F4109=""), "", F4109 * VLOOKUP(D4109, Products!A:E, 5, FALSE) * (1 - G4109))</f>
        <v>7044.326</v>
      </c>
      <c r="J4109" s="10"/>
    </row>
    <row r="4110" spans="1:10" ht="15.75" customHeight="1" x14ac:dyDescent="0.3">
      <c r="A4110" s="5" t="s">
        <v>4977</v>
      </c>
      <c r="B4110" s="11">
        <v>45792</v>
      </c>
      <c r="C4110" s="5" t="s">
        <v>361</v>
      </c>
      <c r="D4110" s="5" t="s">
        <v>269</v>
      </c>
      <c r="E4110" s="5" t="s">
        <v>21</v>
      </c>
      <c r="F4110" s="5">
        <v>3</v>
      </c>
      <c r="G4110" s="19">
        <v>0.15</v>
      </c>
      <c r="H4110" s="5" t="s">
        <v>776</v>
      </c>
      <c r="I4110" s="10">
        <f>IF(OR(D4110="", F4110=""), "", F4110 * VLOOKUP(D4110, Products!A:E, 5, FALSE) * (1 - G4110))</f>
        <v>4791.6539999999995</v>
      </c>
      <c r="J4110" s="10"/>
    </row>
    <row r="4111" spans="1:10" ht="15.75" customHeight="1" x14ac:dyDescent="0.3">
      <c r="A4111" s="5" t="s">
        <v>4978</v>
      </c>
      <c r="B4111" s="11">
        <v>45670</v>
      </c>
      <c r="C4111" s="5" t="s">
        <v>334</v>
      </c>
      <c r="D4111" s="5" t="s">
        <v>153</v>
      </c>
      <c r="E4111" s="5" t="s">
        <v>29</v>
      </c>
      <c r="F4111" s="5">
        <v>3</v>
      </c>
      <c r="G4111" s="19">
        <v>0</v>
      </c>
      <c r="H4111" s="5" t="s">
        <v>697</v>
      </c>
      <c r="I4111" s="10">
        <f>IF(OR(D4111="", F4111=""), "", F4111 * VLOOKUP(D4111, Products!A:E, 5, FALSE) * (1 - G4111))</f>
        <v>4462.2300000000005</v>
      </c>
      <c r="J4111" s="10"/>
    </row>
    <row r="4112" spans="1:10" ht="15.75" customHeight="1" x14ac:dyDescent="0.3">
      <c r="A4112" s="5" t="s">
        <v>4979</v>
      </c>
      <c r="B4112" s="11">
        <v>45233</v>
      </c>
      <c r="C4112" s="5" t="s">
        <v>669</v>
      </c>
      <c r="D4112" s="5" t="s">
        <v>200</v>
      </c>
      <c r="E4112" s="5" t="s">
        <v>25</v>
      </c>
      <c r="F4112" s="5">
        <v>4</v>
      </c>
      <c r="G4112" s="19">
        <v>0.15</v>
      </c>
      <c r="H4112" s="5" t="s">
        <v>697</v>
      </c>
      <c r="I4112" s="10">
        <f>IF(OR(D4112="", F4112=""), "", F4112 * VLOOKUP(D4112, Products!A:E, 5, FALSE) * (1 - G4112))</f>
        <v>3725.4479999999999</v>
      </c>
      <c r="J4112" s="10"/>
    </row>
    <row r="4113" spans="1:10" ht="15.75" customHeight="1" x14ac:dyDescent="0.3">
      <c r="A4113" s="5" t="s">
        <v>4980</v>
      </c>
      <c r="B4113" s="11">
        <v>45788</v>
      </c>
      <c r="C4113" s="5" t="s">
        <v>575</v>
      </c>
      <c r="D4113" s="5" t="s">
        <v>109</v>
      </c>
      <c r="E4113" s="5" t="s">
        <v>29</v>
      </c>
      <c r="F4113" s="5">
        <v>2</v>
      </c>
      <c r="G4113" s="19">
        <v>0</v>
      </c>
      <c r="H4113" s="5" t="s">
        <v>454</v>
      </c>
      <c r="I4113" s="10">
        <f>IF(OR(D4113="", F4113=""), "", F4113 * VLOOKUP(D4113, Products!A:E, 5, FALSE) * (1 - G4113))</f>
        <v>3717.5</v>
      </c>
      <c r="J4113" s="10"/>
    </row>
    <row r="4114" spans="1:10" ht="15.75" customHeight="1" x14ac:dyDescent="0.3">
      <c r="A4114" s="5" t="s">
        <v>4981</v>
      </c>
      <c r="B4114" s="11">
        <v>45288</v>
      </c>
      <c r="C4114" s="5" t="s">
        <v>740</v>
      </c>
      <c r="D4114" s="5" t="s">
        <v>67</v>
      </c>
      <c r="E4114" s="5" t="s">
        <v>29</v>
      </c>
      <c r="F4114" s="5">
        <v>5</v>
      </c>
      <c r="G4114" s="19">
        <v>0.1</v>
      </c>
      <c r="H4114" s="5" t="s">
        <v>637</v>
      </c>
      <c r="I4114" s="10">
        <f>IF(OR(D4114="", F4114=""), "", F4114 * VLOOKUP(D4114, Products!A:E, 5, FALSE) * (1 - G4114))</f>
        <v>494.01</v>
      </c>
      <c r="J4114" s="10"/>
    </row>
    <row r="4115" spans="1:10" ht="15.75" customHeight="1" x14ac:dyDescent="0.3">
      <c r="A4115" s="5" t="s">
        <v>4982</v>
      </c>
      <c r="B4115" s="11">
        <v>45764</v>
      </c>
      <c r="C4115" s="5" t="s">
        <v>503</v>
      </c>
      <c r="D4115" s="5" t="s">
        <v>43</v>
      </c>
      <c r="E4115" s="5" t="s">
        <v>29</v>
      </c>
      <c r="F4115" s="5">
        <v>4</v>
      </c>
      <c r="G4115" s="19">
        <v>0.15</v>
      </c>
      <c r="H4115" s="5" t="s">
        <v>697</v>
      </c>
      <c r="I4115" s="10">
        <f>IF(OR(D4115="", F4115=""), "", F4115 * VLOOKUP(D4115, Products!A:E, 5, FALSE) * (1 - G4115))</f>
        <v>5690.5460000000003</v>
      </c>
      <c r="J4115" s="10"/>
    </row>
    <row r="4116" spans="1:10" ht="15.75" customHeight="1" x14ac:dyDescent="0.3">
      <c r="A4116" s="5" t="s">
        <v>4983</v>
      </c>
      <c r="B4116" s="11">
        <v>45645</v>
      </c>
      <c r="C4116" s="5" t="s">
        <v>455</v>
      </c>
      <c r="D4116" s="5" t="s">
        <v>103</v>
      </c>
      <c r="E4116" s="5" t="s">
        <v>29</v>
      </c>
      <c r="F4116" s="5">
        <v>3</v>
      </c>
      <c r="G4116" s="19">
        <v>0.1</v>
      </c>
      <c r="H4116" s="5" t="s">
        <v>697</v>
      </c>
      <c r="I4116" s="10">
        <f>IF(OR(D4116="", F4116=""), "", F4116 * VLOOKUP(D4116, Products!A:E, 5, FALSE) * (1 - G4116))</f>
        <v>730.21499999999992</v>
      </c>
      <c r="J4116" s="10"/>
    </row>
    <row r="4117" spans="1:10" ht="15.75" customHeight="1" x14ac:dyDescent="0.3">
      <c r="A4117" s="5" t="s">
        <v>4984</v>
      </c>
      <c r="B4117" s="11">
        <v>45186</v>
      </c>
      <c r="C4117" s="5" t="s">
        <v>462</v>
      </c>
      <c r="D4117" s="5" t="s">
        <v>115</v>
      </c>
      <c r="E4117" s="5" t="s">
        <v>29</v>
      </c>
      <c r="F4117" s="5">
        <v>1</v>
      </c>
      <c r="G4117" s="19">
        <v>0.1</v>
      </c>
      <c r="H4117" s="5" t="s">
        <v>776</v>
      </c>
      <c r="I4117" s="10">
        <f>IF(OR(D4117="", F4117=""), "", F4117 * VLOOKUP(D4117, Products!A:E, 5, FALSE) * (1 - G4117))</f>
        <v>1121.499</v>
      </c>
      <c r="J4117" s="10"/>
    </row>
    <row r="4118" spans="1:10" ht="15.75" customHeight="1" x14ac:dyDescent="0.3">
      <c r="A4118" s="5" t="s">
        <v>4985</v>
      </c>
      <c r="B4118" s="11">
        <v>45883</v>
      </c>
      <c r="C4118" s="5" t="s">
        <v>546</v>
      </c>
      <c r="D4118" s="5" t="s">
        <v>237</v>
      </c>
      <c r="E4118" s="5" t="s">
        <v>37</v>
      </c>
      <c r="F4118" s="5">
        <v>5</v>
      </c>
      <c r="G4118" s="19">
        <v>0.05</v>
      </c>
      <c r="H4118" s="5" t="s">
        <v>697</v>
      </c>
      <c r="I4118" s="10">
        <f>IF(OR(D4118="", F4118=""), "", F4118 * VLOOKUP(D4118, Products!A:E, 5, FALSE) * (1 - G4118))</f>
        <v>1742.9175</v>
      </c>
      <c r="J4118" s="10"/>
    </row>
    <row r="4119" spans="1:10" ht="15.75" customHeight="1" x14ac:dyDescent="0.3">
      <c r="A4119" s="5" t="s">
        <v>4986</v>
      </c>
      <c r="B4119" s="11">
        <v>45288</v>
      </c>
      <c r="C4119" s="5" t="s">
        <v>815</v>
      </c>
      <c r="D4119" s="5" t="s">
        <v>200</v>
      </c>
      <c r="E4119" s="5" t="s">
        <v>29</v>
      </c>
      <c r="F4119" s="5">
        <v>3</v>
      </c>
      <c r="G4119" s="19">
        <v>0.15</v>
      </c>
      <c r="H4119" s="5" t="s">
        <v>454</v>
      </c>
      <c r="I4119" s="10">
        <f>IF(OR(D4119="", F4119=""), "", F4119 * VLOOKUP(D4119, Products!A:E, 5, FALSE) * (1 - G4119))</f>
        <v>2794.0859999999998</v>
      </c>
      <c r="J4119" s="10"/>
    </row>
    <row r="4120" spans="1:10" ht="15.75" customHeight="1" x14ac:dyDescent="0.3">
      <c r="A4120" s="5" t="s">
        <v>4987</v>
      </c>
      <c r="B4120" s="11">
        <v>45809</v>
      </c>
      <c r="C4120" s="5" t="s">
        <v>380</v>
      </c>
      <c r="D4120" s="5" t="s">
        <v>43</v>
      </c>
      <c r="E4120" s="5" t="s">
        <v>37</v>
      </c>
      <c r="F4120" s="5">
        <v>3</v>
      </c>
      <c r="G4120" s="19">
        <v>0.15</v>
      </c>
      <c r="H4120" s="5" t="s">
        <v>454</v>
      </c>
      <c r="I4120" s="10">
        <f>IF(OR(D4120="", F4120=""), "", F4120 * VLOOKUP(D4120, Products!A:E, 5, FALSE) * (1 - G4120))</f>
        <v>4267.9094999999998</v>
      </c>
      <c r="J4120" s="10"/>
    </row>
    <row r="4121" spans="1:10" ht="15.75" customHeight="1" x14ac:dyDescent="0.3">
      <c r="A4121" s="5" t="s">
        <v>4988</v>
      </c>
      <c r="B4121" s="11">
        <v>45268</v>
      </c>
      <c r="C4121" s="5" t="s">
        <v>100</v>
      </c>
      <c r="D4121" s="5" t="s">
        <v>217</v>
      </c>
      <c r="E4121" s="5" t="s">
        <v>37</v>
      </c>
      <c r="F4121" s="5">
        <v>5</v>
      </c>
      <c r="G4121" s="19">
        <v>0.05</v>
      </c>
      <c r="H4121" s="5" t="s">
        <v>697</v>
      </c>
      <c r="I4121" s="10">
        <f>IF(OR(D4121="", F4121=""), "", F4121 * VLOOKUP(D4121, Products!A:E, 5, FALSE) * (1 - G4121))</f>
        <v>2033.2375</v>
      </c>
      <c r="J4121" s="10"/>
    </row>
    <row r="4122" spans="1:10" ht="15.75" customHeight="1" x14ac:dyDescent="0.3">
      <c r="A4122" s="5" t="s">
        <v>4989</v>
      </c>
      <c r="B4122" s="11">
        <v>45661</v>
      </c>
      <c r="C4122" s="5" t="s">
        <v>380</v>
      </c>
      <c r="D4122" s="5" t="s">
        <v>119</v>
      </c>
      <c r="E4122" s="5" t="s">
        <v>21</v>
      </c>
      <c r="F4122" s="5">
        <v>5</v>
      </c>
      <c r="G4122" s="19">
        <v>0.1</v>
      </c>
      <c r="H4122" s="5" t="s">
        <v>637</v>
      </c>
      <c r="I4122" s="10">
        <f>IF(OR(D4122="", F4122=""), "", F4122 * VLOOKUP(D4122, Products!A:E, 5, FALSE) * (1 - G4122))</f>
        <v>4859.505000000001</v>
      </c>
      <c r="J4122" s="10"/>
    </row>
    <row r="4123" spans="1:10" ht="15.75" customHeight="1" x14ac:dyDescent="0.3">
      <c r="A4123" s="5" t="s">
        <v>4990</v>
      </c>
      <c r="B4123" s="11">
        <v>45740</v>
      </c>
      <c r="C4123" s="5" t="s">
        <v>274</v>
      </c>
      <c r="D4123" s="5" t="s">
        <v>175</v>
      </c>
      <c r="E4123" s="5" t="s">
        <v>37</v>
      </c>
      <c r="F4123" s="5">
        <v>4</v>
      </c>
      <c r="G4123" s="19">
        <v>0.05</v>
      </c>
      <c r="H4123" s="5" t="s">
        <v>454</v>
      </c>
      <c r="I4123" s="10">
        <f>IF(OR(D4123="", F4123=""), "", F4123 * VLOOKUP(D4123, Products!A:E, 5, FALSE) * (1 - G4123))</f>
        <v>4834.4740000000002</v>
      </c>
      <c r="J4123" s="10"/>
    </row>
    <row r="4124" spans="1:10" ht="15.75" customHeight="1" x14ac:dyDescent="0.3">
      <c r="A4124" s="5" t="s">
        <v>4991</v>
      </c>
      <c r="B4124" s="11">
        <v>45603</v>
      </c>
      <c r="C4124" s="5" t="s">
        <v>229</v>
      </c>
      <c r="D4124" s="5" t="s">
        <v>285</v>
      </c>
      <c r="E4124" s="5" t="s">
        <v>25</v>
      </c>
      <c r="F4124" s="5">
        <v>2</v>
      </c>
      <c r="G4124" s="19">
        <v>0</v>
      </c>
      <c r="H4124" s="5" t="s">
        <v>776</v>
      </c>
      <c r="I4124" s="10">
        <f>IF(OR(D4124="", F4124=""), "", F4124 * VLOOKUP(D4124, Products!A:E, 5, FALSE) * (1 - G4124))</f>
        <v>776.52</v>
      </c>
      <c r="J4124" s="10"/>
    </row>
    <row r="4125" spans="1:10" ht="15.75" customHeight="1" x14ac:dyDescent="0.3">
      <c r="A4125" s="5" t="s">
        <v>4992</v>
      </c>
      <c r="B4125" s="11">
        <v>45397</v>
      </c>
      <c r="C4125" s="5" t="s">
        <v>862</v>
      </c>
      <c r="D4125" s="5" t="s">
        <v>212</v>
      </c>
      <c r="E4125" s="5" t="s">
        <v>37</v>
      </c>
      <c r="F4125" s="5">
        <v>4</v>
      </c>
      <c r="G4125" s="19">
        <v>0.05</v>
      </c>
      <c r="H4125" s="5" t="s">
        <v>776</v>
      </c>
      <c r="I4125" s="10">
        <f>IF(OR(D4125="", F4125=""), "", F4125 * VLOOKUP(D4125, Products!A:E, 5, FALSE) * (1 - G4125))</f>
        <v>6836.0859999999993</v>
      </c>
      <c r="J4125" s="10"/>
    </row>
    <row r="4126" spans="1:10" ht="15.75" customHeight="1" x14ac:dyDescent="0.3">
      <c r="A4126" s="5" t="s">
        <v>4993</v>
      </c>
      <c r="B4126" s="11">
        <v>45846</v>
      </c>
      <c r="C4126" s="5" t="s">
        <v>802</v>
      </c>
      <c r="D4126" s="5" t="s">
        <v>70</v>
      </c>
      <c r="E4126" s="5" t="s">
        <v>25</v>
      </c>
      <c r="F4126" s="5">
        <v>1</v>
      </c>
      <c r="G4126" s="19">
        <v>0.15</v>
      </c>
      <c r="H4126" s="5" t="s">
        <v>776</v>
      </c>
      <c r="I4126" s="10">
        <f>IF(OR(D4126="", F4126=""), "", F4126 * VLOOKUP(D4126, Products!A:E, 5, FALSE) * (1 - G4126))</f>
        <v>104.7115</v>
      </c>
      <c r="J4126" s="10"/>
    </row>
    <row r="4127" spans="1:10" ht="15.75" customHeight="1" x14ac:dyDescent="0.3">
      <c r="A4127" s="5" t="s">
        <v>4994</v>
      </c>
      <c r="B4127" s="11">
        <v>45443</v>
      </c>
      <c r="C4127" s="5" t="s">
        <v>620</v>
      </c>
      <c r="D4127" s="5" t="s">
        <v>175</v>
      </c>
      <c r="E4127" s="5" t="s">
        <v>29</v>
      </c>
      <c r="F4127" s="5">
        <v>3</v>
      </c>
      <c r="G4127" s="19">
        <v>0.1</v>
      </c>
      <c r="H4127" s="5" t="s">
        <v>697</v>
      </c>
      <c r="I4127" s="10">
        <f>IF(OR(D4127="", F4127=""), "", F4127 * VLOOKUP(D4127, Products!A:E, 5, FALSE) * (1 - G4127))</f>
        <v>3435.0210000000002</v>
      </c>
      <c r="J4127" s="10"/>
    </row>
    <row r="4128" spans="1:10" ht="15.75" customHeight="1" x14ac:dyDescent="0.3">
      <c r="A4128" s="5" t="s">
        <v>4995</v>
      </c>
      <c r="B4128" s="11">
        <v>45710</v>
      </c>
      <c r="C4128" s="5" t="s">
        <v>443</v>
      </c>
      <c r="D4128" s="5" t="s">
        <v>103</v>
      </c>
      <c r="E4128" s="5" t="s">
        <v>33</v>
      </c>
      <c r="F4128" s="5">
        <v>3</v>
      </c>
      <c r="G4128" s="19">
        <v>0.1</v>
      </c>
      <c r="H4128" s="5" t="s">
        <v>637</v>
      </c>
      <c r="I4128" s="10">
        <f>IF(OR(D4128="", F4128=""), "", F4128 * VLOOKUP(D4128, Products!A:E, 5, FALSE) * (1 - G4128))</f>
        <v>730.21499999999992</v>
      </c>
      <c r="J4128" s="10"/>
    </row>
    <row r="4129" spans="1:10" ht="15.75" customHeight="1" x14ac:dyDescent="0.3">
      <c r="A4129" s="5" t="s">
        <v>4996</v>
      </c>
      <c r="B4129" s="11">
        <v>45395</v>
      </c>
      <c r="C4129" s="5" t="s">
        <v>715</v>
      </c>
      <c r="D4129" s="5" t="s">
        <v>54</v>
      </c>
      <c r="E4129" s="5" t="s">
        <v>25</v>
      </c>
      <c r="F4129" s="5">
        <v>2</v>
      </c>
      <c r="G4129" s="19">
        <v>0</v>
      </c>
      <c r="H4129" s="5" t="s">
        <v>697</v>
      </c>
      <c r="I4129" s="10">
        <f>IF(OR(D4129="", F4129=""), "", F4129 * VLOOKUP(D4129, Products!A:E, 5, FALSE) * (1 - G4129))</f>
        <v>3707.54</v>
      </c>
      <c r="J4129" s="10"/>
    </row>
    <row r="4130" spans="1:10" ht="15.75" customHeight="1" x14ac:dyDescent="0.3">
      <c r="A4130" s="5" t="s">
        <v>4997</v>
      </c>
      <c r="B4130" s="11">
        <v>45612</v>
      </c>
      <c r="C4130" s="5" t="s">
        <v>81</v>
      </c>
      <c r="D4130" s="5" t="s">
        <v>168</v>
      </c>
      <c r="E4130" s="5" t="s">
        <v>21</v>
      </c>
      <c r="F4130" s="5">
        <v>3</v>
      </c>
      <c r="G4130" s="19">
        <v>0.1</v>
      </c>
      <c r="H4130" s="5" t="s">
        <v>637</v>
      </c>
      <c r="I4130" s="10">
        <f>IF(OR(D4130="", F4130=""), "", F4130 * VLOOKUP(D4130, Products!A:E, 5, FALSE) * (1 - G4130))</f>
        <v>2742.5519999999997</v>
      </c>
      <c r="J4130" s="10"/>
    </row>
    <row r="4131" spans="1:10" ht="15.75" customHeight="1" x14ac:dyDescent="0.3">
      <c r="A4131" s="5" t="s">
        <v>4998</v>
      </c>
      <c r="B4131" s="11">
        <v>45654</v>
      </c>
      <c r="C4131" s="5" t="s">
        <v>458</v>
      </c>
      <c r="D4131" s="5" t="s">
        <v>95</v>
      </c>
      <c r="E4131" s="5" t="s">
        <v>33</v>
      </c>
      <c r="F4131" s="5">
        <v>1</v>
      </c>
      <c r="G4131" s="19">
        <v>0.05</v>
      </c>
      <c r="H4131" s="5" t="s">
        <v>697</v>
      </c>
      <c r="I4131" s="10">
        <f>IF(OR(D4131="", F4131=""), "", F4131 * VLOOKUP(D4131, Products!A:E, 5, FALSE) * (1 - G4131))</f>
        <v>1275.6125</v>
      </c>
      <c r="J4131" s="10"/>
    </row>
    <row r="4132" spans="1:10" ht="15.75" customHeight="1" x14ac:dyDescent="0.3">
      <c r="A4132" s="5" t="s">
        <v>4999</v>
      </c>
      <c r="B4132" s="11">
        <v>45200</v>
      </c>
      <c r="C4132" s="5" t="s">
        <v>703</v>
      </c>
      <c r="D4132" s="5" t="s">
        <v>262</v>
      </c>
      <c r="E4132" s="5" t="s">
        <v>21</v>
      </c>
      <c r="F4132" s="5">
        <v>1</v>
      </c>
      <c r="G4132" s="19">
        <v>0.05</v>
      </c>
      <c r="H4132" s="5" t="s">
        <v>454</v>
      </c>
      <c r="I4132" s="10">
        <f>IF(OR(D4132="", F4132=""), "", F4132 * VLOOKUP(D4132, Products!A:E, 5, FALSE) * (1 - G4132))</f>
        <v>430.93899999999996</v>
      </c>
      <c r="J4132" s="10"/>
    </row>
    <row r="4133" spans="1:10" ht="15.75" customHeight="1" x14ac:dyDescent="0.3">
      <c r="A4133" s="5" t="s">
        <v>5000</v>
      </c>
      <c r="B4133" s="11">
        <v>45675</v>
      </c>
      <c r="C4133" s="5" t="s">
        <v>240</v>
      </c>
      <c r="D4133" s="5" t="s">
        <v>188</v>
      </c>
      <c r="E4133" s="5" t="s">
        <v>25</v>
      </c>
      <c r="F4133" s="5">
        <v>1</v>
      </c>
      <c r="G4133" s="19">
        <v>0.05</v>
      </c>
      <c r="H4133" s="5" t="s">
        <v>637</v>
      </c>
      <c r="I4133" s="10">
        <f>IF(OR(D4133="", F4133=""), "", F4133 * VLOOKUP(D4133, Products!A:E, 5, FALSE) * (1 - G4133))</f>
        <v>1410.7974999999999</v>
      </c>
      <c r="J4133" s="10"/>
    </row>
    <row r="4134" spans="1:10" ht="15.75" customHeight="1" x14ac:dyDescent="0.3">
      <c r="A4134" s="5" t="s">
        <v>5001</v>
      </c>
      <c r="B4134" s="11">
        <v>45441</v>
      </c>
      <c r="C4134" s="5" t="s">
        <v>488</v>
      </c>
      <c r="D4134" s="5" t="s">
        <v>212</v>
      </c>
      <c r="E4134" s="5" t="s">
        <v>33</v>
      </c>
      <c r="F4134" s="5">
        <v>3</v>
      </c>
      <c r="G4134" s="19">
        <v>0.15</v>
      </c>
      <c r="H4134" s="5" t="s">
        <v>697</v>
      </c>
      <c r="I4134" s="10">
        <f>IF(OR(D4134="", F4134=""), "", F4134 * VLOOKUP(D4134, Products!A:E, 5, FALSE) * (1 - G4134))</f>
        <v>4587.3734999999997</v>
      </c>
      <c r="J4134" s="10"/>
    </row>
    <row r="4135" spans="1:10" ht="15.75" customHeight="1" x14ac:dyDescent="0.3">
      <c r="A4135" s="5" t="s">
        <v>5002</v>
      </c>
      <c r="B4135" s="11">
        <v>45625</v>
      </c>
      <c r="C4135" s="5" t="s">
        <v>484</v>
      </c>
      <c r="D4135" s="5" t="s">
        <v>61</v>
      </c>
      <c r="E4135" s="5" t="s">
        <v>37</v>
      </c>
      <c r="F4135" s="5">
        <v>3</v>
      </c>
      <c r="G4135" s="19">
        <v>0.15</v>
      </c>
      <c r="H4135" s="5" t="s">
        <v>776</v>
      </c>
      <c r="I4135" s="10">
        <f>IF(OR(D4135="", F4135=""), "", F4135 * VLOOKUP(D4135, Products!A:E, 5, FALSE) * (1 - G4135))</f>
        <v>811.02750000000003</v>
      </c>
      <c r="J4135" s="10"/>
    </row>
    <row r="4136" spans="1:10" ht="15.75" customHeight="1" x14ac:dyDescent="0.3">
      <c r="A4136" s="5" t="s">
        <v>5003</v>
      </c>
      <c r="B4136" s="11">
        <v>45276</v>
      </c>
      <c r="C4136" s="5" t="s">
        <v>691</v>
      </c>
      <c r="D4136" s="5" t="s">
        <v>74</v>
      </c>
      <c r="E4136" s="5" t="s">
        <v>33</v>
      </c>
      <c r="F4136" s="5">
        <v>1</v>
      </c>
      <c r="G4136" s="19">
        <v>0.05</v>
      </c>
      <c r="H4136" s="5" t="s">
        <v>776</v>
      </c>
      <c r="I4136" s="10">
        <f>IF(OR(D4136="", F4136=""), "", F4136 * VLOOKUP(D4136, Products!A:E, 5, FALSE) * (1 - G4136))</f>
        <v>1134.4139999999998</v>
      </c>
      <c r="J4136" s="10"/>
    </row>
    <row r="4137" spans="1:10" ht="15.75" customHeight="1" x14ac:dyDescent="0.3">
      <c r="A4137" s="5" t="s">
        <v>5004</v>
      </c>
      <c r="B4137" s="11">
        <v>45215</v>
      </c>
      <c r="C4137" s="5" t="s">
        <v>416</v>
      </c>
      <c r="D4137" s="5" t="s">
        <v>267</v>
      </c>
      <c r="E4137" s="5" t="s">
        <v>29</v>
      </c>
      <c r="F4137" s="5">
        <v>5</v>
      </c>
      <c r="G4137" s="19">
        <v>0.1</v>
      </c>
      <c r="H4137" s="5" t="s">
        <v>697</v>
      </c>
      <c r="I4137" s="10">
        <f>IF(OR(D4137="", F4137=""), "", F4137 * VLOOKUP(D4137, Products!A:E, 5, FALSE) * (1 - G4137))</f>
        <v>5789.4750000000004</v>
      </c>
      <c r="J4137" s="10"/>
    </row>
    <row r="4138" spans="1:10" ht="15.75" customHeight="1" x14ac:dyDescent="0.3">
      <c r="A4138" s="5" t="s">
        <v>5005</v>
      </c>
      <c r="B4138" s="11">
        <v>45811</v>
      </c>
      <c r="C4138" s="5" t="s">
        <v>416</v>
      </c>
      <c r="D4138" s="5" t="s">
        <v>243</v>
      </c>
      <c r="E4138" s="5" t="s">
        <v>29</v>
      </c>
      <c r="F4138" s="5">
        <v>4</v>
      </c>
      <c r="G4138" s="19">
        <v>0.15</v>
      </c>
      <c r="H4138" s="5" t="s">
        <v>697</v>
      </c>
      <c r="I4138" s="10">
        <f>IF(OR(D4138="", F4138=""), "", F4138 * VLOOKUP(D4138, Products!A:E, 5, FALSE) * (1 - G4138))</f>
        <v>1839.1960000000001</v>
      </c>
      <c r="J4138" s="10"/>
    </row>
    <row r="4139" spans="1:10" ht="15.75" customHeight="1" x14ac:dyDescent="0.3">
      <c r="A4139" s="5" t="s">
        <v>5006</v>
      </c>
      <c r="B4139" s="11">
        <v>45548</v>
      </c>
      <c r="C4139" s="5" t="s">
        <v>203</v>
      </c>
      <c r="D4139" s="5" t="s">
        <v>193</v>
      </c>
      <c r="E4139" s="5" t="s">
        <v>21</v>
      </c>
      <c r="F4139" s="5">
        <v>2</v>
      </c>
      <c r="G4139" s="19">
        <v>0.1</v>
      </c>
      <c r="H4139" s="5" t="s">
        <v>776</v>
      </c>
      <c r="I4139" s="10">
        <f>IF(OR(D4139="", F4139=""), "", F4139 * VLOOKUP(D4139, Products!A:E, 5, FALSE) * (1 - G4139))</f>
        <v>52.631999999999998</v>
      </c>
      <c r="J4139" s="10"/>
    </row>
    <row r="4140" spans="1:10" ht="15.75" customHeight="1" x14ac:dyDescent="0.3">
      <c r="A4140" s="5" t="s">
        <v>5007</v>
      </c>
      <c r="B4140" s="11">
        <v>45279</v>
      </c>
      <c r="C4140" s="5" t="s">
        <v>361</v>
      </c>
      <c r="D4140" s="5" t="s">
        <v>103</v>
      </c>
      <c r="E4140" s="5" t="s">
        <v>29</v>
      </c>
      <c r="F4140" s="5">
        <v>2</v>
      </c>
      <c r="G4140" s="19">
        <v>0.05</v>
      </c>
      <c r="H4140" s="5" t="s">
        <v>637</v>
      </c>
      <c r="I4140" s="10">
        <f>IF(OR(D4140="", F4140=""), "", F4140 * VLOOKUP(D4140, Products!A:E, 5, FALSE) * (1 - G4140))</f>
        <v>513.8549999999999</v>
      </c>
      <c r="J4140" s="10"/>
    </row>
    <row r="4141" spans="1:10" ht="15.75" customHeight="1" x14ac:dyDescent="0.3">
      <c r="A4141" s="5" t="s">
        <v>5008</v>
      </c>
      <c r="B4141" s="11">
        <v>45467</v>
      </c>
      <c r="C4141" s="5" t="s">
        <v>312</v>
      </c>
      <c r="D4141" s="5" t="s">
        <v>89</v>
      </c>
      <c r="E4141" s="5" t="s">
        <v>25</v>
      </c>
      <c r="F4141" s="5">
        <v>1</v>
      </c>
      <c r="G4141" s="19">
        <v>0.05</v>
      </c>
      <c r="H4141" s="5" t="s">
        <v>697</v>
      </c>
      <c r="I4141" s="10">
        <f>IF(OR(D4141="", F4141=""), "", F4141 * VLOOKUP(D4141, Products!A:E, 5, FALSE) * (1 - G4141))</f>
        <v>1078.06</v>
      </c>
      <c r="J4141" s="10"/>
    </row>
    <row r="4142" spans="1:10" ht="15.75" customHeight="1" x14ac:dyDescent="0.3">
      <c r="A4142" s="5" t="s">
        <v>5009</v>
      </c>
      <c r="B4142" s="11">
        <v>45792</v>
      </c>
      <c r="C4142" s="5" t="s">
        <v>466</v>
      </c>
      <c r="D4142" s="5" t="s">
        <v>74</v>
      </c>
      <c r="E4142" s="5" t="s">
        <v>33</v>
      </c>
      <c r="F4142" s="5">
        <v>3</v>
      </c>
      <c r="G4142" s="19">
        <v>0.05</v>
      </c>
      <c r="H4142" s="5" t="s">
        <v>454</v>
      </c>
      <c r="I4142" s="10">
        <f>IF(OR(D4142="", F4142=""), "", F4142 * VLOOKUP(D4142, Products!A:E, 5, FALSE) * (1 - G4142))</f>
        <v>3403.2419999999997</v>
      </c>
      <c r="J4142" s="10"/>
    </row>
    <row r="4143" spans="1:10" ht="15.75" customHeight="1" x14ac:dyDescent="0.3">
      <c r="A4143" s="5" t="s">
        <v>5010</v>
      </c>
      <c r="B4143" s="11">
        <v>45765</v>
      </c>
      <c r="C4143" s="5" t="s">
        <v>557</v>
      </c>
      <c r="D4143" s="5" t="s">
        <v>153</v>
      </c>
      <c r="E4143" s="5" t="s">
        <v>25</v>
      </c>
      <c r="F4143" s="5">
        <v>1</v>
      </c>
      <c r="G4143" s="19">
        <v>0</v>
      </c>
      <c r="H4143" s="5" t="s">
        <v>454</v>
      </c>
      <c r="I4143" s="10">
        <f>IF(OR(D4143="", F4143=""), "", F4143 * VLOOKUP(D4143, Products!A:E, 5, FALSE) * (1 - G4143))</f>
        <v>1487.41</v>
      </c>
      <c r="J4143" s="10"/>
    </row>
    <row r="4144" spans="1:10" ht="15.75" customHeight="1" x14ac:dyDescent="0.3">
      <c r="A4144" s="5" t="s">
        <v>5011</v>
      </c>
      <c r="B4144" s="11">
        <v>45284</v>
      </c>
      <c r="C4144" s="5" t="s">
        <v>389</v>
      </c>
      <c r="D4144" s="5" t="s">
        <v>67</v>
      </c>
      <c r="E4144" s="5" t="s">
        <v>33</v>
      </c>
      <c r="F4144" s="5">
        <v>5</v>
      </c>
      <c r="G4144" s="19">
        <v>0.15</v>
      </c>
      <c r="H4144" s="5" t="s">
        <v>637</v>
      </c>
      <c r="I4144" s="10">
        <f>IF(OR(D4144="", F4144=""), "", F4144 * VLOOKUP(D4144, Products!A:E, 5, FALSE) * (1 - G4144))</f>
        <v>466.56499999999994</v>
      </c>
      <c r="J4144" s="10"/>
    </row>
    <row r="4145" spans="1:10" ht="15.75" customHeight="1" x14ac:dyDescent="0.3">
      <c r="A4145" s="5" t="s">
        <v>5012</v>
      </c>
      <c r="B4145" s="11">
        <v>45332</v>
      </c>
      <c r="C4145" s="5" t="s">
        <v>676</v>
      </c>
      <c r="D4145" s="5" t="s">
        <v>147</v>
      </c>
      <c r="E4145" s="5" t="s">
        <v>21</v>
      </c>
      <c r="F4145" s="5">
        <v>1</v>
      </c>
      <c r="G4145" s="19">
        <v>0.1</v>
      </c>
      <c r="H4145" s="5" t="s">
        <v>697</v>
      </c>
      <c r="I4145" s="10">
        <f>IF(OR(D4145="", F4145=""), "", F4145 * VLOOKUP(D4145, Products!A:E, 5, FALSE) * (1 - G4145))</f>
        <v>1690.623</v>
      </c>
      <c r="J4145" s="10"/>
    </row>
    <row r="4146" spans="1:10" ht="15.75" customHeight="1" x14ac:dyDescent="0.3">
      <c r="A4146" s="5" t="s">
        <v>5013</v>
      </c>
      <c r="B4146" s="11">
        <v>45206</v>
      </c>
      <c r="C4146" s="5" t="s">
        <v>703</v>
      </c>
      <c r="D4146" s="5" t="s">
        <v>153</v>
      </c>
      <c r="E4146" s="5" t="s">
        <v>29</v>
      </c>
      <c r="F4146" s="5">
        <v>4</v>
      </c>
      <c r="G4146" s="19">
        <v>0</v>
      </c>
      <c r="H4146" s="5" t="s">
        <v>697</v>
      </c>
      <c r="I4146" s="10">
        <f>IF(OR(D4146="", F4146=""), "", F4146 * VLOOKUP(D4146, Products!A:E, 5, FALSE) * (1 - G4146))</f>
        <v>5949.64</v>
      </c>
      <c r="J4146" s="10"/>
    </row>
    <row r="4147" spans="1:10" ht="15.75" customHeight="1" x14ac:dyDescent="0.3">
      <c r="A4147" s="5" t="s">
        <v>5014</v>
      </c>
      <c r="B4147" s="11">
        <v>45267</v>
      </c>
      <c r="C4147" s="5" t="s">
        <v>774</v>
      </c>
      <c r="D4147" s="5" t="s">
        <v>221</v>
      </c>
      <c r="E4147" s="5" t="s">
        <v>21</v>
      </c>
      <c r="F4147" s="5">
        <v>4</v>
      </c>
      <c r="G4147" s="19">
        <v>0.15</v>
      </c>
      <c r="H4147" s="5" t="s">
        <v>454</v>
      </c>
      <c r="I4147" s="10">
        <f>IF(OR(D4147="", F4147=""), "", F4147 * VLOOKUP(D4147, Products!A:E, 5, FALSE) * (1 - G4147))</f>
        <v>5312.2619999999997</v>
      </c>
      <c r="J4147" s="10"/>
    </row>
    <row r="4148" spans="1:10" ht="15.75" customHeight="1" x14ac:dyDescent="0.3">
      <c r="A4148" s="5" t="s">
        <v>5015</v>
      </c>
      <c r="B4148" s="11">
        <v>45264</v>
      </c>
      <c r="C4148" s="5" t="s">
        <v>177</v>
      </c>
      <c r="D4148" s="5" t="s">
        <v>82</v>
      </c>
      <c r="E4148" s="5" t="s">
        <v>33</v>
      </c>
      <c r="F4148" s="5">
        <v>3</v>
      </c>
      <c r="G4148" s="19">
        <v>0.05</v>
      </c>
      <c r="H4148" s="5" t="s">
        <v>776</v>
      </c>
      <c r="I4148" s="10">
        <f>IF(OR(D4148="", F4148=""), "", F4148 * VLOOKUP(D4148, Products!A:E, 5, FALSE) * (1 - G4148))</f>
        <v>3400.3064999999992</v>
      </c>
      <c r="J4148" s="10"/>
    </row>
    <row r="4149" spans="1:10" ht="15.75" customHeight="1" x14ac:dyDescent="0.3">
      <c r="A4149" s="5" t="s">
        <v>5016</v>
      </c>
      <c r="B4149" s="11">
        <v>45760</v>
      </c>
      <c r="C4149" s="5" t="s">
        <v>458</v>
      </c>
      <c r="D4149" s="5" t="s">
        <v>212</v>
      </c>
      <c r="E4149" s="5" t="s">
        <v>25</v>
      </c>
      <c r="F4149" s="5">
        <v>3</v>
      </c>
      <c r="G4149" s="19">
        <v>0</v>
      </c>
      <c r="H4149" s="5" t="s">
        <v>697</v>
      </c>
      <c r="I4149" s="10">
        <f>IF(OR(D4149="", F4149=""), "", F4149 * VLOOKUP(D4149, Products!A:E, 5, FALSE) * (1 - G4149))</f>
        <v>5396.91</v>
      </c>
      <c r="J4149" s="10"/>
    </row>
    <row r="4150" spans="1:10" ht="15.75" customHeight="1" x14ac:dyDescent="0.3">
      <c r="A4150" s="5" t="s">
        <v>5017</v>
      </c>
      <c r="B4150" s="11">
        <v>45325</v>
      </c>
      <c r="C4150" s="5" t="s">
        <v>387</v>
      </c>
      <c r="D4150" s="5" t="s">
        <v>43</v>
      </c>
      <c r="E4150" s="5" t="s">
        <v>37</v>
      </c>
      <c r="F4150" s="5">
        <v>3</v>
      </c>
      <c r="G4150" s="19">
        <v>0</v>
      </c>
      <c r="H4150" s="5" t="s">
        <v>697</v>
      </c>
      <c r="I4150" s="10">
        <f>IF(OR(D4150="", F4150=""), "", F4150 * VLOOKUP(D4150, Products!A:E, 5, FALSE) * (1 - G4150))</f>
        <v>5021.07</v>
      </c>
      <c r="J4150" s="10"/>
    </row>
    <row r="4151" spans="1:10" ht="15.75" customHeight="1" x14ac:dyDescent="0.3">
      <c r="A4151" s="5" t="s">
        <v>5018</v>
      </c>
      <c r="B4151" s="11">
        <v>45646</v>
      </c>
      <c r="C4151" s="5" t="s">
        <v>317</v>
      </c>
      <c r="D4151" s="5" t="s">
        <v>65</v>
      </c>
      <c r="E4151" s="5" t="s">
        <v>37</v>
      </c>
      <c r="F4151" s="5">
        <v>5</v>
      </c>
      <c r="G4151" s="19">
        <v>0.1</v>
      </c>
      <c r="H4151" s="5" t="s">
        <v>637</v>
      </c>
      <c r="I4151" s="10">
        <f>IF(OR(D4151="", F4151=""), "", F4151 * VLOOKUP(D4151, Products!A:E, 5, FALSE) * (1 - G4151))</f>
        <v>6633.54</v>
      </c>
      <c r="J4151" s="10"/>
    </row>
    <row r="4152" spans="1:10" ht="15.75" customHeight="1" x14ac:dyDescent="0.3">
      <c r="A4152" s="5" t="s">
        <v>5019</v>
      </c>
      <c r="B4152" s="11">
        <v>45202</v>
      </c>
      <c r="C4152" s="5" t="s">
        <v>543</v>
      </c>
      <c r="D4152" s="5" t="s">
        <v>43</v>
      </c>
      <c r="E4152" s="5" t="s">
        <v>29</v>
      </c>
      <c r="F4152" s="5">
        <v>2</v>
      </c>
      <c r="G4152" s="19">
        <v>0.15</v>
      </c>
      <c r="H4152" s="5" t="s">
        <v>454</v>
      </c>
      <c r="I4152" s="10">
        <f>IF(OR(D4152="", F4152=""), "", F4152 * VLOOKUP(D4152, Products!A:E, 5, FALSE) * (1 - G4152))</f>
        <v>2845.2730000000001</v>
      </c>
      <c r="J4152" s="10"/>
    </row>
    <row r="4153" spans="1:10" ht="15.75" customHeight="1" x14ac:dyDescent="0.3">
      <c r="A4153" s="5" t="s">
        <v>5020</v>
      </c>
      <c r="B4153" s="11">
        <v>45650</v>
      </c>
      <c r="C4153" s="5" t="s">
        <v>837</v>
      </c>
      <c r="D4153" s="5" t="s">
        <v>77</v>
      </c>
      <c r="E4153" s="5" t="s">
        <v>25</v>
      </c>
      <c r="F4153" s="5">
        <v>2</v>
      </c>
      <c r="G4153" s="19">
        <v>0.05</v>
      </c>
      <c r="H4153" s="5" t="s">
        <v>697</v>
      </c>
      <c r="I4153" s="10">
        <f>IF(OR(D4153="", F4153=""), "", F4153 * VLOOKUP(D4153, Products!A:E, 5, FALSE) * (1 - G4153))</f>
        <v>472.28299999999996</v>
      </c>
      <c r="J4153" s="10"/>
    </row>
    <row r="4154" spans="1:10" ht="15.75" customHeight="1" x14ac:dyDescent="0.3">
      <c r="A4154" s="5" t="s">
        <v>5021</v>
      </c>
      <c r="B4154" s="11">
        <v>45843</v>
      </c>
      <c r="C4154" s="5" t="s">
        <v>661</v>
      </c>
      <c r="D4154" s="5" t="s">
        <v>272</v>
      </c>
      <c r="E4154" s="5" t="s">
        <v>25</v>
      </c>
      <c r="F4154" s="5">
        <v>5</v>
      </c>
      <c r="G4154" s="19">
        <v>0.05</v>
      </c>
      <c r="H4154" s="5" t="s">
        <v>776</v>
      </c>
      <c r="I4154" s="10">
        <f>IF(OR(D4154="", F4154=""), "", F4154 * VLOOKUP(D4154, Products!A:E, 5, FALSE) * (1 - G4154))</f>
        <v>5535.5074999999988</v>
      </c>
      <c r="J4154" s="10"/>
    </row>
    <row r="4155" spans="1:10" ht="15.75" customHeight="1" x14ac:dyDescent="0.3">
      <c r="A4155" s="5" t="s">
        <v>5022</v>
      </c>
      <c r="B4155" s="11">
        <v>45404</v>
      </c>
      <c r="C4155" s="5" t="s">
        <v>286</v>
      </c>
      <c r="D4155" s="5" t="s">
        <v>280</v>
      </c>
      <c r="E4155" s="5" t="s">
        <v>21</v>
      </c>
      <c r="F4155" s="5">
        <v>2</v>
      </c>
      <c r="G4155" s="19">
        <v>0.1</v>
      </c>
      <c r="H4155" s="5" t="s">
        <v>637</v>
      </c>
      <c r="I4155" s="10">
        <f>IF(OR(D4155="", F4155=""), "", F4155 * VLOOKUP(D4155, Products!A:E, 5, FALSE) * (1 - G4155))</f>
        <v>2189.4479999999999</v>
      </c>
      <c r="J4155" s="10"/>
    </row>
    <row r="4156" spans="1:10" ht="15.75" customHeight="1" x14ac:dyDescent="0.3">
      <c r="A4156" s="5" t="s">
        <v>5023</v>
      </c>
      <c r="B4156" s="11">
        <v>45817</v>
      </c>
      <c r="C4156" s="5" t="s">
        <v>705</v>
      </c>
      <c r="D4156" s="5" t="s">
        <v>280</v>
      </c>
      <c r="E4156" s="5" t="s">
        <v>21</v>
      </c>
      <c r="F4156" s="5">
        <v>2</v>
      </c>
      <c r="G4156" s="19">
        <v>0.05</v>
      </c>
      <c r="H4156" s="5" t="s">
        <v>776</v>
      </c>
      <c r="I4156" s="10">
        <f>IF(OR(D4156="", F4156=""), "", F4156 * VLOOKUP(D4156, Products!A:E, 5, FALSE) * (1 - G4156))</f>
        <v>2311.0839999999998</v>
      </c>
      <c r="J4156" s="10"/>
    </row>
    <row r="4157" spans="1:10" ht="15.75" customHeight="1" x14ac:dyDescent="0.3">
      <c r="A4157" s="5" t="s">
        <v>5024</v>
      </c>
      <c r="B4157" s="11">
        <v>45722</v>
      </c>
      <c r="C4157" s="5" t="s">
        <v>387</v>
      </c>
      <c r="D4157" s="5" t="s">
        <v>243</v>
      </c>
      <c r="E4157" s="5" t="s">
        <v>21</v>
      </c>
      <c r="F4157" s="5">
        <v>2</v>
      </c>
      <c r="G4157" s="19">
        <v>0.05</v>
      </c>
      <c r="H4157" s="5" t="s">
        <v>454</v>
      </c>
      <c r="I4157" s="10">
        <f>IF(OR(D4157="", F4157=""), "", F4157 * VLOOKUP(D4157, Products!A:E, 5, FALSE) * (1 - G4157))</f>
        <v>1027.7860000000001</v>
      </c>
      <c r="J4157" s="10"/>
    </row>
    <row r="4158" spans="1:10" ht="15.75" customHeight="1" x14ac:dyDescent="0.3">
      <c r="A4158" s="5" t="s">
        <v>5025</v>
      </c>
      <c r="B4158" s="11">
        <v>45286</v>
      </c>
      <c r="C4158" s="5" t="s">
        <v>557</v>
      </c>
      <c r="D4158" s="5" t="s">
        <v>74</v>
      </c>
      <c r="E4158" s="5" t="s">
        <v>33</v>
      </c>
      <c r="F4158" s="5">
        <v>4</v>
      </c>
      <c r="G4158" s="19">
        <v>0</v>
      </c>
      <c r="H4158" s="5" t="s">
        <v>776</v>
      </c>
      <c r="I4158" s="10">
        <f>IF(OR(D4158="", F4158=""), "", F4158 * VLOOKUP(D4158, Products!A:E, 5, FALSE) * (1 - G4158))</f>
        <v>4776.4799999999996</v>
      </c>
      <c r="J4158" s="10"/>
    </row>
    <row r="4159" spans="1:10" ht="15.75" customHeight="1" x14ac:dyDescent="0.3">
      <c r="A4159" s="5" t="s">
        <v>5026</v>
      </c>
      <c r="B4159" s="11">
        <v>45354</v>
      </c>
      <c r="C4159" s="5" t="s">
        <v>786</v>
      </c>
      <c r="D4159" s="5" t="s">
        <v>262</v>
      </c>
      <c r="E4159" s="5" t="s">
        <v>33</v>
      </c>
      <c r="F4159" s="5">
        <v>4</v>
      </c>
      <c r="G4159" s="19">
        <v>0.1</v>
      </c>
      <c r="H4159" s="5" t="s">
        <v>776</v>
      </c>
      <c r="I4159" s="10">
        <f>IF(OR(D4159="", F4159=""), "", F4159 * VLOOKUP(D4159, Products!A:E, 5, FALSE) * (1 - G4159))</f>
        <v>1633.0320000000002</v>
      </c>
      <c r="J4159" s="10"/>
    </row>
    <row r="4160" spans="1:10" ht="15.75" customHeight="1" x14ac:dyDescent="0.3">
      <c r="A4160" s="5" t="s">
        <v>5027</v>
      </c>
      <c r="B4160" s="11">
        <v>45888</v>
      </c>
      <c r="C4160" s="5" t="s">
        <v>586</v>
      </c>
      <c r="D4160" s="5" t="s">
        <v>269</v>
      </c>
      <c r="E4160" s="5" t="s">
        <v>33</v>
      </c>
      <c r="F4160" s="5">
        <v>2</v>
      </c>
      <c r="G4160" s="19">
        <v>0.15</v>
      </c>
      <c r="H4160" s="5" t="s">
        <v>454</v>
      </c>
      <c r="I4160" s="10">
        <f>IF(OR(D4160="", F4160=""), "", F4160 * VLOOKUP(D4160, Products!A:E, 5, FALSE) * (1 - G4160))</f>
        <v>3194.4359999999997</v>
      </c>
      <c r="J4160" s="10"/>
    </row>
    <row r="4161" spans="1:10" ht="15.75" customHeight="1" x14ac:dyDescent="0.3">
      <c r="A4161" s="5" t="s">
        <v>5028</v>
      </c>
      <c r="B4161" s="11">
        <v>45219</v>
      </c>
      <c r="C4161" s="5" t="s">
        <v>799</v>
      </c>
      <c r="D4161" s="5" t="s">
        <v>47</v>
      </c>
      <c r="E4161" s="5" t="s">
        <v>29</v>
      </c>
      <c r="F4161" s="5">
        <v>2</v>
      </c>
      <c r="G4161" s="19">
        <v>0</v>
      </c>
      <c r="H4161" s="5" t="s">
        <v>697</v>
      </c>
      <c r="I4161" s="10">
        <f>IF(OR(D4161="", F4161=""), "", F4161 * VLOOKUP(D4161, Products!A:E, 5, FALSE) * (1 - G4161))</f>
        <v>1637.52</v>
      </c>
      <c r="J4161" s="10"/>
    </row>
    <row r="4162" spans="1:10" ht="15.75" customHeight="1" x14ac:dyDescent="0.3">
      <c r="A4162" s="5" t="s">
        <v>5029</v>
      </c>
      <c r="B4162" s="11">
        <v>45557</v>
      </c>
      <c r="C4162" s="5" t="s">
        <v>437</v>
      </c>
      <c r="D4162" s="5" t="s">
        <v>232</v>
      </c>
      <c r="E4162" s="5" t="s">
        <v>29</v>
      </c>
      <c r="F4162" s="5">
        <v>2</v>
      </c>
      <c r="G4162" s="19">
        <v>0</v>
      </c>
      <c r="H4162" s="5" t="s">
        <v>776</v>
      </c>
      <c r="I4162" s="10">
        <f>IF(OR(D4162="", F4162=""), "", F4162 * VLOOKUP(D4162, Products!A:E, 5, FALSE) * (1 - G4162))</f>
        <v>3905.3</v>
      </c>
      <c r="J4162" s="10"/>
    </row>
    <row r="4163" spans="1:10" ht="15.75" customHeight="1" x14ac:dyDescent="0.3">
      <c r="A4163" s="5" t="s">
        <v>5030</v>
      </c>
      <c r="B4163" s="11">
        <v>45774</v>
      </c>
      <c r="C4163" s="5" t="s">
        <v>330</v>
      </c>
      <c r="D4163" s="5" t="s">
        <v>70</v>
      </c>
      <c r="E4163" s="5" t="s">
        <v>25</v>
      </c>
      <c r="F4163" s="5">
        <v>5</v>
      </c>
      <c r="G4163" s="19">
        <v>0.1</v>
      </c>
      <c r="H4163" s="5" t="s">
        <v>637</v>
      </c>
      <c r="I4163" s="10">
        <f>IF(OR(D4163="", F4163=""), "", F4163 * VLOOKUP(D4163, Products!A:E, 5, FALSE) * (1 - G4163))</f>
        <v>554.35500000000002</v>
      </c>
      <c r="J4163" s="10"/>
    </row>
    <row r="4164" spans="1:10" ht="15.75" customHeight="1" x14ac:dyDescent="0.3">
      <c r="A4164" s="5" t="s">
        <v>5031</v>
      </c>
      <c r="B4164" s="11">
        <v>45357</v>
      </c>
      <c r="C4164" s="5" t="s">
        <v>326</v>
      </c>
      <c r="D4164" s="5" t="s">
        <v>57</v>
      </c>
      <c r="E4164" s="5" t="s">
        <v>25</v>
      </c>
      <c r="F4164" s="5">
        <v>1</v>
      </c>
      <c r="G4164" s="19">
        <v>0.05</v>
      </c>
      <c r="H4164" s="5" t="s">
        <v>454</v>
      </c>
      <c r="I4164" s="10">
        <f>IF(OR(D4164="", F4164=""), "", F4164 * VLOOKUP(D4164, Products!A:E, 5, FALSE) * (1 - G4164))</f>
        <v>1326.4089999999999</v>
      </c>
      <c r="J4164" s="10"/>
    </row>
    <row r="4165" spans="1:10" ht="15.75" customHeight="1" x14ac:dyDescent="0.3">
      <c r="A4165" s="5" t="s">
        <v>5032</v>
      </c>
      <c r="B4165" s="11">
        <v>45847</v>
      </c>
      <c r="C4165" s="5" t="s">
        <v>826</v>
      </c>
      <c r="D4165" s="5" t="s">
        <v>272</v>
      </c>
      <c r="E4165" s="5" t="s">
        <v>25</v>
      </c>
      <c r="F4165" s="5">
        <v>1</v>
      </c>
      <c r="G4165" s="19">
        <v>0.05</v>
      </c>
      <c r="H4165" s="5" t="s">
        <v>454</v>
      </c>
      <c r="I4165" s="10">
        <f>IF(OR(D4165="", F4165=""), "", F4165 * VLOOKUP(D4165, Products!A:E, 5, FALSE) * (1 - G4165))</f>
        <v>1107.1014999999998</v>
      </c>
      <c r="J4165" s="10"/>
    </row>
    <row r="4166" spans="1:10" ht="15.75" customHeight="1" x14ac:dyDescent="0.3">
      <c r="A4166" s="5" t="s">
        <v>5033</v>
      </c>
      <c r="B4166" s="11">
        <v>45581</v>
      </c>
      <c r="C4166" s="5" t="s">
        <v>604</v>
      </c>
      <c r="D4166" s="5" t="s">
        <v>280</v>
      </c>
      <c r="E4166" s="5" t="s">
        <v>21</v>
      </c>
      <c r="F4166" s="5">
        <v>5</v>
      </c>
      <c r="G4166" s="19">
        <v>0</v>
      </c>
      <c r="H4166" s="5" t="s">
        <v>776</v>
      </c>
      <c r="I4166" s="10">
        <f>IF(OR(D4166="", F4166=""), "", F4166 * VLOOKUP(D4166, Products!A:E, 5, FALSE) * (1 - G4166))</f>
        <v>6081.7999999999993</v>
      </c>
      <c r="J4166" s="10"/>
    </row>
    <row r="4167" spans="1:10" ht="15.75" customHeight="1" x14ac:dyDescent="0.3">
      <c r="A4167" s="5" t="s">
        <v>5034</v>
      </c>
      <c r="B4167" s="11">
        <v>45435</v>
      </c>
      <c r="C4167" s="5" t="s">
        <v>600</v>
      </c>
      <c r="D4167" s="5" t="s">
        <v>74</v>
      </c>
      <c r="E4167" s="5" t="s">
        <v>25</v>
      </c>
      <c r="F4167" s="5">
        <v>2</v>
      </c>
      <c r="G4167" s="19">
        <v>0.05</v>
      </c>
      <c r="H4167" s="5" t="s">
        <v>454</v>
      </c>
      <c r="I4167" s="10">
        <f>IF(OR(D4167="", F4167=""), "", F4167 * VLOOKUP(D4167, Products!A:E, 5, FALSE) * (1 - G4167))</f>
        <v>2268.8279999999995</v>
      </c>
      <c r="J4167" s="10"/>
    </row>
    <row r="4168" spans="1:10" ht="15.75" customHeight="1" x14ac:dyDescent="0.3">
      <c r="A4168" s="5" t="s">
        <v>5035</v>
      </c>
      <c r="B4168" s="11">
        <v>45677</v>
      </c>
      <c r="C4168" s="5" t="s">
        <v>159</v>
      </c>
      <c r="D4168" s="5" t="s">
        <v>232</v>
      </c>
      <c r="E4168" s="5" t="s">
        <v>29</v>
      </c>
      <c r="F4168" s="5">
        <v>1</v>
      </c>
      <c r="G4168" s="19">
        <v>0.15</v>
      </c>
      <c r="H4168" s="5" t="s">
        <v>637</v>
      </c>
      <c r="I4168" s="10">
        <f>IF(OR(D4168="", F4168=""), "", F4168 * VLOOKUP(D4168, Products!A:E, 5, FALSE) * (1 - G4168))</f>
        <v>1659.7525000000001</v>
      </c>
      <c r="J4168" s="10"/>
    </row>
    <row r="4169" spans="1:10" ht="15.75" customHeight="1" x14ac:dyDescent="0.3">
      <c r="A4169" s="5" t="s">
        <v>5036</v>
      </c>
      <c r="B4169" s="11">
        <v>45191</v>
      </c>
      <c r="C4169" s="5" t="s">
        <v>416</v>
      </c>
      <c r="D4169" s="5" t="s">
        <v>265</v>
      </c>
      <c r="E4169" s="5" t="s">
        <v>37</v>
      </c>
      <c r="F4169" s="5">
        <v>4</v>
      </c>
      <c r="G4169" s="19">
        <v>0</v>
      </c>
      <c r="H4169" s="5" t="s">
        <v>637</v>
      </c>
      <c r="I4169" s="10">
        <f>IF(OR(D4169="", F4169=""), "", F4169 * VLOOKUP(D4169, Products!A:E, 5, FALSE) * (1 - G4169))</f>
        <v>2257.6799999999998</v>
      </c>
      <c r="J4169" s="10"/>
    </row>
    <row r="4170" spans="1:10" ht="15.75" customHeight="1" x14ac:dyDescent="0.3">
      <c r="A4170" s="5" t="s">
        <v>5037</v>
      </c>
      <c r="B4170" s="11">
        <v>45785</v>
      </c>
      <c r="C4170" s="5" t="s">
        <v>762</v>
      </c>
      <c r="D4170" s="5" t="s">
        <v>285</v>
      </c>
      <c r="E4170" s="5" t="s">
        <v>33</v>
      </c>
      <c r="F4170" s="5">
        <v>3</v>
      </c>
      <c r="G4170" s="19">
        <v>0.1</v>
      </c>
      <c r="H4170" s="5" t="s">
        <v>637</v>
      </c>
      <c r="I4170" s="10">
        <f>IF(OR(D4170="", F4170=""), "", F4170 * VLOOKUP(D4170, Products!A:E, 5, FALSE) * (1 - G4170))</f>
        <v>1048.3019999999999</v>
      </c>
      <c r="J4170" s="10"/>
    </row>
    <row r="4171" spans="1:10" ht="15.75" customHeight="1" x14ac:dyDescent="0.3">
      <c r="A4171" s="5" t="s">
        <v>5038</v>
      </c>
      <c r="B4171" s="11">
        <v>45817</v>
      </c>
      <c r="C4171" s="5" t="s">
        <v>240</v>
      </c>
      <c r="D4171" s="5" t="s">
        <v>212</v>
      </c>
      <c r="E4171" s="5" t="s">
        <v>37</v>
      </c>
      <c r="F4171" s="5">
        <v>5</v>
      </c>
      <c r="G4171" s="19">
        <v>0.05</v>
      </c>
      <c r="H4171" s="5" t="s">
        <v>454</v>
      </c>
      <c r="I4171" s="10">
        <f>IF(OR(D4171="", F4171=""), "", F4171 * VLOOKUP(D4171, Products!A:E, 5, FALSE) * (1 - G4171))</f>
        <v>8545.1075000000001</v>
      </c>
      <c r="J4171" s="10"/>
    </row>
    <row r="4172" spans="1:10" ht="15.75" customHeight="1" x14ac:dyDescent="0.3">
      <c r="A4172" s="5" t="s">
        <v>5039</v>
      </c>
      <c r="B4172" s="11">
        <v>45250</v>
      </c>
      <c r="C4172" s="5" t="s">
        <v>155</v>
      </c>
      <c r="D4172" s="5" t="s">
        <v>54</v>
      </c>
      <c r="E4172" s="5" t="s">
        <v>33</v>
      </c>
      <c r="F4172" s="5">
        <v>3</v>
      </c>
      <c r="G4172" s="19">
        <v>0.05</v>
      </c>
      <c r="H4172" s="5" t="s">
        <v>637</v>
      </c>
      <c r="I4172" s="10">
        <f>IF(OR(D4172="", F4172=""), "", F4172 * VLOOKUP(D4172, Products!A:E, 5, FALSE) * (1 - G4172))</f>
        <v>5283.2444999999989</v>
      </c>
      <c r="J4172" s="10"/>
    </row>
    <row r="4173" spans="1:10" ht="15.75" customHeight="1" x14ac:dyDescent="0.3">
      <c r="A4173" s="5" t="s">
        <v>5040</v>
      </c>
      <c r="B4173" s="11">
        <v>45342</v>
      </c>
      <c r="C4173" s="5" t="s">
        <v>308</v>
      </c>
      <c r="D4173" s="5" t="s">
        <v>140</v>
      </c>
      <c r="E4173" s="5" t="s">
        <v>33</v>
      </c>
      <c r="F4173" s="5">
        <v>2</v>
      </c>
      <c r="G4173" s="19">
        <v>0.1</v>
      </c>
      <c r="H4173" s="5" t="s">
        <v>776</v>
      </c>
      <c r="I4173" s="10">
        <f>IF(OR(D4173="", F4173=""), "", F4173 * VLOOKUP(D4173, Products!A:E, 5, FALSE) * (1 - G4173))</f>
        <v>46.026000000000003</v>
      </c>
      <c r="J4173" s="10"/>
    </row>
    <row r="4174" spans="1:10" ht="15.75" customHeight="1" x14ac:dyDescent="0.3">
      <c r="A4174" s="5" t="s">
        <v>5041</v>
      </c>
      <c r="B4174" s="11">
        <v>45294</v>
      </c>
      <c r="C4174" s="5" t="s">
        <v>338</v>
      </c>
      <c r="D4174" s="5" t="s">
        <v>221</v>
      </c>
      <c r="E4174" s="5" t="s">
        <v>25</v>
      </c>
      <c r="F4174" s="5">
        <v>3</v>
      </c>
      <c r="G4174" s="19">
        <v>0</v>
      </c>
      <c r="H4174" s="5" t="s">
        <v>454</v>
      </c>
      <c r="I4174" s="10">
        <f>IF(OR(D4174="", F4174=""), "", F4174 * VLOOKUP(D4174, Products!A:E, 5, FALSE) * (1 - G4174))</f>
        <v>4687.29</v>
      </c>
      <c r="J4174" s="10"/>
    </row>
    <row r="4175" spans="1:10" ht="15.75" customHeight="1" x14ac:dyDescent="0.3">
      <c r="A4175" s="5" t="s">
        <v>5042</v>
      </c>
      <c r="B4175" s="11">
        <v>45834</v>
      </c>
      <c r="C4175" s="5" t="s">
        <v>536</v>
      </c>
      <c r="D4175" s="5" t="s">
        <v>47</v>
      </c>
      <c r="E4175" s="5" t="s">
        <v>33</v>
      </c>
      <c r="F4175" s="5">
        <v>5</v>
      </c>
      <c r="G4175" s="19">
        <v>0.1</v>
      </c>
      <c r="H4175" s="5" t="s">
        <v>454</v>
      </c>
      <c r="I4175" s="10">
        <f>IF(OR(D4175="", F4175=""), "", F4175 * VLOOKUP(D4175, Products!A:E, 5, FALSE) * (1 - G4175))</f>
        <v>3684.42</v>
      </c>
      <c r="J4175" s="10"/>
    </row>
    <row r="4176" spans="1:10" ht="15.75" customHeight="1" x14ac:dyDescent="0.3">
      <c r="A4176" s="5" t="s">
        <v>5043</v>
      </c>
      <c r="B4176" s="11">
        <v>45784</v>
      </c>
      <c r="C4176" s="5" t="s">
        <v>645</v>
      </c>
      <c r="D4176" s="5" t="s">
        <v>265</v>
      </c>
      <c r="E4176" s="5" t="s">
        <v>25</v>
      </c>
      <c r="F4176" s="5">
        <v>2</v>
      </c>
      <c r="G4176" s="19">
        <v>0.15</v>
      </c>
      <c r="H4176" s="5" t="s">
        <v>697</v>
      </c>
      <c r="I4176" s="10">
        <f>IF(OR(D4176="", F4176=""), "", F4176 * VLOOKUP(D4176, Products!A:E, 5, FALSE) * (1 - G4176))</f>
        <v>959.5139999999999</v>
      </c>
      <c r="J4176" s="10"/>
    </row>
    <row r="4177" spans="1:10" ht="15.75" customHeight="1" x14ac:dyDescent="0.3">
      <c r="A4177" s="5" t="s">
        <v>5044</v>
      </c>
      <c r="B4177" s="11">
        <v>45544</v>
      </c>
      <c r="C4177" s="5" t="s">
        <v>750</v>
      </c>
      <c r="D4177" s="5" t="s">
        <v>175</v>
      </c>
      <c r="E4177" s="5" t="s">
        <v>25</v>
      </c>
      <c r="F4177" s="5">
        <v>4</v>
      </c>
      <c r="G4177" s="19">
        <v>0</v>
      </c>
      <c r="H4177" s="5" t="s">
        <v>697</v>
      </c>
      <c r="I4177" s="10">
        <f>IF(OR(D4177="", F4177=""), "", F4177 * VLOOKUP(D4177, Products!A:E, 5, FALSE) * (1 - G4177))</f>
        <v>5088.92</v>
      </c>
      <c r="J4177" s="10"/>
    </row>
    <row r="4178" spans="1:10" ht="15.75" customHeight="1" x14ac:dyDescent="0.3">
      <c r="A4178" s="5" t="s">
        <v>5045</v>
      </c>
      <c r="B4178" s="11">
        <v>45185</v>
      </c>
      <c r="C4178" s="5" t="s">
        <v>229</v>
      </c>
      <c r="D4178" s="5" t="s">
        <v>70</v>
      </c>
      <c r="E4178" s="5" t="s">
        <v>25</v>
      </c>
      <c r="F4178" s="5">
        <v>1</v>
      </c>
      <c r="G4178" s="19">
        <v>0</v>
      </c>
      <c r="H4178" s="5" t="s">
        <v>776</v>
      </c>
      <c r="I4178" s="10">
        <f>IF(OR(D4178="", F4178=""), "", F4178 * VLOOKUP(D4178, Products!A:E, 5, FALSE) * (1 - G4178))</f>
        <v>123.19</v>
      </c>
      <c r="J4178" s="10"/>
    </row>
    <row r="4179" spans="1:10" ht="15.75" customHeight="1" x14ac:dyDescent="0.3">
      <c r="A4179" s="5" t="s">
        <v>5046</v>
      </c>
      <c r="B4179" s="11">
        <v>45375</v>
      </c>
      <c r="C4179" s="5" t="s">
        <v>255</v>
      </c>
      <c r="D4179" s="5" t="s">
        <v>153</v>
      </c>
      <c r="E4179" s="5" t="s">
        <v>37</v>
      </c>
      <c r="F4179" s="5">
        <v>4</v>
      </c>
      <c r="G4179" s="19">
        <v>0</v>
      </c>
      <c r="H4179" s="5" t="s">
        <v>697</v>
      </c>
      <c r="I4179" s="10">
        <f>IF(OR(D4179="", F4179=""), "", F4179 * VLOOKUP(D4179, Products!A:E, 5, FALSE) * (1 - G4179))</f>
        <v>5949.64</v>
      </c>
      <c r="J4179" s="10"/>
    </row>
    <row r="4180" spans="1:10" ht="15.75" customHeight="1" x14ac:dyDescent="0.3">
      <c r="A4180" s="5" t="s">
        <v>5047</v>
      </c>
      <c r="B4180" s="11">
        <v>45895</v>
      </c>
      <c r="C4180" s="5" t="s">
        <v>808</v>
      </c>
      <c r="D4180" s="5" t="s">
        <v>232</v>
      </c>
      <c r="E4180" s="5" t="s">
        <v>29</v>
      </c>
      <c r="F4180" s="5">
        <v>5</v>
      </c>
      <c r="G4180" s="19">
        <v>0.15</v>
      </c>
      <c r="H4180" s="5" t="s">
        <v>776</v>
      </c>
      <c r="I4180" s="10">
        <f>IF(OR(D4180="", F4180=""), "", F4180 * VLOOKUP(D4180, Products!A:E, 5, FALSE) * (1 - G4180))</f>
        <v>8298.7624999999989</v>
      </c>
      <c r="J4180" s="10"/>
    </row>
    <row r="4181" spans="1:10" ht="15.75" customHeight="1" x14ac:dyDescent="0.3">
      <c r="A4181" s="5" t="s">
        <v>5048</v>
      </c>
      <c r="B4181" s="11">
        <v>45865</v>
      </c>
      <c r="C4181" s="5" t="s">
        <v>786</v>
      </c>
      <c r="D4181" s="5" t="s">
        <v>200</v>
      </c>
      <c r="E4181" s="5" t="s">
        <v>21</v>
      </c>
      <c r="F4181" s="5">
        <v>4</v>
      </c>
      <c r="G4181" s="19">
        <v>0</v>
      </c>
      <c r="H4181" s="5" t="s">
        <v>637</v>
      </c>
      <c r="I4181" s="10">
        <f>IF(OR(D4181="", F4181=""), "", F4181 * VLOOKUP(D4181, Products!A:E, 5, FALSE) * (1 - G4181))</f>
        <v>4382.88</v>
      </c>
      <c r="J4181" s="10"/>
    </row>
    <row r="4182" spans="1:10" ht="15.75" customHeight="1" x14ac:dyDescent="0.3">
      <c r="A4182" s="5" t="s">
        <v>5049</v>
      </c>
      <c r="B4182" s="11">
        <v>45680</v>
      </c>
      <c r="C4182" s="5" t="s">
        <v>447</v>
      </c>
      <c r="D4182" s="5" t="s">
        <v>134</v>
      </c>
      <c r="E4182" s="5" t="s">
        <v>21</v>
      </c>
      <c r="F4182" s="5">
        <v>2</v>
      </c>
      <c r="G4182" s="19">
        <v>0.05</v>
      </c>
      <c r="H4182" s="5" t="s">
        <v>454</v>
      </c>
      <c r="I4182" s="10">
        <f>IF(OR(D4182="", F4182=""), "", F4182 * VLOOKUP(D4182, Products!A:E, 5, FALSE) * (1 - G4182))</f>
        <v>2331.7559999999999</v>
      </c>
      <c r="J4182" s="10"/>
    </row>
    <row r="4183" spans="1:10" ht="15.75" customHeight="1" x14ac:dyDescent="0.3">
      <c r="A4183" s="5" t="s">
        <v>5050</v>
      </c>
      <c r="B4183" s="11">
        <v>45768</v>
      </c>
      <c r="C4183" s="5" t="s">
        <v>235</v>
      </c>
      <c r="D4183" s="5" t="s">
        <v>243</v>
      </c>
      <c r="E4183" s="5" t="s">
        <v>37</v>
      </c>
      <c r="F4183" s="5">
        <v>5</v>
      </c>
      <c r="G4183" s="19">
        <v>0.1</v>
      </c>
      <c r="H4183" s="5" t="s">
        <v>454</v>
      </c>
      <c r="I4183" s="10">
        <f>IF(OR(D4183="", F4183=""), "", F4183 * VLOOKUP(D4183, Products!A:E, 5, FALSE) * (1 - G4183))</f>
        <v>2434.2300000000005</v>
      </c>
      <c r="J4183" s="10"/>
    </row>
    <row r="4184" spans="1:10" ht="15.75" customHeight="1" x14ac:dyDescent="0.3">
      <c r="A4184" s="5" t="s">
        <v>5051</v>
      </c>
      <c r="B4184" s="11">
        <v>45455</v>
      </c>
      <c r="C4184" s="5" t="s">
        <v>334</v>
      </c>
      <c r="D4184" s="5" t="s">
        <v>57</v>
      </c>
      <c r="E4184" s="5" t="s">
        <v>37</v>
      </c>
      <c r="F4184" s="5">
        <v>3</v>
      </c>
      <c r="G4184" s="19">
        <v>0</v>
      </c>
      <c r="H4184" s="5" t="s">
        <v>637</v>
      </c>
      <c r="I4184" s="10">
        <f>IF(OR(D4184="", F4184=""), "", F4184 * VLOOKUP(D4184, Products!A:E, 5, FALSE) * (1 - G4184))</f>
        <v>4188.66</v>
      </c>
      <c r="J4184" s="10"/>
    </row>
    <row r="4185" spans="1:10" ht="15.75" customHeight="1" x14ac:dyDescent="0.3">
      <c r="A4185" s="5" t="s">
        <v>5052</v>
      </c>
      <c r="B4185" s="11">
        <v>45255</v>
      </c>
      <c r="C4185" s="5" t="s">
        <v>235</v>
      </c>
      <c r="D4185" s="5" t="s">
        <v>67</v>
      </c>
      <c r="E4185" s="5" t="s">
        <v>25</v>
      </c>
      <c r="F4185" s="5">
        <v>2</v>
      </c>
      <c r="G4185" s="19">
        <v>0.05</v>
      </c>
      <c r="H4185" s="5" t="s">
        <v>637</v>
      </c>
      <c r="I4185" s="10">
        <f>IF(OR(D4185="", F4185=""), "", F4185 * VLOOKUP(D4185, Products!A:E, 5, FALSE) * (1 - G4185))</f>
        <v>208.58199999999999</v>
      </c>
      <c r="J4185" s="10"/>
    </row>
    <row r="4186" spans="1:10" ht="15.75" customHeight="1" x14ac:dyDescent="0.3">
      <c r="A4186" s="5" t="s">
        <v>5053</v>
      </c>
      <c r="B4186" s="11">
        <v>45395</v>
      </c>
      <c r="C4186" s="5" t="s">
        <v>539</v>
      </c>
      <c r="D4186" s="5" t="s">
        <v>265</v>
      </c>
      <c r="E4186" s="5" t="s">
        <v>29</v>
      </c>
      <c r="F4186" s="5">
        <v>2</v>
      </c>
      <c r="G4186" s="19">
        <v>0.05</v>
      </c>
      <c r="H4186" s="5" t="s">
        <v>637</v>
      </c>
      <c r="I4186" s="10">
        <f>IF(OR(D4186="", F4186=""), "", F4186 * VLOOKUP(D4186, Products!A:E, 5, FALSE) * (1 - G4186))</f>
        <v>1072.3979999999999</v>
      </c>
      <c r="J4186" s="10"/>
    </row>
    <row r="4187" spans="1:10" ht="15.75" customHeight="1" x14ac:dyDescent="0.3">
      <c r="A4187" s="5" t="s">
        <v>5054</v>
      </c>
      <c r="B4187" s="11">
        <v>45286</v>
      </c>
      <c r="C4187" s="5" t="s">
        <v>338</v>
      </c>
      <c r="D4187" s="5" t="s">
        <v>212</v>
      </c>
      <c r="E4187" s="5" t="s">
        <v>25</v>
      </c>
      <c r="F4187" s="5">
        <v>1</v>
      </c>
      <c r="G4187" s="19">
        <v>0.1</v>
      </c>
      <c r="H4187" s="5" t="s">
        <v>454</v>
      </c>
      <c r="I4187" s="10">
        <f>IF(OR(D4187="", F4187=""), "", F4187 * VLOOKUP(D4187, Products!A:E, 5, FALSE) * (1 - G4187))</f>
        <v>1619.0730000000001</v>
      </c>
      <c r="J4187" s="10"/>
    </row>
    <row r="4188" spans="1:10" ht="15.75" customHeight="1" x14ac:dyDescent="0.3">
      <c r="A4188" s="5" t="s">
        <v>5055</v>
      </c>
      <c r="B4188" s="11">
        <v>45443</v>
      </c>
      <c r="C4188" s="5" t="s">
        <v>304</v>
      </c>
      <c r="D4188" s="5" t="s">
        <v>276</v>
      </c>
      <c r="E4188" s="5" t="s">
        <v>25</v>
      </c>
      <c r="F4188" s="5">
        <v>1</v>
      </c>
      <c r="G4188" s="19">
        <v>0.15</v>
      </c>
      <c r="H4188" s="5" t="s">
        <v>697</v>
      </c>
      <c r="I4188" s="10">
        <f>IF(OR(D4188="", F4188=""), "", F4188 * VLOOKUP(D4188, Products!A:E, 5, FALSE) * (1 - G4188))</f>
        <v>1017.6030000000001</v>
      </c>
      <c r="J4188" s="10"/>
    </row>
    <row r="4189" spans="1:10" ht="15.75" customHeight="1" x14ac:dyDescent="0.3">
      <c r="A4189" s="5" t="s">
        <v>5056</v>
      </c>
      <c r="B4189" s="11">
        <v>45430</v>
      </c>
      <c r="C4189" s="5" t="s">
        <v>528</v>
      </c>
      <c r="D4189" s="5" t="s">
        <v>153</v>
      </c>
      <c r="E4189" s="5" t="s">
        <v>29</v>
      </c>
      <c r="F4189" s="5">
        <v>3</v>
      </c>
      <c r="G4189" s="19">
        <v>0.15</v>
      </c>
      <c r="H4189" s="5" t="s">
        <v>697</v>
      </c>
      <c r="I4189" s="10">
        <f>IF(OR(D4189="", F4189=""), "", F4189 * VLOOKUP(D4189, Products!A:E, 5, FALSE) * (1 - G4189))</f>
        <v>3792.8955000000001</v>
      </c>
      <c r="J4189" s="10"/>
    </row>
    <row r="4190" spans="1:10" ht="15.75" customHeight="1" x14ac:dyDescent="0.3">
      <c r="A4190" s="5" t="s">
        <v>5057</v>
      </c>
      <c r="B4190" s="11">
        <v>45853</v>
      </c>
      <c r="C4190" s="5" t="s">
        <v>350</v>
      </c>
      <c r="D4190" s="5" t="s">
        <v>232</v>
      </c>
      <c r="E4190" s="5" t="s">
        <v>21</v>
      </c>
      <c r="F4190" s="5">
        <v>5</v>
      </c>
      <c r="G4190" s="19">
        <v>0.05</v>
      </c>
      <c r="H4190" s="5" t="s">
        <v>697</v>
      </c>
      <c r="I4190" s="10">
        <f>IF(OR(D4190="", F4190=""), "", F4190 * VLOOKUP(D4190, Products!A:E, 5, FALSE) * (1 - G4190))</f>
        <v>9275.0874999999996</v>
      </c>
      <c r="J4190" s="10"/>
    </row>
    <row r="4191" spans="1:10" ht="15.75" customHeight="1" x14ac:dyDescent="0.3">
      <c r="A4191" s="5" t="s">
        <v>5058</v>
      </c>
      <c r="B4191" s="11">
        <v>45576</v>
      </c>
      <c r="C4191" s="5" t="s">
        <v>447</v>
      </c>
      <c r="D4191" s="5" t="s">
        <v>57</v>
      </c>
      <c r="E4191" s="5" t="s">
        <v>29</v>
      </c>
      <c r="F4191" s="5">
        <v>3</v>
      </c>
      <c r="G4191" s="19">
        <v>0.15</v>
      </c>
      <c r="H4191" s="5" t="s">
        <v>776</v>
      </c>
      <c r="I4191" s="10">
        <f>IF(OR(D4191="", F4191=""), "", F4191 * VLOOKUP(D4191, Products!A:E, 5, FALSE) * (1 - G4191))</f>
        <v>3560.3609999999999</v>
      </c>
      <c r="J4191" s="10"/>
    </row>
    <row r="4192" spans="1:10" ht="15.75" customHeight="1" x14ac:dyDescent="0.3">
      <c r="A4192" s="5" t="s">
        <v>5059</v>
      </c>
      <c r="B4192" s="11">
        <v>45355</v>
      </c>
      <c r="C4192" s="5" t="s">
        <v>462</v>
      </c>
      <c r="D4192" s="5" t="s">
        <v>232</v>
      </c>
      <c r="E4192" s="5" t="s">
        <v>37</v>
      </c>
      <c r="F4192" s="5">
        <v>5</v>
      </c>
      <c r="G4192" s="19">
        <v>0.15</v>
      </c>
      <c r="H4192" s="5" t="s">
        <v>454</v>
      </c>
      <c r="I4192" s="10">
        <f>IF(OR(D4192="", F4192=""), "", F4192 * VLOOKUP(D4192, Products!A:E, 5, FALSE) * (1 - G4192))</f>
        <v>8298.7624999999989</v>
      </c>
      <c r="J4192" s="10"/>
    </row>
    <row r="4193" spans="1:10" ht="15.75" customHeight="1" x14ac:dyDescent="0.3">
      <c r="A4193" s="5" t="s">
        <v>5060</v>
      </c>
      <c r="B4193" s="11">
        <v>45884</v>
      </c>
      <c r="C4193" s="5" t="s">
        <v>91</v>
      </c>
      <c r="D4193" s="5" t="s">
        <v>243</v>
      </c>
      <c r="E4193" s="5" t="s">
        <v>29</v>
      </c>
      <c r="F4193" s="5">
        <v>4</v>
      </c>
      <c r="G4193" s="19">
        <v>0</v>
      </c>
      <c r="H4193" s="5" t="s">
        <v>697</v>
      </c>
      <c r="I4193" s="10">
        <f>IF(OR(D4193="", F4193=""), "", F4193 * VLOOKUP(D4193, Products!A:E, 5, FALSE) * (1 - G4193))</f>
        <v>2163.7600000000002</v>
      </c>
      <c r="J4193" s="10"/>
    </row>
    <row r="4194" spans="1:10" ht="15.75" customHeight="1" x14ac:dyDescent="0.3">
      <c r="A4194" s="5" t="s">
        <v>5061</v>
      </c>
      <c r="B4194" s="11">
        <v>45184</v>
      </c>
      <c r="C4194" s="5" t="s">
        <v>81</v>
      </c>
      <c r="D4194" s="5" t="s">
        <v>61</v>
      </c>
      <c r="E4194" s="5" t="s">
        <v>29</v>
      </c>
      <c r="F4194" s="5">
        <v>5</v>
      </c>
      <c r="G4194" s="19">
        <v>0.15</v>
      </c>
      <c r="H4194" s="5" t="s">
        <v>454</v>
      </c>
      <c r="I4194" s="10">
        <f>IF(OR(D4194="", F4194=""), "", F4194 * VLOOKUP(D4194, Products!A:E, 5, FALSE) * (1 - G4194))</f>
        <v>1351.7124999999999</v>
      </c>
      <c r="J4194" s="10"/>
    </row>
    <row r="4195" spans="1:10" ht="15.75" customHeight="1" x14ac:dyDescent="0.3">
      <c r="A4195" s="5" t="s">
        <v>5062</v>
      </c>
      <c r="B4195" s="11">
        <v>45722</v>
      </c>
      <c r="C4195" s="5" t="s">
        <v>185</v>
      </c>
      <c r="D4195" s="5" t="s">
        <v>89</v>
      </c>
      <c r="E4195" s="5" t="s">
        <v>37</v>
      </c>
      <c r="F4195" s="5">
        <v>3</v>
      </c>
      <c r="G4195" s="19">
        <v>0.05</v>
      </c>
      <c r="H4195" s="5" t="s">
        <v>637</v>
      </c>
      <c r="I4195" s="10">
        <f>IF(OR(D4195="", F4195=""), "", F4195 * VLOOKUP(D4195, Products!A:E, 5, FALSE) * (1 - G4195))</f>
        <v>3234.1799999999994</v>
      </c>
      <c r="J4195" s="10"/>
    </row>
    <row r="4196" spans="1:10" ht="15.75" customHeight="1" x14ac:dyDescent="0.3">
      <c r="A4196" s="5" t="s">
        <v>5063</v>
      </c>
      <c r="B4196" s="11">
        <v>45418</v>
      </c>
      <c r="C4196" s="5" t="s">
        <v>638</v>
      </c>
      <c r="D4196" s="5" t="s">
        <v>256</v>
      </c>
      <c r="E4196" s="5" t="s">
        <v>29</v>
      </c>
      <c r="F4196" s="5">
        <v>5</v>
      </c>
      <c r="G4196" s="19">
        <v>0.05</v>
      </c>
      <c r="H4196" s="5" t="s">
        <v>637</v>
      </c>
      <c r="I4196" s="10">
        <f>IF(OR(D4196="", F4196=""), "", F4196 * VLOOKUP(D4196, Products!A:E, 5, FALSE) * (1 - G4196))</f>
        <v>7766.2974999999997</v>
      </c>
      <c r="J4196" s="10"/>
    </row>
    <row r="4197" spans="1:10" ht="15.75" customHeight="1" x14ac:dyDescent="0.3">
      <c r="A4197" s="5" t="s">
        <v>5064</v>
      </c>
      <c r="B4197" s="11">
        <v>45401</v>
      </c>
      <c r="C4197" s="5" t="s">
        <v>575</v>
      </c>
      <c r="D4197" s="5" t="s">
        <v>153</v>
      </c>
      <c r="E4197" s="5" t="s">
        <v>25</v>
      </c>
      <c r="F4197" s="5">
        <v>2</v>
      </c>
      <c r="G4197" s="19">
        <v>0.1</v>
      </c>
      <c r="H4197" s="5" t="s">
        <v>637</v>
      </c>
      <c r="I4197" s="10">
        <f>IF(OR(D4197="", F4197=""), "", F4197 * VLOOKUP(D4197, Products!A:E, 5, FALSE) * (1 - G4197))</f>
        <v>2677.3380000000002</v>
      </c>
      <c r="J4197" s="10"/>
    </row>
    <row r="4198" spans="1:10" ht="15.75" customHeight="1" x14ac:dyDescent="0.3">
      <c r="A4198" s="5" t="s">
        <v>5065</v>
      </c>
      <c r="B4198" s="11">
        <v>45875</v>
      </c>
      <c r="C4198" s="5" t="s">
        <v>389</v>
      </c>
      <c r="D4198" s="5" t="s">
        <v>249</v>
      </c>
      <c r="E4198" s="5" t="s">
        <v>29</v>
      </c>
      <c r="F4198" s="5">
        <v>2</v>
      </c>
      <c r="G4198" s="19">
        <v>0.15</v>
      </c>
      <c r="H4198" s="5" t="s">
        <v>637</v>
      </c>
      <c r="I4198" s="10">
        <f>IF(OR(D4198="", F4198=""), "", F4198 * VLOOKUP(D4198, Products!A:E, 5, FALSE) * (1 - G4198))</f>
        <v>2967.5369999999998</v>
      </c>
      <c r="J4198" s="10"/>
    </row>
    <row r="4199" spans="1:10" ht="15.75" customHeight="1" x14ac:dyDescent="0.3">
      <c r="A4199" s="5" t="s">
        <v>5066</v>
      </c>
      <c r="B4199" s="11">
        <v>45553</v>
      </c>
      <c r="C4199" s="5" t="s">
        <v>618</v>
      </c>
      <c r="D4199" s="5" t="s">
        <v>128</v>
      </c>
      <c r="E4199" s="5" t="s">
        <v>29</v>
      </c>
      <c r="F4199" s="5">
        <v>2</v>
      </c>
      <c r="G4199" s="19">
        <v>0.05</v>
      </c>
      <c r="H4199" s="5" t="s">
        <v>454</v>
      </c>
      <c r="I4199" s="10">
        <f>IF(OR(D4199="", F4199=""), "", F4199 * VLOOKUP(D4199, Products!A:E, 5, FALSE) * (1 - G4199))</f>
        <v>615.44799999999998</v>
      </c>
      <c r="J4199" s="10"/>
    </row>
    <row r="4200" spans="1:10" ht="15.75" customHeight="1" x14ac:dyDescent="0.3">
      <c r="A4200" s="5" t="s">
        <v>5067</v>
      </c>
      <c r="B4200" s="11">
        <v>45887</v>
      </c>
      <c r="C4200" s="5" t="s">
        <v>703</v>
      </c>
      <c r="D4200" s="5" t="s">
        <v>54</v>
      </c>
      <c r="E4200" s="5" t="s">
        <v>25</v>
      </c>
      <c r="F4200" s="5">
        <v>1</v>
      </c>
      <c r="G4200" s="19">
        <v>0.15</v>
      </c>
      <c r="H4200" s="5" t="s">
        <v>776</v>
      </c>
      <c r="I4200" s="10">
        <f>IF(OR(D4200="", F4200=""), "", F4200 * VLOOKUP(D4200, Products!A:E, 5, FALSE) * (1 - G4200))</f>
        <v>1575.7045000000001</v>
      </c>
      <c r="J4200" s="10"/>
    </row>
    <row r="4201" spans="1:10" ht="15.75" customHeight="1" x14ac:dyDescent="0.3">
      <c r="A4201" s="5" t="s">
        <v>5068</v>
      </c>
      <c r="B4201" s="11">
        <v>45483</v>
      </c>
      <c r="C4201" s="5" t="s">
        <v>550</v>
      </c>
      <c r="D4201" s="5" t="s">
        <v>122</v>
      </c>
      <c r="E4201" s="5" t="s">
        <v>29</v>
      </c>
      <c r="F4201" s="5">
        <v>5</v>
      </c>
      <c r="G4201" s="19">
        <v>0</v>
      </c>
      <c r="H4201" s="5" t="s">
        <v>697</v>
      </c>
      <c r="I4201" s="10">
        <f>IF(OR(D4201="", F4201=""), "", F4201 * VLOOKUP(D4201, Products!A:E, 5, FALSE) * (1 - G4201))</f>
        <v>8814.6</v>
      </c>
      <c r="J4201" s="10"/>
    </row>
    <row r="4202" spans="1:10" ht="15.75" customHeight="1" x14ac:dyDescent="0.3">
      <c r="A4202" s="5" t="s">
        <v>5069</v>
      </c>
      <c r="B4202" s="11">
        <v>45238</v>
      </c>
      <c r="C4202" s="5" t="s">
        <v>729</v>
      </c>
      <c r="D4202" s="5" t="s">
        <v>206</v>
      </c>
      <c r="E4202" s="5" t="s">
        <v>25</v>
      </c>
      <c r="F4202" s="5">
        <v>1</v>
      </c>
      <c r="G4202" s="19">
        <v>0.1</v>
      </c>
      <c r="H4202" s="5" t="s">
        <v>697</v>
      </c>
      <c r="I4202" s="10">
        <f>IF(OR(D4202="", F4202=""), "", F4202 * VLOOKUP(D4202, Products!A:E, 5, FALSE) * (1 - G4202))</f>
        <v>274.23899999999998</v>
      </c>
      <c r="J4202" s="10"/>
    </row>
    <row r="4203" spans="1:10" ht="15.75" customHeight="1" x14ac:dyDescent="0.3">
      <c r="A4203" s="5" t="s">
        <v>5070</v>
      </c>
      <c r="B4203" s="11">
        <v>45835</v>
      </c>
      <c r="C4203" s="5" t="s">
        <v>304</v>
      </c>
      <c r="D4203" s="5" t="s">
        <v>67</v>
      </c>
      <c r="E4203" s="5" t="s">
        <v>37</v>
      </c>
      <c r="F4203" s="5">
        <v>3</v>
      </c>
      <c r="G4203" s="19">
        <v>0</v>
      </c>
      <c r="H4203" s="5" t="s">
        <v>776</v>
      </c>
      <c r="I4203" s="10">
        <f>IF(OR(D4203="", F4203=""), "", F4203 * VLOOKUP(D4203, Products!A:E, 5, FALSE) * (1 - G4203))</f>
        <v>329.34000000000003</v>
      </c>
      <c r="J4203" s="10"/>
    </row>
    <row r="4204" spans="1:10" ht="15.75" customHeight="1" x14ac:dyDescent="0.3">
      <c r="A4204" s="5" t="s">
        <v>5071</v>
      </c>
      <c r="B4204" s="11">
        <v>45578</v>
      </c>
      <c r="C4204" s="5" t="s">
        <v>477</v>
      </c>
      <c r="D4204" s="5" t="s">
        <v>256</v>
      </c>
      <c r="E4204" s="5" t="s">
        <v>33</v>
      </c>
      <c r="F4204" s="5">
        <v>2</v>
      </c>
      <c r="G4204" s="19">
        <v>0</v>
      </c>
      <c r="H4204" s="5" t="s">
        <v>697</v>
      </c>
      <c r="I4204" s="10">
        <f>IF(OR(D4204="", F4204=""), "", F4204 * VLOOKUP(D4204, Products!A:E, 5, FALSE) * (1 - G4204))</f>
        <v>3270.02</v>
      </c>
      <c r="J4204" s="10"/>
    </row>
    <row r="4205" spans="1:10" ht="15.75" customHeight="1" x14ac:dyDescent="0.3">
      <c r="A4205" s="5" t="s">
        <v>5072</v>
      </c>
      <c r="B4205" s="11">
        <v>45495</v>
      </c>
      <c r="C4205" s="5" t="s">
        <v>722</v>
      </c>
      <c r="D4205" s="5" t="s">
        <v>280</v>
      </c>
      <c r="E4205" s="5" t="s">
        <v>29</v>
      </c>
      <c r="F4205" s="5">
        <v>3</v>
      </c>
      <c r="G4205" s="19">
        <v>0.15</v>
      </c>
      <c r="H4205" s="5" t="s">
        <v>697</v>
      </c>
      <c r="I4205" s="10">
        <f>IF(OR(D4205="", F4205=""), "", F4205 * VLOOKUP(D4205, Products!A:E, 5, FALSE) * (1 - G4205))</f>
        <v>3101.7179999999998</v>
      </c>
      <c r="J4205" s="10"/>
    </row>
    <row r="4206" spans="1:10" ht="15.75" customHeight="1" x14ac:dyDescent="0.3">
      <c r="A4206" s="5" t="s">
        <v>5073</v>
      </c>
      <c r="B4206" s="11">
        <v>45441</v>
      </c>
      <c r="C4206" s="5" t="s">
        <v>583</v>
      </c>
      <c r="D4206" s="5" t="s">
        <v>262</v>
      </c>
      <c r="E4206" s="5" t="s">
        <v>25</v>
      </c>
      <c r="F4206" s="5">
        <v>4</v>
      </c>
      <c r="G4206" s="19">
        <v>0.05</v>
      </c>
      <c r="H4206" s="5" t="s">
        <v>637</v>
      </c>
      <c r="I4206" s="10">
        <f>IF(OR(D4206="", F4206=""), "", F4206 * VLOOKUP(D4206, Products!A:E, 5, FALSE) * (1 - G4206))</f>
        <v>1723.7559999999999</v>
      </c>
      <c r="J4206" s="10"/>
    </row>
    <row r="4207" spans="1:10" ht="15.75" customHeight="1" x14ac:dyDescent="0.3">
      <c r="A4207" s="5" t="s">
        <v>5074</v>
      </c>
      <c r="B4207" s="11">
        <v>45567</v>
      </c>
      <c r="C4207" s="5" t="s">
        <v>330</v>
      </c>
      <c r="D4207" s="5" t="s">
        <v>54</v>
      </c>
      <c r="E4207" s="5" t="s">
        <v>37</v>
      </c>
      <c r="F4207" s="5">
        <v>3</v>
      </c>
      <c r="G4207" s="19">
        <v>0.05</v>
      </c>
      <c r="H4207" s="5" t="s">
        <v>776</v>
      </c>
      <c r="I4207" s="10">
        <f>IF(OR(D4207="", F4207=""), "", F4207 * VLOOKUP(D4207, Products!A:E, 5, FALSE) * (1 - G4207))</f>
        <v>5283.2444999999989</v>
      </c>
      <c r="J4207" s="10"/>
    </row>
    <row r="4208" spans="1:10" ht="15.75" customHeight="1" x14ac:dyDescent="0.3">
      <c r="A4208" s="5" t="s">
        <v>5075</v>
      </c>
      <c r="B4208" s="11">
        <v>45631</v>
      </c>
      <c r="C4208" s="5" t="s">
        <v>579</v>
      </c>
      <c r="D4208" s="5" t="s">
        <v>267</v>
      </c>
      <c r="E4208" s="5" t="s">
        <v>33</v>
      </c>
      <c r="F4208" s="5">
        <v>1</v>
      </c>
      <c r="G4208" s="19">
        <v>0.1</v>
      </c>
      <c r="H4208" s="5" t="s">
        <v>454</v>
      </c>
      <c r="I4208" s="10">
        <f>IF(OR(D4208="", F4208=""), "", F4208 * VLOOKUP(D4208, Products!A:E, 5, FALSE) * (1 - G4208))</f>
        <v>1157.895</v>
      </c>
      <c r="J4208" s="10"/>
    </row>
    <row r="4209" spans="1:10" ht="15.75" customHeight="1" x14ac:dyDescent="0.3">
      <c r="A4209" s="5" t="s">
        <v>5076</v>
      </c>
      <c r="B4209" s="11">
        <v>45570</v>
      </c>
      <c r="C4209" s="5" t="s">
        <v>402</v>
      </c>
      <c r="D4209" s="5" t="s">
        <v>180</v>
      </c>
      <c r="E4209" s="5" t="s">
        <v>37</v>
      </c>
      <c r="F4209" s="5">
        <v>1</v>
      </c>
      <c r="G4209" s="19">
        <v>0.1</v>
      </c>
      <c r="H4209" s="5" t="s">
        <v>776</v>
      </c>
      <c r="I4209" s="10">
        <f>IF(OR(D4209="", F4209=""), "", F4209 * VLOOKUP(D4209, Products!A:E, 5, FALSE) * (1 - G4209))</f>
        <v>606.40200000000004</v>
      </c>
      <c r="J4209" s="10"/>
    </row>
    <row r="4210" spans="1:10" ht="15.75" customHeight="1" x14ac:dyDescent="0.3">
      <c r="A4210" s="5" t="s">
        <v>5077</v>
      </c>
      <c r="B4210" s="11">
        <v>45700</v>
      </c>
      <c r="C4210" s="5" t="s">
        <v>350</v>
      </c>
      <c r="D4210" s="5" t="s">
        <v>276</v>
      </c>
      <c r="E4210" s="5" t="s">
        <v>25</v>
      </c>
      <c r="F4210" s="5">
        <v>1</v>
      </c>
      <c r="G4210" s="19">
        <v>0.05</v>
      </c>
      <c r="H4210" s="5" t="s">
        <v>776</v>
      </c>
      <c r="I4210" s="10">
        <f>IF(OR(D4210="", F4210=""), "", F4210 * VLOOKUP(D4210, Products!A:E, 5, FALSE) * (1 - G4210))</f>
        <v>1137.3209999999999</v>
      </c>
      <c r="J4210" s="10"/>
    </row>
    <row r="4211" spans="1:10" ht="15.75" customHeight="1" x14ac:dyDescent="0.3">
      <c r="A4211" s="5" t="s">
        <v>5078</v>
      </c>
      <c r="B4211" s="11">
        <v>45909</v>
      </c>
      <c r="C4211" s="5" t="s">
        <v>149</v>
      </c>
      <c r="D4211" s="5" t="s">
        <v>226</v>
      </c>
      <c r="E4211" s="5" t="s">
        <v>29</v>
      </c>
      <c r="F4211" s="5">
        <v>5</v>
      </c>
      <c r="G4211" s="19">
        <v>0.05</v>
      </c>
      <c r="H4211" s="5" t="s">
        <v>697</v>
      </c>
      <c r="I4211" s="10">
        <f>IF(OR(D4211="", F4211=""), "", F4211 * VLOOKUP(D4211, Products!A:E, 5, FALSE) * (1 - G4211))</f>
        <v>7131.9349999999995</v>
      </c>
      <c r="J4211" s="10"/>
    </row>
    <row r="4212" spans="1:10" ht="15.75" customHeight="1" x14ac:dyDescent="0.3">
      <c r="A4212" s="5" t="s">
        <v>5079</v>
      </c>
      <c r="B4212" s="11">
        <v>45721</v>
      </c>
      <c r="C4212" s="5" t="s">
        <v>177</v>
      </c>
      <c r="D4212" s="5" t="s">
        <v>89</v>
      </c>
      <c r="E4212" s="5" t="s">
        <v>21</v>
      </c>
      <c r="F4212" s="5">
        <v>2</v>
      </c>
      <c r="G4212" s="19">
        <v>0.05</v>
      </c>
      <c r="H4212" s="5" t="s">
        <v>776</v>
      </c>
      <c r="I4212" s="10">
        <f>IF(OR(D4212="", F4212=""), "", F4212 * VLOOKUP(D4212, Products!A:E, 5, FALSE) * (1 - G4212))</f>
        <v>2156.12</v>
      </c>
      <c r="J4212" s="10"/>
    </row>
    <row r="4213" spans="1:10" ht="15.75" customHeight="1" x14ac:dyDescent="0.3">
      <c r="A4213" s="5" t="s">
        <v>5080</v>
      </c>
      <c r="B4213" s="11">
        <v>45645</v>
      </c>
      <c r="C4213" s="5" t="s">
        <v>330</v>
      </c>
      <c r="D4213" s="5" t="s">
        <v>147</v>
      </c>
      <c r="E4213" s="5" t="s">
        <v>21</v>
      </c>
      <c r="F4213" s="5">
        <v>3</v>
      </c>
      <c r="G4213" s="19">
        <v>0.1</v>
      </c>
      <c r="H4213" s="5" t="s">
        <v>776</v>
      </c>
      <c r="I4213" s="10">
        <f>IF(OR(D4213="", F4213=""), "", F4213 * VLOOKUP(D4213, Products!A:E, 5, FALSE) * (1 - G4213))</f>
        <v>5071.8689999999997</v>
      </c>
      <c r="J4213" s="10"/>
    </row>
    <row r="4214" spans="1:10" ht="15.75" customHeight="1" x14ac:dyDescent="0.3">
      <c r="A4214" s="5" t="s">
        <v>5081</v>
      </c>
      <c r="B4214" s="11">
        <v>45363</v>
      </c>
      <c r="C4214" s="5" t="s">
        <v>823</v>
      </c>
      <c r="D4214" s="5" t="s">
        <v>193</v>
      </c>
      <c r="E4214" s="5" t="s">
        <v>29</v>
      </c>
      <c r="F4214" s="5">
        <v>5</v>
      </c>
      <c r="G4214" s="19">
        <v>0.05</v>
      </c>
      <c r="H4214" s="5" t="s">
        <v>637</v>
      </c>
      <c r="I4214" s="10">
        <f>IF(OR(D4214="", F4214=""), "", F4214 * VLOOKUP(D4214, Products!A:E, 5, FALSE) * (1 - G4214))</f>
        <v>138.88999999999999</v>
      </c>
      <c r="J4214" s="10"/>
    </row>
    <row r="4215" spans="1:10" ht="15.75" customHeight="1" x14ac:dyDescent="0.3">
      <c r="A4215" s="5" t="s">
        <v>5082</v>
      </c>
      <c r="B4215" s="11">
        <v>45776</v>
      </c>
      <c r="C4215" s="5" t="s">
        <v>680</v>
      </c>
      <c r="D4215" s="5" t="s">
        <v>212</v>
      </c>
      <c r="E4215" s="5" t="s">
        <v>33</v>
      </c>
      <c r="F4215" s="5">
        <v>5</v>
      </c>
      <c r="G4215" s="19">
        <v>0.15</v>
      </c>
      <c r="H4215" s="5" t="s">
        <v>637</v>
      </c>
      <c r="I4215" s="10">
        <f>IF(OR(D4215="", F4215=""), "", F4215 * VLOOKUP(D4215, Products!A:E, 5, FALSE) * (1 - G4215))</f>
        <v>7645.6225000000004</v>
      </c>
      <c r="J4215" s="10"/>
    </row>
    <row r="4216" spans="1:10" ht="15.75" customHeight="1" x14ac:dyDescent="0.3">
      <c r="A4216" s="5" t="s">
        <v>5083</v>
      </c>
      <c r="B4216" s="11">
        <v>45760</v>
      </c>
      <c r="C4216" s="5" t="s">
        <v>455</v>
      </c>
      <c r="D4216" s="5" t="s">
        <v>272</v>
      </c>
      <c r="E4216" s="5" t="s">
        <v>21</v>
      </c>
      <c r="F4216" s="5">
        <v>1</v>
      </c>
      <c r="G4216" s="19">
        <v>0</v>
      </c>
      <c r="H4216" s="5" t="s">
        <v>454</v>
      </c>
      <c r="I4216" s="10">
        <f>IF(OR(D4216="", F4216=""), "", F4216 * VLOOKUP(D4216, Products!A:E, 5, FALSE) * (1 - G4216))</f>
        <v>1165.3699999999999</v>
      </c>
      <c r="J4216" s="10"/>
    </row>
    <row r="4217" spans="1:10" ht="15.75" customHeight="1" x14ac:dyDescent="0.3">
      <c r="A4217" s="5" t="s">
        <v>5084</v>
      </c>
      <c r="B4217" s="11">
        <v>45418</v>
      </c>
      <c r="C4217" s="5" t="s">
        <v>420</v>
      </c>
      <c r="D4217" s="5" t="s">
        <v>47</v>
      </c>
      <c r="E4217" s="5" t="s">
        <v>37</v>
      </c>
      <c r="F4217" s="5">
        <v>5</v>
      </c>
      <c r="G4217" s="19">
        <v>0</v>
      </c>
      <c r="H4217" s="5" t="s">
        <v>637</v>
      </c>
      <c r="I4217" s="10">
        <f>IF(OR(D4217="", F4217=""), "", F4217 * VLOOKUP(D4217, Products!A:E, 5, FALSE) * (1 - G4217))</f>
        <v>4093.8</v>
      </c>
      <c r="J4217" s="10"/>
    </row>
    <row r="4218" spans="1:10" ht="15.75" customHeight="1" x14ac:dyDescent="0.3">
      <c r="A4218" s="5" t="s">
        <v>5085</v>
      </c>
      <c r="B4218" s="11">
        <v>45630</v>
      </c>
      <c r="C4218" s="5" t="s">
        <v>466</v>
      </c>
      <c r="D4218" s="5" t="s">
        <v>47</v>
      </c>
      <c r="E4218" s="5" t="s">
        <v>29</v>
      </c>
      <c r="F4218" s="5">
        <v>2</v>
      </c>
      <c r="G4218" s="19">
        <v>0</v>
      </c>
      <c r="H4218" s="5" t="s">
        <v>776</v>
      </c>
      <c r="I4218" s="10">
        <f>IF(OR(D4218="", F4218=""), "", F4218 * VLOOKUP(D4218, Products!A:E, 5, FALSE) * (1 - G4218))</f>
        <v>1637.52</v>
      </c>
      <c r="J4218" s="10"/>
    </row>
    <row r="4219" spans="1:10" ht="15.75" customHeight="1" x14ac:dyDescent="0.3">
      <c r="A4219" s="5" t="s">
        <v>5086</v>
      </c>
      <c r="B4219" s="11">
        <v>45259</v>
      </c>
      <c r="C4219" s="5" t="s">
        <v>539</v>
      </c>
      <c r="D4219" s="5" t="s">
        <v>291</v>
      </c>
      <c r="E4219" s="5" t="s">
        <v>25</v>
      </c>
      <c r="F4219" s="5">
        <v>5</v>
      </c>
      <c r="G4219" s="19">
        <v>0.15</v>
      </c>
      <c r="H4219" s="5" t="s">
        <v>637</v>
      </c>
      <c r="I4219" s="10">
        <f>IF(OR(D4219="", F4219=""), "", F4219 * VLOOKUP(D4219, Products!A:E, 5, FALSE) * (1 - G4219))</f>
        <v>4439.72</v>
      </c>
      <c r="J4219" s="10"/>
    </row>
    <row r="4220" spans="1:10" ht="15.75" customHeight="1" x14ac:dyDescent="0.3">
      <c r="A4220" s="5" t="s">
        <v>5087</v>
      </c>
      <c r="B4220" s="11">
        <v>45615</v>
      </c>
      <c r="C4220" s="5" t="s">
        <v>758</v>
      </c>
      <c r="D4220" s="5" t="s">
        <v>153</v>
      </c>
      <c r="E4220" s="5" t="s">
        <v>37</v>
      </c>
      <c r="F4220" s="5">
        <v>4</v>
      </c>
      <c r="G4220" s="19">
        <v>0.05</v>
      </c>
      <c r="H4220" s="5" t="s">
        <v>454</v>
      </c>
      <c r="I4220" s="10">
        <f>IF(OR(D4220="", F4220=""), "", F4220 * VLOOKUP(D4220, Products!A:E, 5, FALSE) * (1 - G4220))</f>
        <v>5652.1580000000004</v>
      </c>
      <c r="J4220" s="10"/>
    </row>
    <row r="4221" spans="1:10" ht="15.75" customHeight="1" x14ac:dyDescent="0.3">
      <c r="A4221" s="5" t="s">
        <v>5088</v>
      </c>
      <c r="B4221" s="11">
        <v>45263</v>
      </c>
      <c r="C4221" s="5" t="s">
        <v>661</v>
      </c>
      <c r="D4221" s="5" t="s">
        <v>153</v>
      </c>
      <c r="E4221" s="5" t="s">
        <v>29</v>
      </c>
      <c r="F4221" s="5">
        <v>4</v>
      </c>
      <c r="G4221" s="19">
        <v>0.15</v>
      </c>
      <c r="H4221" s="5" t="s">
        <v>454</v>
      </c>
      <c r="I4221" s="10">
        <f>IF(OR(D4221="", F4221=""), "", F4221 * VLOOKUP(D4221, Products!A:E, 5, FALSE) * (1 - G4221))</f>
        <v>5057.1940000000004</v>
      </c>
      <c r="J4221" s="10"/>
    </row>
    <row r="4222" spans="1:10" ht="15.75" customHeight="1" x14ac:dyDescent="0.3">
      <c r="A4222" s="5" t="s">
        <v>5089</v>
      </c>
      <c r="B4222" s="11">
        <v>45401</v>
      </c>
      <c r="C4222" s="5" t="s">
        <v>550</v>
      </c>
      <c r="D4222" s="5" t="s">
        <v>267</v>
      </c>
      <c r="E4222" s="5" t="s">
        <v>29</v>
      </c>
      <c r="F4222" s="5">
        <v>1</v>
      </c>
      <c r="G4222" s="19">
        <v>0.15</v>
      </c>
      <c r="H4222" s="5" t="s">
        <v>697</v>
      </c>
      <c r="I4222" s="10">
        <f>IF(OR(D4222="", F4222=""), "", F4222 * VLOOKUP(D4222, Products!A:E, 5, FALSE) * (1 - G4222))</f>
        <v>1093.5674999999999</v>
      </c>
      <c r="J4222" s="10"/>
    </row>
    <row r="4223" spans="1:10" ht="15.75" customHeight="1" x14ac:dyDescent="0.3">
      <c r="A4223" s="5" t="s">
        <v>5090</v>
      </c>
      <c r="B4223" s="11">
        <v>45565</v>
      </c>
      <c r="C4223" s="5" t="s">
        <v>372</v>
      </c>
      <c r="D4223" s="5" t="s">
        <v>119</v>
      </c>
      <c r="E4223" s="5" t="s">
        <v>29</v>
      </c>
      <c r="F4223" s="5">
        <v>2</v>
      </c>
      <c r="G4223" s="19">
        <v>0</v>
      </c>
      <c r="H4223" s="5" t="s">
        <v>697</v>
      </c>
      <c r="I4223" s="10">
        <f>IF(OR(D4223="", F4223=""), "", F4223 * VLOOKUP(D4223, Products!A:E, 5, FALSE) * (1 - G4223))</f>
        <v>2159.7800000000002</v>
      </c>
      <c r="J4223" s="10"/>
    </row>
    <row r="4224" spans="1:10" ht="15.75" customHeight="1" x14ac:dyDescent="0.3">
      <c r="A4224" s="5" t="s">
        <v>5091</v>
      </c>
      <c r="B4224" s="11">
        <v>45283</v>
      </c>
      <c r="C4224" s="5" t="s">
        <v>826</v>
      </c>
      <c r="D4224" s="5" t="s">
        <v>175</v>
      </c>
      <c r="E4224" s="5" t="s">
        <v>33</v>
      </c>
      <c r="F4224" s="5">
        <v>2</v>
      </c>
      <c r="G4224" s="19">
        <v>0.05</v>
      </c>
      <c r="H4224" s="5" t="s">
        <v>776</v>
      </c>
      <c r="I4224" s="10">
        <f>IF(OR(D4224="", F4224=""), "", F4224 * VLOOKUP(D4224, Products!A:E, 5, FALSE) * (1 - G4224))</f>
        <v>2417.2370000000001</v>
      </c>
      <c r="J4224" s="10"/>
    </row>
    <row r="4225" spans="1:10" ht="15.75" customHeight="1" x14ac:dyDescent="0.3">
      <c r="A4225" s="5" t="s">
        <v>5092</v>
      </c>
      <c r="B4225" s="11">
        <v>45681</v>
      </c>
      <c r="C4225" s="5" t="s">
        <v>350</v>
      </c>
      <c r="D4225" s="5" t="s">
        <v>115</v>
      </c>
      <c r="E4225" s="5" t="s">
        <v>25</v>
      </c>
      <c r="F4225" s="5">
        <v>1</v>
      </c>
      <c r="G4225" s="19">
        <v>0.1</v>
      </c>
      <c r="H4225" s="5" t="s">
        <v>776</v>
      </c>
      <c r="I4225" s="10">
        <f>IF(OR(D4225="", F4225=""), "", F4225 * VLOOKUP(D4225, Products!A:E, 5, FALSE) * (1 - G4225))</f>
        <v>1121.499</v>
      </c>
      <c r="J4225" s="10"/>
    </row>
    <row r="4226" spans="1:10" ht="15.75" customHeight="1" x14ac:dyDescent="0.3">
      <c r="A4226" s="5" t="s">
        <v>5093</v>
      </c>
      <c r="B4226" s="11">
        <v>45381</v>
      </c>
      <c r="C4226" s="5" t="s">
        <v>149</v>
      </c>
      <c r="D4226" s="5" t="s">
        <v>50</v>
      </c>
      <c r="E4226" s="5" t="s">
        <v>29</v>
      </c>
      <c r="F4226" s="5">
        <v>2</v>
      </c>
      <c r="G4226" s="19">
        <v>0.1</v>
      </c>
      <c r="H4226" s="5" t="s">
        <v>697</v>
      </c>
      <c r="I4226" s="10">
        <f>IF(OR(D4226="", F4226=""), "", F4226 * VLOOKUP(D4226, Products!A:E, 5, FALSE) * (1 - G4226))</f>
        <v>607.73400000000004</v>
      </c>
      <c r="J4226" s="10"/>
    </row>
    <row r="4227" spans="1:10" ht="15.75" customHeight="1" x14ac:dyDescent="0.3">
      <c r="A4227" s="5" t="s">
        <v>5094</v>
      </c>
      <c r="B4227" s="11">
        <v>45656</v>
      </c>
      <c r="C4227" s="5" t="s">
        <v>245</v>
      </c>
      <c r="D4227" s="5" t="s">
        <v>256</v>
      </c>
      <c r="E4227" s="5" t="s">
        <v>29</v>
      </c>
      <c r="F4227" s="5">
        <v>4</v>
      </c>
      <c r="G4227" s="19">
        <v>0</v>
      </c>
      <c r="H4227" s="5" t="s">
        <v>776</v>
      </c>
      <c r="I4227" s="10">
        <f>IF(OR(D4227="", F4227=""), "", F4227 * VLOOKUP(D4227, Products!A:E, 5, FALSE) * (1 - G4227))</f>
        <v>6540.04</v>
      </c>
      <c r="J4227" s="10"/>
    </row>
    <row r="4228" spans="1:10" ht="15.75" customHeight="1" x14ac:dyDescent="0.3">
      <c r="A4228" s="5" t="s">
        <v>5095</v>
      </c>
      <c r="B4228" s="11">
        <v>45609</v>
      </c>
      <c r="C4228" s="5" t="s">
        <v>615</v>
      </c>
      <c r="D4228" s="5" t="s">
        <v>47</v>
      </c>
      <c r="E4228" s="5" t="s">
        <v>37</v>
      </c>
      <c r="F4228" s="5">
        <v>4</v>
      </c>
      <c r="G4228" s="19">
        <v>0.05</v>
      </c>
      <c r="H4228" s="5" t="s">
        <v>637</v>
      </c>
      <c r="I4228" s="10">
        <f>IF(OR(D4228="", F4228=""), "", F4228 * VLOOKUP(D4228, Products!A:E, 5, FALSE) * (1 - G4228))</f>
        <v>3111.288</v>
      </c>
      <c r="J4228" s="10"/>
    </row>
    <row r="4229" spans="1:10" ht="15.75" customHeight="1" x14ac:dyDescent="0.3">
      <c r="A4229" s="5" t="s">
        <v>5096</v>
      </c>
      <c r="B4229" s="11">
        <v>45470</v>
      </c>
      <c r="C4229" s="5" t="s">
        <v>718</v>
      </c>
      <c r="D4229" s="5" t="s">
        <v>280</v>
      </c>
      <c r="E4229" s="5" t="s">
        <v>37</v>
      </c>
      <c r="F4229" s="5">
        <v>5</v>
      </c>
      <c r="G4229" s="19">
        <v>0.1</v>
      </c>
      <c r="H4229" s="5" t="s">
        <v>776</v>
      </c>
      <c r="I4229" s="10">
        <f>IF(OR(D4229="", F4229=""), "", F4229 * VLOOKUP(D4229, Products!A:E, 5, FALSE) * (1 - G4229))</f>
        <v>5473.62</v>
      </c>
      <c r="J4229" s="10"/>
    </row>
    <row r="4230" spans="1:10" ht="15.75" customHeight="1" x14ac:dyDescent="0.3">
      <c r="A4230" s="5" t="s">
        <v>5097</v>
      </c>
      <c r="B4230" s="11">
        <v>45264</v>
      </c>
      <c r="C4230" s="5" t="s">
        <v>770</v>
      </c>
      <c r="D4230" s="5" t="s">
        <v>122</v>
      </c>
      <c r="E4230" s="5" t="s">
        <v>25</v>
      </c>
      <c r="F4230" s="5">
        <v>5</v>
      </c>
      <c r="G4230" s="19">
        <v>0.05</v>
      </c>
      <c r="H4230" s="5" t="s">
        <v>776</v>
      </c>
      <c r="I4230" s="10">
        <f>IF(OR(D4230="", F4230=""), "", F4230 * VLOOKUP(D4230, Products!A:E, 5, FALSE) * (1 - G4230))</f>
        <v>8373.8700000000008</v>
      </c>
      <c r="J4230" s="10"/>
    </row>
    <row r="4231" spans="1:10" ht="15.75" customHeight="1" x14ac:dyDescent="0.3">
      <c r="A4231" s="5" t="s">
        <v>5098</v>
      </c>
      <c r="B4231" s="11">
        <v>45212</v>
      </c>
      <c r="C4231" s="5" t="s">
        <v>842</v>
      </c>
      <c r="D4231" s="5" t="s">
        <v>256</v>
      </c>
      <c r="E4231" s="5" t="s">
        <v>37</v>
      </c>
      <c r="F4231" s="5">
        <v>1</v>
      </c>
      <c r="G4231" s="19">
        <v>0</v>
      </c>
      <c r="H4231" s="5" t="s">
        <v>697</v>
      </c>
      <c r="I4231" s="10">
        <f>IF(OR(D4231="", F4231=""), "", F4231 * VLOOKUP(D4231, Products!A:E, 5, FALSE) * (1 - G4231))</f>
        <v>1635.01</v>
      </c>
      <c r="J4231" s="10"/>
    </row>
    <row r="4232" spans="1:10" ht="15.75" customHeight="1" x14ac:dyDescent="0.3">
      <c r="A4232" s="5" t="s">
        <v>5099</v>
      </c>
      <c r="B4232" s="11">
        <v>45618</v>
      </c>
      <c r="C4232" s="5" t="s">
        <v>579</v>
      </c>
      <c r="D4232" s="5" t="s">
        <v>70</v>
      </c>
      <c r="E4232" s="5" t="s">
        <v>33</v>
      </c>
      <c r="F4232" s="5">
        <v>4</v>
      </c>
      <c r="G4232" s="19">
        <v>0</v>
      </c>
      <c r="H4232" s="5" t="s">
        <v>697</v>
      </c>
      <c r="I4232" s="10">
        <f>IF(OR(D4232="", F4232=""), "", F4232 * VLOOKUP(D4232, Products!A:E, 5, FALSE) * (1 - G4232))</f>
        <v>492.76</v>
      </c>
      <c r="J4232" s="10"/>
    </row>
    <row r="4233" spans="1:10" ht="15.75" customHeight="1" x14ac:dyDescent="0.3">
      <c r="A4233" s="5" t="s">
        <v>5100</v>
      </c>
      <c r="B4233" s="11">
        <v>45731</v>
      </c>
      <c r="C4233" s="5" t="s">
        <v>815</v>
      </c>
      <c r="D4233" s="5" t="s">
        <v>200</v>
      </c>
      <c r="E4233" s="5" t="s">
        <v>21</v>
      </c>
      <c r="F4233" s="5">
        <v>1</v>
      </c>
      <c r="G4233" s="19">
        <v>0</v>
      </c>
      <c r="H4233" s="5" t="s">
        <v>454</v>
      </c>
      <c r="I4233" s="10">
        <f>IF(OR(D4233="", F4233=""), "", F4233 * VLOOKUP(D4233, Products!A:E, 5, FALSE) * (1 - G4233))</f>
        <v>1095.72</v>
      </c>
      <c r="J4233" s="10"/>
    </row>
    <row r="4234" spans="1:10" ht="15.75" customHeight="1" x14ac:dyDescent="0.3">
      <c r="A4234" s="5" t="s">
        <v>5101</v>
      </c>
      <c r="B4234" s="11">
        <v>45702</v>
      </c>
      <c r="C4234" s="5" t="s">
        <v>353</v>
      </c>
      <c r="D4234" s="5" t="s">
        <v>212</v>
      </c>
      <c r="E4234" s="5" t="s">
        <v>25</v>
      </c>
      <c r="F4234" s="5">
        <v>5</v>
      </c>
      <c r="G4234" s="19">
        <v>0.1</v>
      </c>
      <c r="H4234" s="5" t="s">
        <v>697</v>
      </c>
      <c r="I4234" s="10">
        <f>IF(OR(D4234="", F4234=""), "", F4234 * VLOOKUP(D4234, Products!A:E, 5, FALSE) * (1 - G4234))</f>
        <v>8095.3650000000007</v>
      </c>
      <c r="J4234" s="10"/>
    </row>
    <row r="4235" spans="1:10" ht="15.75" customHeight="1" x14ac:dyDescent="0.3">
      <c r="A4235" s="5" t="s">
        <v>5102</v>
      </c>
      <c r="B4235" s="11">
        <v>45420</v>
      </c>
      <c r="C4235" s="5" t="s">
        <v>680</v>
      </c>
      <c r="D4235" s="5" t="s">
        <v>267</v>
      </c>
      <c r="E4235" s="5" t="s">
        <v>33</v>
      </c>
      <c r="F4235" s="5">
        <v>2</v>
      </c>
      <c r="G4235" s="19">
        <v>0</v>
      </c>
      <c r="H4235" s="5" t="s">
        <v>776</v>
      </c>
      <c r="I4235" s="10">
        <f>IF(OR(D4235="", F4235=""), "", F4235 * VLOOKUP(D4235, Products!A:E, 5, FALSE) * (1 - G4235))</f>
        <v>2573.1</v>
      </c>
      <c r="J4235" s="10"/>
    </row>
    <row r="4236" spans="1:10" ht="15.75" customHeight="1" x14ac:dyDescent="0.3">
      <c r="A4236" s="5" t="s">
        <v>5103</v>
      </c>
      <c r="B4236" s="11">
        <v>45847</v>
      </c>
      <c r="C4236" s="5" t="s">
        <v>477</v>
      </c>
      <c r="D4236" s="5" t="s">
        <v>180</v>
      </c>
      <c r="E4236" s="5" t="s">
        <v>21</v>
      </c>
      <c r="F4236" s="5">
        <v>3</v>
      </c>
      <c r="G4236" s="19">
        <v>0.05</v>
      </c>
      <c r="H4236" s="5" t="s">
        <v>454</v>
      </c>
      <c r="I4236" s="10">
        <f>IF(OR(D4236="", F4236=""), "", F4236 * VLOOKUP(D4236, Products!A:E, 5, FALSE) * (1 - G4236))</f>
        <v>1920.2729999999999</v>
      </c>
      <c r="J4236" s="10"/>
    </row>
    <row r="4237" spans="1:10" ht="15.75" customHeight="1" x14ac:dyDescent="0.3">
      <c r="A4237" s="5" t="s">
        <v>5104</v>
      </c>
      <c r="B4237" s="11">
        <v>45684</v>
      </c>
      <c r="C4237" s="5" t="s">
        <v>401</v>
      </c>
      <c r="D4237" s="5" t="s">
        <v>140</v>
      </c>
      <c r="E4237" s="5" t="s">
        <v>37</v>
      </c>
      <c r="F4237" s="5">
        <v>2</v>
      </c>
      <c r="G4237" s="19">
        <v>0</v>
      </c>
      <c r="H4237" s="5" t="s">
        <v>454</v>
      </c>
      <c r="I4237" s="10">
        <f>IF(OR(D4237="", F4237=""), "", F4237 * VLOOKUP(D4237, Products!A:E, 5, FALSE) * (1 - G4237))</f>
        <v>51.14</v>
      </c>
      <c r="J4237" s="10"/>
    </row>
    <row r="4238" spans="1:10" ht="15.75" customHeight="1" x14ac:dyDescent="0.3">
      <c r="A4238" s="5" t="s">
        <v>5105</v>
      </c>
      <c r="B4238" s="11">
        <v>45213</v>
      </c>
      <c r="C4238" s="5" t="s">
        <v>635</v>
      </c>
      <c r="D4238" s="5" t="s">
        <v>95</v>
      </c>
      <c r="E4238" s="5" t="s">
        <v>25</v>
      </c>
      <c r="F4238" s="5">
        <v>4</v>
      </c>
      <c r="G4238" s="19">
        <v>0.05</v>
      </c>
      <c r="H4238" s="5" t="s">
        <v>776</v>
      </c>
      <c r="I4238" s="10">
        <f>IF(OR(D4238="", F4238=""), "", F4238 * VLOOKUP(D4238, Products!A:E, 5, FALSE) * (1 - G4238))</f>
        <v>5102.45</v>
      </c>
      <c r="J4238" s="10"/>
    </row>
    <row r="4239" spans="1:10" ht="15.75" customHeight="1" x14ac:dyDescent="0.3">
      <c r="A4239" s="5" t="s">
        <v>5106</v>
      </c>
      <c r="B4239" s="11">
        <v>45303</v>
      </c>
      <c r="C4239" s="5" t="s">
        <v>171</v>
      </c>
      <c r="D4239" s="5" t="s">
        <v>50</v>
      </c>
      <c r="E4239" s="5" t="s">
        <v>33</v>
      </c>
      <c r="F4239" s="5">
        <v>4</v>
      </c>
      <c r="G4239" s="19">
        <v>0.15</v>
      </c>
      <c r="H4239" s="5" t="s">
        <v>697</v>
      </c>
      <c r="I4239" s="10">
        <f>IF(OR(D4239="", F4239=""), "", F4239 * VLOOKUP(D4239, Products!A:E, 5, FALSE) * (1 - G4239))</f>
        <v>1147.942</v>
      </c>
      <c r="J4239" s="10"/>
    </row>
    <row r="4240" spans="1:10" ht="15.75" customHeight="1" x14ac:dyDescent="0.3">
      <c r="A4240" s="5" t="s">
        <v>5107</v>
      </c>
      <c r="B4240" s="11">
        <v>45721</v>
      </c>
      <c r="C4240" s="5" t="s">
        <v>604</v>
      </c>
      <c r="D4240" s="5" t="s">
        <v>232</v>
      </c>
      <c r="E4240" s="5" t="s">
        <v>33</v>
      </c>
      <c r="F4240" s="5">
        <v>2</v>
      </c>
      <c r="G4240" s="19">
        <v>0.05</v>
      </c>
      <c r="H4240" s="5" t="s">
        <v>697</v>
      </c>
      <c r="I4240" s="10">
        <f>IF(OR(D4240="", F4240=""), "", F4240 * VLOOKUP(D4240, Products!A:E, 5, FALSE) * (1 - G4240))</f>
        <v>3710.0349999999999</v>
      </c>
      <c r="J4240" s="10"/>
    </row>
    <row r="4241" spans="1:10" ht="15.75" customHeight="1" x14ac:dyDescent="0.3">
      <c r="A4241" s="5" t="s">
        <v>5108</v>
      </c>
      <c r="B4241" s="11">
        <v>45908</v>
      </c>
      <c r="C4241" s="5" t="s">
        <v>691</v>
      </c>
      <c r="D4241" s="5" t="s">
        <v>175</v>
      </c>
      <c r="E4241" s="5" t="s">
        <v>25</v>
      </c>
      <c r="F4241" s="5">
        <v>5</v>
      </c>
      <c r="G4241" s="19">
        <v>0.15</v>
      </c>
      <c r="H4241" s="5" t="s">
        <v>697</v>
      </c>
      <c r="I4241" s="10">
        <f>IF(OR(D4241="", F4241=""), "", F4241 * VLOOKUP(D4241, Products!A:E, 5, FALSE) * (1 - G4241))</f>
        <v>5406.9775</v>
      </c>
      <c r="J4241" s="10"/>
    </row>
    <row r="4242" spans="1:10" ht="15.75" customHeight="1" x14ac:dyDescent="0.3">
      <c r="A4242" s="5" t="s">
        <v>5109</v>
      </c>
      <c r="B4242" s="11">
        <v>45656</v>
      </c>
      <c r="C4242" s="5" t="s">
        <v>368</v>
      </c>
      <c r="D4242" s="5" t="s">
        <v>82</v>
      </c>
      <c r="E4242" s="5" t="s">
        <v>33</v>
      </c>
      <c r="F4242" s="5">
        <v>4</v>
      </c>
      <c r="G4242" s="19">
        <v>0</v>
      </c>
      <c r="H4242" s="5" t="s">
        <v>454</v>
      </c>
      <c r="I4242" s="10">
        <f>IF(OR(D4242="", F4242=""), "", F4242 * VLOOKUP(D4242, Products!A:E, 5, FALSE) * (1 - G4242))</f>
        <v>4772.3599999999997</v>
      </c>
      <c r="J4242" s="10"/>
    </row>
    <row r="4243" spans="1:10" ht="15.75" customHeight="1" x14ac:dyDescent="0.3">
      <c r="A4243" s="5" t="s">
        <v>5110</v>
      </c>
      <c r="B4243" s="11">
        <v>45604</v>
      </c>
      <c r="C4243" s="5" t="s">
        <v>755</v>
      </c>
      <c r="D4243" s="5" t="s">
        <v>134</v>
      </c>
      <c r="E4243" s="5" t="s">
        <v>21</v>
      </c>
      <c r="F4243" s="5">
        <v>5</v>
      </c>
      <c r="G4243" s="19">
        <v>0.15</v>
      </c>
      <c r="H4243" s="5" t="s">
        <v>697</v>
      </c>
      <c r="I4243" s="10">
        <f>IF(OR(D4243="", F4243=""), "", F4243 * VLOOKUP(D4243, Products!A:E, 5, FALSE) * (1 - G4243))</f>
        <v>5215.7699999999995</v>
      </c>
      <c r="J4243" s="10"/>
    </row>
    <row r="4244" spans="1:10" ht="15.75" customHeight="1" x14ac:dyDescent="0.3">
      <c r="A4244" s="5" t="s">
        <v>5111</v>
      </c>
      <c r="B4244" s="11">
        <v>45332</v>
      </c>
      <c r="C4244" s="5" t="s">
        <v>546</v>
      </c>
      <c r="D4244" s="5" t="s">
        <v>109</v>
      </c>
      <c r="E4244" s="5" t="s">
        <v>33</v>
      </c>
      <c r="F4244" s="5">
        <v>1</v>
      </c>
      <c r="G4244" s="19">
        <v>0.05</v>
      </c>
      <c r="H4244" s="5" t="s">
        <v>637</v>
      </c>
      <c r="I4244" s="10">
        <f>IF(OR(D4244="", F4244=""), "", F4244 * VLOOKUP(D4244, Products!A:E, 5, FALSE) * (1 - G4244))</f>
        <v>1765.8125</v>
      </c>
      <c r="J4244" s="10"/>
    </row>
    <row r="4245" spans="1:10" ht="15.75" customHeight="1" x14ac:dyDescent="0.3">
      <c r="A4245" s="5" t="s">
        <v>5112</v>
      </c>
      <c r="B4245" s="11">
        <v>45320</v>
      </c>
      <c r="C4245" s="5" t="s">
        <v>635</v>
      </c>
      <c r="D4245" s="5" t="s">
        <v>200</v>
      </c>
      <c r="E4245" s="5" t="s">
        <v>29</v>
      </c>
      <c r="F4245" s="5">
        <v>1</v>
      </c>
      <c r="G4245" s="19">
        <v>0</v>
      </c>
      <c r="H4245" s="5" t="s">
        <v>776</v>
      </c>
      <c r="I4245" s="10">
        <f>IF(OR(D4245="", F4245=""), "", F4245 * VLOOKUP(D4245, Products!A:E, 5, FALSE) * (1 - G4245))</f>
        <v>1095.72</v>
      </c>
      <c r="J4245" s="10"/>
    </row>
    <row r="4246" spans="1:10" ht="15.75" customHeight="1" x14ac:dyDescent="0.3">
      <c r="A4246" s="5" t="s">
        <v>5113</v>
      </c>
      <c r="B4246" s="11">
        <v>45631</v>
      </c>
      <c r="C4246" s="5" t="s">
        <v>346</v>
      </c>
      <c r="D4246" s="5" t="s">
        <v>128</v>
      </c>
      <c r="E4246" s="5" t="s">
        <v>25</v>
      </c>
      <c r="F4246" s="5">
        <v>5</v>
      </c>
      <c r="G4246" s="19">
        <v>0.05</v>
      </c>
      <c r="H4246" s="5" t="s">
        <v>697</v>
      </c>
      <c r="I4246" s="10">
        <f>IF(OR(D4246="", F4246=""), "", F4246 * VLOOKUP(D4246, Products!A:E, 5, FALSE) * (1 - G4246))</f>
        <v>1538.6200000000001</v>
      </c>
      <c r="J4246" s="10"/>
    </row>
    <row r="4247" spans="1:10" ht="15.75" customHeight="1" x14ac:dyDescent="0.3">
      <c r="A4247" s="5" t="s">
        <v>5114</v>
      </c>
      <c r="B4247" s="11">
        <v>45764</v>
      </c>
      <c r="C4247" s="5" t="s">
        <v>380</v>
      </c>
      <c r="D4247" s="5" t="s">
        <v>67</v>
      </c>
      <c r="E4247" s="5" t="s">
        <v>37</v>
      </c>
      <c r="F4247" s="5">
        <v>2</v>
      </c>
      <c r="G4247" s="19">
        <v>0</v>
      </c>
      <c r="H4247" s="5" t="s">
        <v>697</v>
      </c>
      <c r="I4247" s="10">
        <f>IF(OR(D4247="", F4247=""), "", F4247 * VLOOKUP(D4247, Products!A:E, 5, FALSE) * (1 - G4247))</f>
        <v>219.56</v>
      </c>
      <c r="J4247" s="10"/>
    </row>
    <row r="4248" spans="1:10" ht="15.75" customHeight="1" x14ac:dyDescent="0.3">
      <c r="A4248" s="5" t="s">
        <v>5115</v>
      </c>
      <c r="B4248" s="11">
        <v>45641</v>
      </c>
      <c r="C4248" s="5" t="s">
        <v>503</v>
      </c>
      <c r="D4248" s="5" t="s">
        <v>115</v>
      </c>
      <c r="E4248" s="5" t="s">
        <v>25</v>
      </c>
      <c r="F4248" s="5">
        <v>4</v>
      </c>
      <c r="G4248" s="19">
        <v>0</v>
      </c>
      <c r="H4248" s="5" t="s">
        <v>637</v>
      </c>
      <c r="I4248" s="10">
        <f>IF(OR(D4248="", F4248=""), "", F4248 * VLOOKUP(D4248, Products!A:E, 5, FALSE) * (1 - G4248))</f>
        <v>4984.4399999999996</v>
      </c>
      <c r="J4248" s="10"/>
    </row>
    <row r="4249" spans="1:10" ht="15.75" customHeight="1" x14ac:dyDescent="0.3">
      <c r="A4249" s="5" t="s">
        <v>5116</v>
      </c>
      <c r="B4249" s="11">
        <v>45631</v>
      </c>
      <c r="C4249" s="5" t="s">
        <v>481</v>
      </c>
      <c r="D4249" s="5" t="s">
        <v>256</v>
      </c>
      <c r="E4249" s="5" t="s">
        <v>21</v>
      </c>
      <c r="F4249" s="5">
        <v>4</v>
      </c>
      <c r="G4249" s="19">
        <v>0.15</v>
      </c>
      <c r="H4249" s="5" t="s">
        <v>637</v>
      </c>
      <c r="I4249" s="10">
        <f>IF(OR(D4249="", F4249=""), "", F4249 * VLOOKUP(D4249, Products!A:E, 5, FALSE) * (1 - G4249))</f>
        <v>5559.0339999999997</v>
      </c>
      <c r="J4249" s="10"/>
    </row>
    <row r="4250" spans="1:10" ht="15.75" customHeight="1" x14ac:dyDescent="0.3">
      <c r="A4250" s="5" t="s">
        <v>5117</v>
      </c>
      <c r="B4250" s="11">
        <v>45692</v>
      </c>
      <c r="C4250" s="5" t="s">
        <v>536</v>
      </c>
      <c r="D4250" s="5" t="s">
        <v>249</v>
      </c>
      <c r="E4250" s="5" t="s">
        <v>21</v>
      </c>
      <c r="F4250" s="5">
        <v>1</v>
      </c>
      <c r="G4250" s="19">
        <v>0.15</v>
      </c>
      <c r="H4250" s="5" t="s">
        <v>454</v>
      </c>
      <c r="I4250" s="10">
        <f>IF(OR(D4250="", F4250=""), "", F4250 * VLOOKUP(D4250, Products!A:E, 5, FALSE) * (1 - G4250))</f>
        <v>1483.7684999999999</v>
      </c>
      <c r="J4250" s="10"/>
    </row>
    <row r="4251" spans="1:10" ht="15.75" customHeight="1" x14ac:dyDescent="0.3">
      <c r="A4251" s="5" t="s">
        <v>5118</v>
      </c>
      <c r="B4251" s="11">
        <v>45813</v>
      </c>
      <c r="C4251" s="5" t="s">
        <v>711</v>
      </c>
      <c r="D4251" s="5" t="s">
        <v>206</v>
      </c>
      <c r="E4251" s="5" t="s">
        <v>25</v>
      </c>
      <c r="F4251" s="5">
        <v>1</v>
      </c>
      <c r="G4251" s="19">
        <v>0</v>
      </c>
      <c r="H4251" s="5" t="s">
        <v>454</v>
      </c>
      <c r="I4251" s="10">
        <f>IF(OR(D4251="", F4251=""), "", F4251 * VLOOKUP(D4251, Products!A:E, 5, FALSE) * (1 - G4251))</f>
        <v>304.70999999999998</v>
      </c>
      <c r="J4251" s="10"/>
    </row>
    <row r="4252" spans="1:10" ht="15.75" customHeight="1" x14ac:dyDescent="0.3">
      <c r="A4252" s="5" t="s">
        <v>5119</v>
      </c>
      <c r="B4252" s="11">
        <v>45616</v>
      </c>
      <c r="C4252" s="5" t="s">
        <v>405</v>
      </c>
      <c r="D4252" s="5" t="s">
        <v>232</v>
      </c>
      <c r="E4252" s="5" t="s">
        <v>21</v>
      </c>
      <c r="F4252" s="5">
        <v>5</v>
      </c>
      <c r="G4252" s="19">
        <v>0.05</v>
      </c>
      <c r="H4252" s="5" t="s">
        <v>637</v>
      </c>
      <c r="I4252" s="10">
        <f>IF(OR(D4252="", F4252=""), "", F4252 * VLOOKUP(D4252, Products!A:E, 5, FALSE) * (1 - G4252))</f>
        <v>9275.0874999999996</v>
      </c>
      <c r="J4252" s="10"/>
    </row>
    <row r="4253" spans="1:10" ht="15.75" customHeight="1" x14ac:dyDescent="0.3">
      <c r="A4253" s="5" t="s">
        <v>5120</v>
      </c>
      <c r="B4253" s="11">
        <v>45252</v>
      </c>
      <c r="C4253" s="5" t="s">
        <v>733</v>
      </c>
      <c r="D4253" s="5" t="s">
        <v>256</v>
      </c>
      <c r="E4253" s="5" t="s">
        <v>33</v>
      </c>
      <c r="F4253" s="5">
        <v>4</v>
      </c>
      <c r="G4253" s="19">
        <v>0</v>
      </c>
      <c r="H4253" s="5" t="s">
        <v>637</v>
      </c>
      <c r="I4253" s="10">
        <f>IF(OR(D4253="", F4253=""), "", F4253 * VLOOKUP(D4253, Products!A:E, 5, FALSE) * (1 - G4253))</f>
        <v>6540.04</v>
      </c>
      <c r="J4253" s="10"/>
    </row>
    <row r="4254" spans="1:10" ht="15.75" customHeight="1" x14ac:dyDescent="0.3">
      <c r="A4254" s="5" t="s">
        <v>5121</v>
      </c>
      <c r="B4254" s="11">
        <v>45728</v>
      </c>
      <c r="C4254" s="5" t="s">
        <v>641</v>
      </c>
      <c r="D4254" s="5" t="s">
        <v>119</v>
      </c>
      <c r="E4254" s="5" t="s">
        <v>21</v>
      </c>
      <c r="F4254" s="5">
        <v>3</v>
      </c>
      <c r="G4254" s="19">
        <v>0.15</v>
      </c>
      <c r="H4254" s="5" t="s">
        <v>697</v>
      </c>
      <c r="I4254" s="10">
        <f>IF(OR(D4254="", F4254=""), "", F4254 * VLOOKUP(D4254, Products!A:E, 5, FALSE) * (1 - G4254))</f>
        <v>2753.7195000000002</v>
      </c>
      <c r="J4254" s="10"/>
    </row>
    <row r="4255" spans="1:10" ht="15.75" customHeight="1" x14ac:dyDescent="0.3">
      <c r="A4255" s="5" t="s">
        <v>5122</v>
      </c>
      <c r="B4255" s="11">
        <v>45385</v>
      </c>
      <c r="C4255" s="5" t="s">
        <v>676</v>
      </c>
      <c r="D4255" s="5" t="s">
        <v>82</v>
      </c>
      <c r="E4255" s="5" t="s">
        <v>29</v>
      </c>
      <c r="F4255" s="5">
        <v>3</v>
      </c>
      <c r="G4255" s="19">
        <v>0.15</v>
      </c>
      <c r="H4255" s="5" t="s">
        <v>697</v>
      </c>
      <c r="I4255" s="10">
        <f>IF(OR(D4255="", F4255=""), "", F4255 * VLOOKUP(D4255, Products!A:E, 5, FALSE) * (1 - G4255))</f>
        <v>3042.3794999999996</v>
      </c>
      <c r="J4255" s="10"/>
    </row>
    <row r="4256" spans="1:10" ht="15.75" customHeight="1" x14ac:dyDescent="0.3">
      <c r="A4256" s="5" t="s">
        <v>5123</v>
      </c>
      <c r="B4256" s="11">
        <v>45682</v>
      </c>
      <c r="C4256" s="5" t="s">
        <v>842</v>
      </c>
      <c r="D4256" s="5" t="s">
        <v>265</v>
      </c>
      <c r="E4256" s="5" t="s">
        <v>21</v>
      </c>
      <c r="F4256" s="5">
        <v>2</v>
      </c>
      <c r="G4256" s="19">
        <v>0.15</v>
      </c>
      <c r="H4256" s="5" t="s">
        <v>637</v>
      </c>
      <c r="I4256" s="10">
        <f>IF(OR(D4256="", F4256=""), "", F4256 * VLOOKUP(D4256, Products!A:E, 5, FALSE) * (1 - G4256))</f>
        <v>959.5139999999999</v>
      </c>
      <c r="J4256" s="10"/>
    </row>
    <row r="4257" spans="1:10" ht="15.75" customHeight="1" x14ac:dyDescent="0.3">
      <c r="A4257" s="5" t="s">
        <v>5124</v>
      </c>
      <c r="B4257" s="11">
        <v>45838</v>
      </c>
      <c r="C4257" s="5" t="s">
        <v>522</v>
      </c>
      <c r="D4257" s="5" t="s">
        <v>70</v>
      </c>
      <c r="E4257" s="5" t="s">
        <v>33</v>
      </c>
      <c r="F4257" s="5">
        <v>5</v>
      </c>
      <c r="G4257" s="19">
        <v>0.15</v>
      </c>
      <c r="H4257" s="5" t="s">
        <v>697</v>
      </c>
      <c r="I4257" s="10">
        <f>IF(OR(D4257="", F4257=""), "", F4257 * VLOOKUP(D4257, Products!A:E, 5, FALSE) * (1 - G4257))</f>
        <v>523.5575</v>
      </c>
      <c r="J4257" s="10"/>
    </row>
    <row r="4258" spans="1:10" ht="15.75" customHeight="1" x14ac:dyDescent="0.3">
      <c r="A4258" s="5" t="s">
        <v>5125</v>
      </c>
      <c r="B4258" s="11">
        <v>45589</v>
      </c>
      <c r="C4258" s="5" t="s">
        <v>736</v>
      </c>
      <c r="D4258" s="5" t="s">
        <v>276</v>
      </c>
      <c r="E4258" s="5" t="s">
        <v>29</v>
      </c>
      <c r="F4258" s="5">
        <v>5</v>
      </c>
      <c r="G4258" s="19">
        <v>0</v>
      </c>
      <c r="H4258" s="5" t="s">
        <v>697</v>
      </c>
      <c r="I4258" s="10">
        <f>IF(OR(D4258="", F4258=""), "", F4258 * VLOOKUP(D4258, Products!A:E, 5, FALSE) * (1 - G4258))</f>
        <v>5985.9000000000005</v>
      </c>
      <c r="J4258" s="10"/>
    </row>
    <row r="4259" spans="1:10" ht="15.75" customHeight="1" x14ac:dyDescent="0.3">
      <c r="A4259" s="5" t="s">
        <v>5126</v>
      </c>
      <c r="B4259" s="11">
        <v>45517</v>
      </c>
      <c r="C4259" s="5" t="s">
        <v>477</v>
      </c>
      <c r="D4259" s="5" t="s">
        <v>67</v>
      </c>
      <c r="E4259" s="5" t="s">
        <v>33</v>
      </c>
      <c r="F4259" s="5">
        <v>2</v>
      </c>
      <c r="G4259" s="19">
        <v>0.1</v>
      </c>
      <c r="H4259" s="5" t="s">
        <v>697</v>
      </c>
      <c r="I4259" s="10">
        <f>IF(OR(D4259="", F4259=""), "", F4259 * VLOOKUP(D4259, Products!A:E, 5, FALSE) * (1 - G4259))</f>
        <v>197.60400000000001</v>
      </c>
      <c r="J4259" s="10"/>
    </row>
    <row r="4260" spans="1:10" ht="15.75" customHeight="1" x14ac:dyDescent="0.3">
      <c r="A4260" s="5" t="s">
        <v>5127</v>
      </c>
      <c r="B4260" s="11">
        <v>45486</v>
      </c>
      <c r="C4260" s="5" t="s">
        <v>495</v>
      </c>
      <c r="D4260" s="5" t="s">
        <v>134</v>
      </c>
      <c r="E4260" s="5" t="s">
        <v>29</v>
      </c>
      <c r="F4260" s="5">
        <v>2</v>
      </c>
      <c r="G4260" s="19">
        <v>0.1</v>
      </c>
      <c r="H4260" s="5" t="s">
        <v>637</v>
      </c>
      <c r="I4260" s="10">
        <f>IF(OR(D4260="", F4260=""), "", F4260 * VLOOKUP(D4260, Products!A:E, 5, FALSE) * (1 - G4260))</f>
        <v>2209.0320000000002</v>
      </c>
      <c r="J4260" s="10"/>
    </row>
    <row r="4261" spans="1:10" ht="15.75" customHeight="1" x14ac:dyDescent="0.3">
      <c r="A4261" s="5" t="s">
        <v>5128</v>
      </c>
      <c r="B4261" s="11">
        <v>45479</v>
      </c>
      <c r="C4261" s="5" t="s">
        <v>750</v>
      </c>
      <c r="D4261" s="5" t="s">
        <v>168</v>
      </c>
      <c r="E4261" s="5" t="s">
        <v>21</v>
      </c>
      <c r="F4261" s="5">
        <v>4</v>
      </c>
      <c r="G4261" s="19">
        <v>0.1</v>
      </c>
      <c r="H4261" s="5" t="s">
        <v>697</v>
      </c>
      <c r="I4261" s="10">
        <f>IF(OR(D4261="", F4261=""), "", F4261 * VLOOKUP(D4261, Products!A:E, 5, FALSE) * (1 - G4261))</f>
        <v>3656.7359999999999</v>
      </c>
      <c r="J4261" s="10"/>
    </row>
    <row r="4262" spans="1:10" ht="15.75" customHeight="1" x14ac:dyDescent="0.3">
      <c r="A4262" s="5" t="s">
        <v>5129</v>
      </c>
      <c r="B4262" s="11">
        <v>45787</v>
      </c>
      <c r="C4262" s="5" t="s">
        <v>711</v>
      </c>
      <c r="D4262" s="5" t="s">
        <v>109</v>
      </c>
      <c r="E4262" s="5" t="s">
        <v>37</v>
      </c>
      <c r="F4262" s="5">
        <v>1</v>
      </c>
      <c r="G4262" s="19">
        <v>0.15</v>
      </c>
      <c r="H4262" s="5" t="s">
        <v>454</v>
      </c>
      <c r="I4262" s="10">
        <f>IF(OR(D4262="", F4262=""), "", F4262 * VLOOKUP(D4262, Products!A:E, 5, FALSE) * (1 - G4262))</f>
        <v>1579.9375</v>
      </c>
      <c r="J4262" s="10"/>
    </row>
    <row r="4263" spans="1:10" ht="15.75" customHeight="1" x14ac:dyDescent="0.3">
      <c r="A4263" s="5" t="s">
        <v>5130</v>
      </c>
      <c r="B4263" s="11">
        <v>45597</v>
      </c>
      <c r="C4263" s="5" t="s">
        <v>750</v>
      </c>
      <c r="D4263" s="5" t="s">
        <v>128</v>
      </c>
      <c r="E4263" s="5" t="s">
        <v>33</v>
      </c>
      <c r="F4263" s="5">
        <v>2</v>
      </c>
      <c r="G4263" s="19">
        <v>0.15</v>
      </c>
      <c r="H4263" s="5" t="s">
        <v>637</v>
      </c>
      <c r="I4263" s="10">
        <f>IF(OR(D4263="", F4263=""), "", F4263 * VLOOKUP(D4263, Products!A:E, 5, FALSE) * (1 - G4263))</f>
        <v>550.66399999999999</v>
      </c>
      <c r="J4263" s="10"/>
    </row>
    <row r="4264" spans="1:10" ht="15.75" customHeight="1" x14ac:dyDescent="0.3">
      <c r="A4264" s="5" t="s">
        <v>5131</v>
      </c>
      <c r="B4264" s="11">
        <v>45206</v>
      </c>
      <c r="C4264" s="5" t="s">
        <v>722</v>
      </c>
      <c r="D4264" s="5" t="s">
        <v>180</v>
      </c>
      <c r="E4264" s="5" t="s">
        <v>29</v>
      </c>
      <c r="F4264" s="5">
        <v>1</v>
      </c>
      <c r="G4264" s="19">
        <v>0.15</v>
      </c>
      <c r="H4264" s="5" t="s">
        <v>637</v>
      </c>
      <c r="I4264" s="10">
        <f>IF(OR(D4264="", F4264=""), "", F4264 * VLOOKUP(D4264, Products!A:E, 5, FALSE) * (1 - G4264))</f>
        <v>572.71299999999997</v>
      </c>
      <c r="J4264" s="10"/>
    </row>
    <row r="4265" spans="1:10" ht="15.75" customHeight="1" x14ac:dyDescent="0.3">
      <c r="A4265" s="5" t="s">
        <v>5132</v>
      </c>
      <c r="B4265" s="11">
        <v>45548</v>
      </c>
      <c r="C4265" s="5" t="s">
        <v>628</v>
      </c>
      <c r="D4265" s="5" t="s">
        <v>256</v>
      </c>
      <c r="E4265" s="5" t="s">
        <v>21</v>
      </c>
      <c r="F4265" s="5">
        <v>5</v>
      </c>
      <c r="G4265" s="19">
        <v>0</v>
      </c>
      <c r="H4265" s="5" t="s">
        <v>637</v>
      </c>
      <c r="I4265" s="10">
        <f>IF(OR(D4265="", F4265=""), "", F4265 * VLOOKUP(D4265, Products!A:E, 5, FALSE) * (1 - G4265))</f>
        <v>8175.05</v>
      </c>
      <c r="J4265" s="10"/>
    </row>
    <row r="4266" spans="1:10" ht="15.75" customHeight="1" x14ac:dyDescent="0.3">
      <c r="A4266" s="5" t="s">
        <v>5133</v>
      </c>
      <c r="B4266" s="11">
        <v>45508</v>
      </c>
      <c r="C4266" s="5" t="s">
        <v>462</v>
      </c>
      <c r="D4266" s="5" t="s">
        <v>54</v>
      </c>
      <c r="E4266" s="5" t="s">
        <v>33</v>
      </c>
      <c r="F4266" s="5">
        <v>3</v>
      </c>
      <c r="G4266" s="19">
        <v>0.1</v>
      </c>
      <c r="H4266" s="5" t="s">
        <v>454</v>
      </c>
      <c r="I4266" s="10">
        <f>IF(OR(D4266="", F4266=""), "", F4266 * VLOOKUP(D4266, Products!A:E, 5, FALSE) * (1 - G4266))</f>
        <v>5005.1790000000001</v>
      </c>
      <c r="J4266" s="10"/>
    </row>
    <row r="4267" spans="1:10" ht="15.75" customHeight="1" x14ac:dyDescent="0.3">
      <c r="A4267" s="5" t="s">
        <v>5134</v>
      </c>
      <c r="B4267" s="11">
        <v>45718</v>
      </c>
      <c r="C4267" s="5" t="s">
        <v>554</v>
      </c>
      <c r="D4267" s="5" t="s">
        <v>272</v>
      </c>
      <c r="E4267" s="5" t="s">
        <v>29</v>
      </c>
      <c r="F4267" s="5">
        <v>1</v>
      </c>
      <c r="G4267" s="19">
        <v>0.05</v>
      </c>
      <c r="H4267" s="5" t="s">
        <v>454</v>
      </c>
      <c r="I4267" s="10">
        <f>IF(OR(D4267="", F4267=""), "", F4267 * VLOOKUP(D4267, Products!A:E, 5, FALSE) * (1 - G4267))</f>
        <v>1107.1014999999998</v>
      </c>
      <c r="J4267" s="10"/>
    </row>
    <row r="4268" spans="1:10" ht="15.75" customHeight="1" x14ac:dyDescent="0.3">
      <c r="A4268" s="5" t="s">
        <v>5135</v>
      </c>
      <c r="B4268" s="11">
        <v>45196</v>
      </c>
      <c r="C4268" s="5" t="s">
        <v>245</v>
      </c>
      <c r="D4268" s="5" t="s">
        <v>232</v>
      </c>
      <c r="E4268" s="5" t="s">
        <v>33</v>
      </c>
      <c r="F4268" s="5">
        <v>4</v>
      </c>
      <c r="G4268" s="19">
        <v>0.05</v>
      </c>
      <c r="H4268" s="5" t="s">
        <v>454</v>
      </c>
      <c r="I4268" s="10">
        <f>IF(OR(D4268="", F4268=""), "", F4268 * VLOOKUP(D4268, Products!A:E, 5, FALSE) * (1 - G4268))</f>
        <v>7420.07</v>
      </c>
      <c r="J4268" s="10"/>
    </row>
    <row r="4269" spans="1:10" ht="15.75" customHeight="1" x14ac:dyDescent="0.3">
      <c r="A4269" s="5" t="s">
        <v>5136</v>
      </c>
      <c r="B4269" s="11">
        <v>45189</v>
      </c>
      <c r="C4269" s="5" t="s">
        <v>604</v>
      </c>
      <c r="D4269" s="5" t="s">
        <v>57</v>
      </c>
      <c r="E4269" s="5" t="s">
        <v>37</v>
      </c>
      <c r="F4269" s="5">
        <v>3</v>
      </c>
      <c r="G4269" s="19">
        <v>0.05</v>
      </c>
      <c r="H4269" s="5" t="s">
        <v>637</v>
      </c>
      <c r="I4269" s="10">
        <f>IF(OR(D4269="", F4269=""), "", F4269 * VLOOKUP(D4269, Products!A:E, 5, FALSE) * (1 - G4269))</f>
        <v>3979.2269999999999</v>
      </c>
      <c r="J4269" s="10"/>
    </row>
    <row r="4270" spans="1:10" ht="15.75" customHeight="1" x14ac:dyDescent="0.3">
      <c r="A4270" s="5" t="s">
        <v>5137</v>
      </c>
      <c r="B4270" s="11">
        <v>45599</v>
      </c>
      <c r="C4270" s="5" t="s">
        <v>840</v>
      </c>
      <c r="D4270" s="5" t="s">
        <v>265</v>
      </c>
      <c r="E4270" s="5" t="s">
        <v>37</v>
      </c>
      <c r="F4270" s="5">
        <v>5</v>
      </c>
      <c r="G4270" s="19">
        <v>0</v>
      </c>
      <c r="H4270" s="5" t="s">
        <v>637</v>
      </c>
      <c r="I4270" s="10">
        <f>IF(OR(D4270="", F4270=""), "", F4270 * VLOOKUP(D4270, Products!A:E, 5, FALSE) * (1 - G4270))</f>
        <v>2822.1</v>
      </c>
      <c r="J4270" s="10"/>
    </row>
    <row r="4271" spans="1:10" ht="15.75" customHeight="1" x14ac:dyDescent="0.3">
      <c r="A4271" s="5" t="s">
        <v>5138</v>
      </c>
      <c r="B4271" s="11">
        <v>45435</v>
      </c>
      <c r="C4271" s="5" t="s">
        <v>447</v>
      </c>
      <c r="D4271" s="5" t="s">
        <v>237</v>
      </c>
      <c r="E4271" s="5" t="s">
        <v>37</v>
      </c>
      <c r="F4271" s="5">
        <v>5</v>
      </c>
      <c r="G4271" s="19">
        <v>0</v>
      </c>
      <c r="H4271" s="5" t="s">
        <v>454</v>
      </c>
      <c r="I4271" s="10">
        <f>IF(OR(D4271="", F4271=""), "", F4271 * VLOOKUP(D4271, Products!A:E, 5, FALSE) * (1 - G4271))</f>
        <v>1834.65</v>
      </c>
      <c r="J4271" s="10"/>
    </row>
    <row r="4272" spans="1:10" ht="15.75" customHeight="1" x14ac:dyDescent="0.3">
      <c r="A4272" s="5" t="s">
        <v>5139</v>
      </c>
      <c r="B4272" s="11">
        <v>45691</v>
      </c>
      <c r="C4272" s="5" t="s">
        <v>447</v>
      </c>
      <c r="D4272" s="5" t="s">
        <v>168</v>
      </c>
      <c r="E4272" s="5" t="s">
        <v>29</v>
      </c>
      <c r="F4272" s="5">
        <v>1</v>
      </c>
      <c r="G4272" s="19">
        <v>0.05</v>
      </c>
      <c r="H4272" s="5" t="s">
        <v>637</v>
      </c>
      <c r="I4272" s="10">
        <f>IF(OR(D4272="", F4272=""), "", F4272 * VLOOKUP(D4272, Products!A:E, 5, FALSE) * (1 - G4272))</f>
        <v>964.97199999999998</v>
      </c>
      <c r="J4272" s="10"/>
    </row>
    <row r="4273" spans="1:10" ht="15.75" customHeight="1" x14ac:dyDescent="0.3">
      <c r="A4273" s="5" t="s">
        <v>5140</v>
      </c>
      <c r="B4273" s="11">
        <v>45526</v>
      </c>
      <c r="C4273" s="5" t="s">
        <v>81</v>
      </c>
      <c r="D4273" s="5" t="s">
        <v>74</v>
      </c>
      <c r="E4273" s="5" t="s">
        <v>29</v>
      </c>
      <c r="F4273" s="5">
        <v>2</v>
      </c>
      <c r="G4273" s="19">
        <v>0</v>
      </c>
      <c r="H4273" s="5" t="s">
        <v>776</v>
      </c>
      <c r="I4273" s="10">
        <f>IF(OR(D4273="", F4273=""), "", F4273 * VLOOKUP(D4273, Products!A:E, 5, FALSE) * (1 - G4273))</f>
        <v>2388.2399999999998</v>
      </c>
      <c r="J4273" s="10"/>
    </row>
    <row r="4274" spans="1:10" ht="15.75" customHeight="1" x14ac:dyDescent="0.3">
      <c r="A4274" s="5" t="s">
        <v>5141</v>
      </c>
      <c r="B4274" s="11">
        <v>45594</v>
      </c>
      <c r="C4274" s="5" t="s">
        <v>317</v>
      </c>
      <c r="D4274" s="5" t="s">
        <v>74</v>
      </c>
      <c r="E4274" s="5" t="s">
        <v>33</v>
      </c>
      <c r="F4274" s="5">
        <v>2</v>
      </c>
      <c r="G4274" s="19">
        <v>0.15</v>
      </c>
      <c r="H4274" s="5" t="s">
        <v>776</v>
      </c>
      <c r="I4274" s="10">
        <f>IF(OR(D4274="", F4274=""), "", F4274 * VLOOKUP(D4274, Products!A:E, 5, FALSE) * (1 - G4274))</f>
        <v>2030.0039999999997</v>
      </c>
      <c r="J4274" s="10"/>
    </row>
    <row r="4275" spans="1:10" ht="15.75" customHeight="1" x14ac:dyDescent="0.3">
      <c r="A4275" s="5" t="s">
        <v>5142</v>
      </c>
      <c r="B4275" s="11">
        <v>45380</v>
      </c>
      <c r="C4275" s="5" t="s">
        <v>546</v>
      </c>
      <c r="D4275" s="5" t="s">
        <v>82</v>
      </c>
      <c r="E4275" s="5" t="s">
        <v>33</v>
      </c>
      <c r="F4275" s="5">
        <v>3</v>
      </c>
      <c r="G4275" s="19">
        <v>0</v>
      </c>
      <c r="H4275" s="5" t="s">
        <v>776</v>
      </c>
      <c r="I4275" s="10">
        <f>IF(OR(D4275="", F4275=""), "", F4275 * VLOOKUP(D4275, Products!A:E, 5, FALSE) * (1 - G4275))</f>
        <v>3579.2699999999995</v>
      </c>
      <c r="J4275" s="10"/>
    </row>
    <row r="4276" spans="1:10" ht="15.75" customHeight="1" x14ac:dyDescent="0.3">
      <c r="A4276" s="5" t="s">
        <v>5143</v>
      </c>
      <c r="B4276" s="11">
        <v>45595</v>
      </c>
      <c r="C4276" s="5" t="s">
        <v>680</v>
      </c>
      <c r="D4276" s="5" t="s">
        <v>175</v>
      </c>
      <c r="E4276" s="5" t="s">
        <v>25</v>
      </c>
      <c r="F4276" s="5">
        <v>3</v>
      </c>
      <c r="G4276" s="19">
        <v>0.1</v>
      </c>
      <c r="H4276" s="5" t="s">
        <v>454</v>
      </c>
      <c r="I4276" s="10">
        <f>IF(OR(D4276="", F4276=""), "", F4276 * VLOOKUP(D4276, Products!A:E, 5, FALSE) * (1 - G4276))</f>
        <v>3435.0210000000002</v>
      </c>
      <c r="J4276" s="10"/>
    </row>
    <row r="4277" spans="1:10" ht="15.75" customHeight="1" x14ac:dyDescent="0.3">
      <c r="A4277" s="5" t="s">
        <v>5144</v>
      </c>
      <c r="B4277" s="11">
        <v>45404</v>
      </c>
      <c r="C4277" s="5" t="s">
        <v>661</v>
      </c>
      <c r="D4277" s="5" t="s">
        <v>212</v>
      </c>
      <c r="E4277" s="5" t="s">
        <v>21</v>
      </c>
      <c r="F4277" s="5">
        <v>2</v>
      </c>
      <c r="G4277" s="19">
        <v>0</v>
      </c>
      <c r="H4277" s="5" t="s">
        <v>697</v>
      </c>
      <c r="I4277" s="10">
        <f>IF(OR(D4277="", F4277=""), "", F4277 * VLOOKUP(D4277, Products!A:E, 5, FALSE) * (1 - G4277))</f>
        <v>3597.94</v>
      </c>
      <c r="J4277" s="10"/>
    </row>
    <row r="4278" spans="1:10" ht="15.75" customHeight="1" x14ac:dyDescent="0.3">
      <c r="A4278" s="5" t="s">
        <v>5145</v>
      </c>
      <c r="B4278" s="11">
        <v>45653</v>
      </c>
      <c r="C4278" s="5" t="s">
        <v>602</v>
      </c>
      <c r="D4278" s="5" t="s">
        <v>50</v>
      </c>
      <c r="E4278" s="5" t="s">
        <v>21</v>
      </c>
      <c r="F4278" s="5">
        <v>3</v>
      </c>
      <c r="G4278" s="19">
        <v>0.15</v>
      </c>
      <c r="H4278" s="5" t="s">
        <v>454</v>
      </c>
      <c r="I4278" s="10">
        <f>IF(OR(D4278="", F4278=""), "", F4278 * VLOOKUP(D4278, Products!A:E, 5, FALSE) * (1 - G4278))</f>
        <v>860.95650000000001</v>
      </c>
      <c r="J4278" s="10"/>
    </row>
    <row r="4279" spans="1:10" ht="15.75" customHeight="1" x14ac:dyDescent="0.3">
      <c r="A4279" s="5" t="s">
        <v>5146</v>
      </c>
      <c r="B4279" s="11">
        <v>45214</v>
      </c>
      <c r="C4279" s="5" t="s">
        <v>602</v>
      </c>
      <c r="D4279" s="5" t="s">
        <v>140</v>
      </c>
      <c r="E4279" s="5" t="s">
        <v>37</v>
      </c>
      <c r="F4279" s="5">
        <v>5</v>
      </c>
      <c r="G4279" s="19">
        <v>0.05</v>
      </c>
      <c r="H4279" s="5" t="s">
        <v>637</v>
      </c>
      <c r="I4279" s="10">
        <f>IF(OR(D4279="", F4279=""), "", F4279 * VLOOKUP(D4279, Products!A:E, 5, FALSE) * (1 - G4279))</f>
        <v>121.4575</v>
      </c>
      <c r="J4279" s="10"/>
    </row>
    <row r="4280" spans="1:10" ht="15.75" customHeight="1" x14ac:dyDescent="0.3">
      <c r="A4280" s="5" t="s">
        <v>5147</v>
      </c>
      <c r="B4280" s="11">
        <v>45628</v>
      </c>
      <c r="C4280" s="5" t="s">
        <v>420</v>
      </c>
      <c r="D4280" s="5" t="s">
        <v>243</v>
      </c>
      <c r="E4280" s="5" t="s">
        <v>21</v>
      </c>
      <c r="F4280" s="5">
        <v>5</v>
      </c>
      <c r="G4280" s="19">
        <v>0.1</v>
      </c>
      <c r="H4280" s="5" t="s">
        <v>637</v>
      </c>
      <c r="I4280" s="10">
        <f>IF(OR(D4280="", F4280=""), "", F4280 * VLOOKUP(D4280, Products!A:E, 5, FALSE) * (1 - G4280))</f>
        <v>2434.2300000000005</v>
      </c>
      <c r="J4280" s="10"/>
    </row>
    <row r="4281" spans="1:10" ht="15.75" customHeight="1" x14ac:dyDescent="0.3">
      <c r="A4281" s="5" t="s">
        <v>5148</v>
      </c>
      <c r="B4281" s="11">
        <v>45796</v>
      </c>
      <c r="C4281" s="5" t="s">
        <v>393</v>
      </c>
      <c r="D4281" s="5" t="s">
        <v>212</v>
      </c>
      <c r="E4281" s="5" t="s">
        <v>21</v>
      </c>
      <c r="F4281" s="5">
        <v>2</v>
      </c>
      <c r="G4281" s="19">
        <v>0.15</v>
      </c>
      <c r="H4281" s="5" t="s">
        <v>454</v>
      </c>
      <c r="I4281" s="10">
        <f>IF(OR(D4281="", F4281=""), "", F4281 * VLOOKUP(D4281, Products!A:E, 5, FALSE) * (1 - G4281))</f>
        <v>3058.2489999999998</v>
      </c>
      <c r="J4281" s="10"/>
    </row>
    <row r="4282" spans="1:10" ht="15.75" customHeight="1" x14ac:dyDescent="0.3">
      <c r="A4282" s="5" t="s">
        <v>5149</v>
      </c>
      <c r="B4282" s="11">
        <v>45863</v>
      </c>
      <c r="C4282" s="5" t="s">
        <v>91</v>
      </c>
      <c r="D4282" s="5" t="s">
        <v>256</v>
      </c>
      <c r="E4282" s="5" t="s">
        <v>21</v>
      </c>
      <c r="F4282" s="5">
        <v>1</v>
      </c>
      <c r="G4282" s="19">
        <v>0.05</v>
      </c>
      <c r="H4282" s="5" t="s">
        <v>776</v>
      </c>
      <c r="I4282" s="10">
        <f>IF(OR(D4282="", F4282=""), "", F4282 * VLOOKUP(D4282, Products!A:E, 5, FALSE) * (1 - G4282))</f>
        <v>1553.2594999999999</v>
      </c>
      <c r="J4282" s="10"/>
    </row>
    <row r="4283" spans="1:10" ht="15.75" customHeight="1" x14ac:dyDescent="0.3">
      <c r="A4283" s="5" t="s">
        <v>5150</v>
      </c>
      <c r="B4283" s="11">
        <v>45755</v>
      </c>
      <c r="C4283" s="5" t="s">
        <v>662</v>
      </c>
      <c r="D4283" s="5" t="s">
        <v>276</v>
      </c>
      <c r="E4283" s="5" t="s">
        <v>29</v>
      </c>
      <c r="F4283" s="5">
        <v>4</v>
      </c>
      <c r="G4283" s="19">
        <v>0.15</v>
      </c>
      <c r="H4283" s="5" t="s">
        <v>776</v>
      </c>
      <c r="I4283" s="10">
        <f>IF(OR(D4283="", F4283=""), "", F4283 * VLOOKUP(D4283, Products!A:E, 5, FALSE) * (1 - G4283))</f>
        <v>4070.4120000000003</v>
      </c>
      <c r="J4283" s="10"/>
    </row>
    <row r="4284" spans="1:10" ht="15.75" customHeight="1" x14ac:dyDescent="0.3">
      <c r="A4284" s="5" t="s">
        <v>5151</v>
      </c>
      <c r="B4284" s="11">
        <v>45339</v>
      </c>
      <c r="C4284" s="5" t="s">
        <v>722</v>
      </c>
      <c r="D4284" s="5" t="s">
        <v>280</v>
      </c>
      <c r="E4284" s="5" t="s">
        <v>37</v>
      </c>
      <c r="F4284" s="5">
        <v>3</v>
      </c>
      <c r="G4284" s="19">
        <v>0.05</v>
      </c>
      <c r="H4284" s="5" t="s">
        <v>776</v>
      </c>
      <c r="I4284" s="10">
        <f>IF(OR(D4284="", F4284=""), "", F4284 * VLOOKUP(D4284, Products!A:E, 5, FALSE) * (1 - G4284))</f>
        <v>3466.6259999999997</v>
      </c>
      <c r="J4284" s="10"/>
    </row>
    <row r="4285" spans="1:10" ht="15.75" customHeight="1" x14ac:dyDescent="0.3">
      <c r="A4285" s="5" t="s">
        <v>5152</v>
      </c>
      <c r="B4285" s="11">
        <v>45663</v>
      </c>
      <c r="C4285" s="5" t="s">
        <v>511</v>
      </c>
      <c r="D4285" s="5" t="s">
        <v>221</v>
      </c>
      <c r="E4285" s="5" t="s">
        <v>33</v>
      </c>
      <c r="F4285" s="5">
        <v>3</v>
      </c>
      <c r="G4285" s="19">
        <v>0</v>
      </c>
      <c r="H4285" s="5" t="s">
        <v>454</v>
      </c>
      <c r="I4285" s="10">
        <f>IF(OR(D4285="", F4285=""), "", F4285 * VLOOKUP(D4285, Products!A:E, 5, FALSE) * (1 - G4285))</f>
        <v>4687.29</v>
      </c>
      <c r="J4285" s="10"/>
    </row>
    <row r="4286" spans="1:10" ht="15.75" customHeight="1" x14ac:dyDescent="0.3">
      <c r="A4286" s="5" t="s">
        <v>5153</v>
      </c>
      <c r="B4286" s="11">
        <v>45884</v>
      </c>
      <c r="C4286" s="5" t="s">
        <v>869</v>
      </c>
      <c r="D4286" s="5" t="s">
        <v>175</v>
      </c>
      <c r="E4286" s="5" t="s">
        <v>37</v>
      </c>
      <c r="F4286" s="5">
        <v>2</v>
      </c>
      <c r="G4286" s="19">
        <v>0.15</v>
      </c>
      <c r="H4286" s="5" t="s">
        <v>454</v>
      </c>
      <c r="I4286" s="10">
        <f>IF(OR(D4286="", F4286=""), "", F4286 * VLOOKUP(D4286, Products!A:E, 5, FALSE) * (1 - G4286))</f>
        <v>2162.7910000000002</v>
      </c>
      <c r="J4286" s="10"/>
    </row>
    <row r="4287" spans="1:10" ht="15.75" customHeight="1" x14ac:dyDescent="0.3">
      <c r="A4287" s="5" t="s">
        <v>5154</v>
      </c>
      <c r="B4287" s="11">
        <v>45221</v>
      </c>
      <c r="C4287" s="5" t="s">
        <v>579</v>
      </c>
      <c r="D4287" s="5" t="s">
        <v>262</v>
      </c>
      <c r="E4287" s="5" t="s">
        <v>33</v>
      </c>
      <c r="F4287" s="5">
        <v>5</v>
      </c>
      <c r="G4287" s="19">
        <v>0</v>
      </c>
      <c r="H4287" s="5" t="s">
        <v>637</v>
      </c>
      <c r="I4287" s="10">
        <f>IF(OR(D4287="", F4287=""), "", F4287 * VLOOKUP(D4287, Products!A:E, 5, FALSE) * (1 - G4287))</f>
        <v>2268.1</v>
      </c>
      <c r="J4287" s="10"/>
    </row>
    <row r="4288" spans="1:10" ht="15.75" customHeight="1" x14ac:dyDescent="0.3">
      <c r="A4288" s="5" t="s">
        <v>5155</v>
      </c>
      <c r="B4288" s="11">
        <v>45807</v>
      </c>
      <c r="C4288" s="5" t="s">
        <v>829</v>
      </c>
      <c r="D4288" s="5" t="s">
        <v>180</v>
      </c>
      <c r="E4288" s="5" t="s">
        <v>21</v>
      </c>
      <c r="F4288" s="5">
        <v>1</v>
      </c>
      <c r="G4288" s="19">
        <v>0.15</v>
      </c>
      <c r="H4288" s="5" t="s">
        <v>697</v>
      </c>
      <c r="I4288" s="10">
        <f>IF(OR(D4288="", F4288=""), "", F4288 * VLOOKUP(D4288, Products!A:E, 5, FALSE) * (1 - G4288))</f>
        <v>572.71299999999997</v>
      </c>
      <c r="J4288" s="10"/>
    </row>
    <row r="4289" spans="1:10" ht="15.75" customHeight="1" x14ac:dyDescent="0.3">
      <c r="A4289" s="5" t="s">
        <v>5156</v>
      </c>
      <c r="B4289" s="11">
        <v>45544</v>
      </c>
      <c r="C4289" s="5" t="s">
        <v>563</v>
      </c>
      <c r="D4289" s="5" t="s">
        <v>103</v>
      </c>
      <c r="E4289" s="5" t="s">
        <v>21</v>
      </c>
      <c r="F4289" s="5">
        <v>1</v>
      </c>
      <c r="G4289" s="19">
        <v>0</v>
      </c>
      <c r="H4289" s="5" t="s">
        <v>697</v>
      </c>
      <c r="I4289" s="10">
        <f>IF(OR(D4289="", F4289=""), "", F4289 * VLOOKUP(D4289, Products!A:E, 5, FALSE) * (1 - G4289))</f>
        <v>270.45</v>
      </c>
      <c r="J4289" s="10"/>
    </row>
    <row r="4290" spans="1:10" ht="15.75" customHeight="1" x14ac:dyDescent="0.3">
      <c r="A4290" s="5" t="s">
        <v>5157</v>
      </c>
      <c r="B4290" s="11">
        <v>45214</v>
      </c>
      <c r="C4290" s="5" t="s">
        <v>575</v>
      </c>
      <c r="D4290" s="5" t="s">
        <v>128</v>
      </c>
      <c r="E4290" s="5" t="s">
        <v>29</v>
      </c>
      <c r="F4290" s="5">
        <v>1</v>
      </c>
      <c r="G4290" s="19">
        <v>0</v>
      </c>
      <c r="H4290" s="5" t="s">
        <v>697</v>
      </c>
      <c r="I4290" s="10">
        <f>IF(OR(D4290="", F4290=""), "", F4290 * VLOOKUP(D4290, Products!A:E, 5, FALSE) * (1 - G4290))</f>
        <v>323.92</v>
      </c>
      <c r="J4290" s="10"/>
    </row>
    <row r="4291" spans="1:10" ht="15.75" customHeight="1" x14ac:dyDescent="0.3">
      <c r="A4291" s="5" t="s">
        <v>5158</v>
      </c>
      <c r="B4291" s="11">
        <v>45298</v>
      </c>
      <c r="C4291" s="5" t="s">
        <v>429</v>
      </c>
      <c r="D4291" s="5" t="s">
        <v>212</v>
      </c>
      <c r="E4291" s="5" t="s">
        <v>29</v>
      </c>
      <c r="F4291" s="5">
        <v>3</v>
      </c>
      <c r="G4291" s="19">
        <v>0.1</v>
      </c>
      <c r="H4291" s="5" t="s">
        <v>697</v>
      </c>
      <c r="I4291" s="10">
        <f>IF(OR(D4291="", F4291=""), "", F4291 * VLOOKUP(D4291, Products!A:E, 5, FALSE) * (1 - G4291))</f>
        <v>4857.2190000000001</v>
      </c>
      <c r="J4291" s="10"/>
    </row>
    <row r="4292" spans="1:10" ht="15.75" customHeight="1" x14ac:dyDescent="0.3">
      <c r="A4292" s="5" t="s">
        <v>5159</v>
      </c>
      <c r="B4292" s="11">
        <v>45541</v>
      </c>
      <c r="C4292" s="5" t="s">
        <v>727</v>
      </c>
      <c r="D4292" s="5" t="s">
        <v>188</v>
      </c>
      <c r="E4292" s="5" t="s">
        <v>37</v>
      </c>
      <c r="F4292" s="5">
        <v>1</v>
      </c>
      <c r="G4292" s="19">
        <v>0.15</v>
      </c>
      <c r="H4292" s="5" t="s">
        <v>637</v>
      </c>
      <c r="I4292" s="10">
        <f>IF(OR(D4292="", F4292=""), "", F4292 * VLOOKUP(D4292, Products!A:E, 5, FALSE) * (1 - G4292))</f>
        <v>1262.2925</v>
      </c>
      <c r="J4292" s="10"/>
    </row>
    <row r="4293" spans="1:10" ht="15.75" customHeight="1" x14ac:dyDescent="0.3">
      <c r="A4293" s="5" t="s">
        <v>5160</v>
      </c>
      <c r="B4293" s="11">
        <v>45591</v>
      </c>
      <c r="C4293" s="5" t="s">
        <v>433</v>
      </c>
      <c r="D4293" s="5" t="s">
        <v>243</v>
      </c>
      <c r="E4293" s="5" t="s">
        <v>29</v>
      </c>
      <c r="F4293" s="5">
        <v>4</v>
      </c>
      <c r="G4293" s="19">
        <v>0.15</v>
      </c>
      <c r="H4293" s="5" t="s">
        <v>454</v>
      </c>
      <c r="I4293" s="10">
        <f>IF(OR(D4293="", F4293=""), "", F4293 * VLOOKUP(D4293, Products!A:E, 5, FALSE) * (1 - G4293))</f>
        <v>1839.1960000000001</v>
      </c>
      <c r="J4293" s="10"/>
    </row>
    <row r="4294" spans="1:10" ht="15.75" customHeight="1" x14ac:dyDescent="0.3">
      <c r="A4294" s="5" t="s">
        <v>5161</v>
      </c>
      <c r="B4294" s="11">
        <v>45729</v>
      </c>
      <c r="C4294" s="5" t="s">
        <v>322</v>
      </c>
      <c r="D4294" s="5" t="s">
        <v>134</v>
      </c>
      <c r="E4294" s="5" t="s">
        <v>29</v>
      </c>
      <c r="F4294" s="5">
        <v>1</v>
      </c>
      <c r="G4294" s="19">
        <v>0.15</v>
      </c>
      <c r="H4294" s="5" t="s">
        <v>697</v>
      </c>
      <c r="I4294" s="10">
        <f>IF(OR(D4294="", F4294=""), "", F4294 * VLOOKUP(D4294, Products!A:E, 5, FALSE) * (1 - G4294))</f>
        <v>1043.154</v>
      </c>
      <c r="J4294" s="10"/>
    </row>
    <row r="4295" spans="1:10" ht="15.75" customHeight="1" x14ac:dyDescent="0.3">
      <c r="A4295" s="5" t="s">
        <v>5162</v>
      </c>
      <c r="B4295" s="11">
        <v>45424</v>
      </c>
      <c r="C4295" s="5" t="s">
        <v>878</v>
      </c>
      <c r="D4295" s="5" t="s">
        <v>256</v>
      </c>
      <c r="E4295" s="5" t="s">
        <v>25</v>
      </c>
      <c r="F4295" s="5">
        <v>1</v>
      </c>
      <c r="G4295" s="19">
        <v>0.1</v>
      </c>
      <c r="H4295" s="5" t="s">
        <v>454</v>
      </c>
      <c r="I4295" s="10">
        <f>IF(OR(D4295="", F4295=""), "", F4295 * VLOOKUP(D4295, Products!A:E, 5, FALSE) * (1 - G4295))</f>
        <v>1471.509</v>
      </c>
      <c r="J4295" s="10"/>
    </row>
    <row r="4296" spans="1:10" ht="15.75" customHeight="1" x14ac:dyDescent="0.3">
      <c r="A4296" s="5" t="s">
        <v>5163</v>
      </c>
      <c r="B4296" s="11">
        <v>45740</v>
      </c>
      <c r="C4296" s="5" t="s">
        <v>736</v>
      </c>
      <c r="D4296" s="5" t="s">
        <v>82</v>
      </c>
      <c r="E4296" s="5" t="s">
        <v>37</v>
      </c>
      <c r="F4296" s="5">
        <v>4</v>
      </c>
      <c r="G4296" s="19">
        <v>0.15</v>
      </c>
      <c r="H4296" s="5" t="s">
        <v>697</v>
      </c>
      <c r="I4296" s="10">
        <f>IF(OR(D4296="", F4296=""), "", F4296 * VLOOKUP(D4296, Products!A:E, 5, FALSE) * (1 - G4296))</f>
        <v>4056.5059999999994</v>
      </c>
      <c r="J4296" s="10"/>
    </row>
    <row r="4297" spans="1:10" ht="15.75" customHeight="1" x14ac:dyDescent="0.3">
      <c r="A4297" s="5" t="s">
        <v>5164</v>
      </c>
      <c r="B4297" s="11">
        <v>45844</v>
      </c>
      <c r="C4297" s="5" t="s">
        <v>470</v>
      </c>
      <c r="D4297" s="5" t="s">
        <v>168</v>
      </c>
      <c r="E4297" s="5" t="s">
        <v>33</v>
      </c>
      <c r="F4297" s="5">
        <v>2</v>
      </c>
      <c r="G4297" s="19">
        <v>0.05</v>
      </c>
      <c r="H4297" s="5" t="s">
        <v>697</v>
      </c>
      <c r="I4297" s="10">
        <f>IF(OR(D4297="", F4297=""), "", F4297 * VLOOKUP(D4297, Products!A:E, 5, FALSE) * (1 - G4297))</f>
        <v>1929.944</v>
      </c>
      <c r="J4297" s="10"/>
    </row>
    <row r="4298" spans="1:10" ht="15.75" customHeight="1" x14ac:dyDescent="0.3">
      <c r="A4298" s="5" t="s">
        <v>5165</v>
      </c>
      <c r="B4298" s="11">
        <v>45262</v>
      </c>
      <c r="C4298" s="5" t="s">
        <v>261</v>
      </c>
      <c r="D4298" s="5" t="s">
        <v>128</v>
      </c>
      <c r="E4298" s="5" t="s">
        <v>37</v>
      </c>
      <c r="F4298" s="5">
        <v>1</v>
      </c>
      <c r="G4298" s="19">
        <v>0.1</v>
      </c>
      <c r="H4298" s="5" t="s">
        <v>697</v>
      </c>
      <c r="I4298" s="10">
        <f>IF(OR(D4298="", F4298=""), "", F4298 * VLOOKUP(D4298, Products!A:E, 5, FALSE) * (1 - G4298))</f>
        <v>291.52800000000002</v>
      </c>
      <c r="J4298" s="10"/>
    </row>
    <row r="4299" spans="1:10" ht="15.75" customHeight="1" x14ac:dyDescent="0.3">
      <c r="A4299" s="5" t="s">
        <v>5166</v>
      </c>
      <c r="B4299" s="11">
        <v>45773</v>
      </c>
      <c r="C4299" s="5" t="s">
        <v>372</v>
      </c>
      <c r="D4299" s="5" t="s">
        <v>212</v>
      </c>
      <c r="E4299" s="5" t="s">
        <v>29</v>
      </c>
      <c r="F4299" s="5">
        <v>4</v>
      </c>
      <c r="G4299" s="19">
        <v>0</v>
      </c>
      <c r="H4299" s="5" t="s">
        <v>454</v>
      </c>
      <c r="I4299" s="10">
        <f>IF(OR(D4299="", F4299=""), "", F4299 * VLOOKUP(D4299, Products!A:E, 5, FALSE) * (1 - G4299))</f>
        <v>7195.88</v>
      </c>
      <c r="J4299" s="10"/>
    </row>
    <row r="4300" spans="1:10" ht="15.75" customHeight="1" x14ac:dyDescent="0.3">
      <c r="A4300" s="5" t="s">
        <v>5167</v>
      </c>
      <c r="B4300" s="11">
        <v>45240</v>
      </c>
      <c r="C4300" s="5" t="s">
        <v>638</v>
      </c>
      <c r="D4300" s="5" t="s">
        <v>262</v>
      </c>
      <c r="E4300" s="5" t="s">
        <v>29</v>
      </c>
      <c r="F4300" s="5">
        <v>4</v>
      </c>
      <c r="G4300" s="19">
        <v>0.15</v>
      </c>
      <c r="H4300" s="5" t="s">
        <v>454</v>
      </c>
      <c r="I4300" s="10">
        <f>IF(OR(D4300="", F4300=""), "", F4300 * VLOOKUP(D4300, Products!A:E, 5, FALSE) * (1 - G4300))</f>
        <v>1542.308</v>
      </c>
      <c r="J4300" s="10"/>
    </row>
    <row r="4301" spans="1:10" ht="15.75" customHeight="1" x14ac:dyDescent="0.3">
      <c r="A4301" s="5" t="s">
        <v>5168</v>
      </c>
      <c r="B4301" s="11">
        <v>45191</v>
      </c>
      <c r="C4301" s="5" t="s">
        <v>676</v>
      </c>
      <c r="D4301" s="5" t="s">
        <v>57</v>
      </c>
      <c r="E4301" s="5" t="s">
        <v>29</v>
      </c>
      <c r="F4301" s="5">
        <v>3</v>
      </c>
      <c r="G4301" s="19">
        <v>0.1</v>
      </c>
      <c r="H4301" s="5" t="s">
        <v>697</v>
      </c>
      <c r="I4301" s="10">
        <f>IF(OR(D4301="", F4301=""), "", F4301 * VLOOKUP(D4301, Products!A:E, 5, FALSE) * (1 - G4301))</f>
        <v>3769.7939999999999</v>
      </c>
      <c r="J4301" s="10"/>
    </row>
    <row r="4302" spans="1:10" ht="15.75" customHeight="1" x14ac:dyDescent="0.3">
      <c r="A4302" s="5" t="s">
        <v>5169</v>
      </c>
      <c r="B4302" s="11">
        <v>45347</v>
      </c>
      <c r="C4302" s="5" t="s">
        <v>727</v>
      </c>
      <c r="D4302" s="5" t="s">
        <v>226</v>
      </c>
      <c r="E4302" s="5" t="s">
        <v>33</v>
      </c>
      <c r="F4302" s="5">
        <v>3</v>
      </c>
      <c r="G4302" s="19">
        <v>0.05</v>
      </c>
      <c r="H4302" s="5" t="s">
        <v>776</v>
      </c>
      <c r="I4302" s="10">
        <f>IF(OR(D4302="", F4302=""), "", F4302 * VLOOKUP(D4302, Products!A:E, 5, FALSE) * (1 - G4302))</f>
        <v>4279.1610000000001</v>
      </c>
      <c r="J4302" s="10"/>
    </row>
    <row r="4303" spans="1:10" ht="15.75" customHeight="1" x14ac:dyDescent="0.3">
      <c r="A4303" s="5" t="s">
        <v>5170</v>
      </c>
      <c r="B4303" s="11">
        <v>45383</v>
      </c>
      <c r="C4303" s="5" t="s">
        <v>389</v>
      </c>
      <c r="D4303" s="5" t="s">
        <v>226</v>
      </c>
      <c r="E4303" s="5" t="s">
        <v>37</v>
      </c>
      <c r="F4303" s="5">
        <v>2</v>
      </c>
      <c r="G4303" s="19">
        <v>0.1</v>
      </c>
      <c r="H4303" s="5" t="s">
        <v>776</v>
      </c>
      <c r="I4303" s="10">
        <f>IF(OR(D4303="", F4303=""), "", F4303 * VLOOKUP(D4303, Products!A:E, 5, FALSE) * (1 - G4303))</f>
        <v>2702.6280000000002</v>
      </c>
      <c r="J4303" s="10"/>
    </row>
    <row r="4304" spans="1:10" ht="15.75" customHeight="1" x14ac:dyDescent="0.3">
      <c r="A4304" s="5" t="s">
        <v>5171</v>
      </c>
      <c r="B4304" s="11">
        <v>45809</v>
      </c>
      <c r="C4304" s="5" t="s">
        <v>631</v>
      </c>
      <c r="D4304" s="5" t="s">
        <v>43</v>
      </c>
      <c r="E4304" s="5" t="s">
        <v>21</v>
      </c>
      <c r="F4304" s="5">
        <v>2</v>
      </c>
      <c r="G4304" s="19">
        <v>0.1</v>
      </c>
      <c r="H4304" s="5" t="s">
        <v>454</v>
      </c>
      <c r="I4304" s="10">
        <f>IF(OR(D4304="", F4304=""), "", F4304 * VLOOKUP(D4304, Products!A:E, 5, FALSE) * (1 - G4304))</f>
        <v>3012.6420000000003</v>
      </c>
      <c r="J4304" s="10"/>
    </row>
    <row r="4305" spans="1:10" ht="15.75" customHeight="1" x14ac:dyDescent="0.3">
      <c r="A4305" s="5" t="s">
        <v>5172</v>
      </c>
      <c r="B4305" s="11">
        <v>45548</v>
      </c>
      <c r="C4305" s="5" t="s">
        <v>837</v>
      </c>
      <c r="D4305" s="5" t="s">
        <v>82</v>
      </c>
      <c r="E4305" s="5" t="s">
        <v>29</v>
      </c>
      <c r="F4305" s="5">
        <v>2</v>
      </c>
      <c r="G4305" s="19">
        <v>0</v>
      </c>
      <c r="H4305" s="5" t="s">
        <v>697</v>
      </c>
      <c r="I4305" s="10">
        <f>IF(OR(D4305="", F4305=""), "", F4305 * VLOOKUP(D4305, Products!A:E, 5, FALSE) * (1 - G4305))</f>
        <v>2386.1799999999998</v>
      </c>
      <c r="J4305" s="10"/>
    </row>
    <row r="4306" spans="1:10" ht="15.75" customHeight="1" x14ac:dyDescent="0.3">
      <c r="A4306" s="5" t="s">
        <v>5173</v>
      </c>
      <c r="B4306" s="11">
        <v>45488</v>
      </c>
      <c r="C4306" s="5" t="s">
        <v>811</v>
      </c>
      <c r="D4306" s="5" t="s">
        <v>47</v>
      </c>
      <c r="E4306" s="5" t="s">
        <v>37</v>
      </c>
      <c r="F4306" s="5">
        <v>1</v>
      </c>
      <c r="G4306" s="19">
        <v>0</v>
      </c>
      <c r="H4306" s="5" t="s">
        <v>697</v>
      </c>
      <c r="I4306" s="10">
        <f>IF(OR(D4306="", F4306=""), "", F4306 * VLOOKUP(D4306, Products!A:E, 5, FALSE) * (1 - G4306))</f>
        <v>818.76</v>
      </c>
      <c r="J4306" s="10"/>
    </row>
    <row r="4307" spans="1:10" ht="15.75" customHeight="1" x14ac:dyDescent="0.3">
      <c r="A4307" s="5" t="s">
        <v>5174</v>
      </c>
      <c r="B4307" s="11">
        <v>45843</v>
      </c>
      <c r="C4307" s="5" t="s">
        <v>543</v>
      </c>
      <c r="D4307" s="5" t="s">
        <v>54</v>
      </c>
      <c r="E4307" s="5" t="s">
        <v>25</v>
      </c>
      <c r="F4307" s="5">
        <v>2</v>
      </c>
      <c r="G4307" s="19">
        <v>0</v>
      </c>
      <c r="H4307" s="5" t="s">
        <v>776</v>
      </c>
      <c r="I4307" s="10">
        <f>IF(OR(D4307="", F4307=""), "", F4307 * VLOOKUP(D4307, Products!A:E, 5, FALSE) * (1 - G4307))</f>
        <v>3707.54</v>
      </c>
      <c r="J4307" s="10"/>
    </row>
    <row r="4308" spans="1:10" ht="15.75" customHeight="1" x14ac:dyDescent="0.3">
      <c r="A4308" s="5" t="s">
        <v>5175</v>
      </c>
      <c r="B4308" s="11">
        <v>45540</v>
      </c>
      <c r="C4308" s="5" t="s">
        <v>826</v>
      </c>
      <c r="D4308" s="5" t="s">
        <v>82</v>
      </c>
      <c r="E4308" s="5" t="s">
        <v>33</v>
      </c>
      <c r="F4308" s="5">
        <v>2</v>
      </c>
      <c r="G4308" s="19">
        <v>0.05</v>
      </c>
      <c r="H4308" s="5" t="s">
        <v>637</v>
      </c>
      <c r="I4308" s="10">
        <f>IF(OR(D4308="", F4308=""), "", F4308 * VLOOKUP(D4308, Products!A:E, 5, FALSE) * (1 - G4308))</f>
        <v>2266.8709999999996</v>
      </c>
      <c r="J4308" s="10"/>
    </row>
    <row r="4309" spans="1:10" ht="15.75" customHeight="1" x14ac:dyDescent="0.3">
      <c r="A4309" s="5" t="s">
        <v>5176</v>
      </c>
      <c r="B4309" s="11">
        <v>45441</v>
      </c>
      <c r="C4309" s="5" t="s">
        <v>634</v>
      </c>
      <c r="D4309" s="5" t="s">
        <v>57</v>
      </c>
      <c r="E4309" s="5" t="s">
        <v>25</v>
      </c>
      <c r="F4309" s="5">
        <v>4</v>
      </c>
      <c r="G4309" s="19">
        <v>0.1</v>
      </c>
      <c r="H4309" s="5" t="s">
        <v>697</v>
      </c>
      <c r="I4309" s="10">
        <f>IF(OR(D4309="", F4309=""), "", F4309 * VLOOKUP(D4309, Products!A:E, 5, FALSE) * (1 - G4309))</f>
        <v>5026.3919999999998</v>
      </c>
      <c r="J4309" s="10"/>
    </row>
    <row r="4310" spans="1:10" ht="15.75" customHeight="1" x14ac:dyDescent="0.3">
      <c r="A4310" s="5" t="s">
        <v>5177</v>
      </c>
      <c r="B4310" s="11">
        <v>45663</v>
      </c>
      <c r="C4310" s="5" t="s">
        <v>744</v>
      </c>
      <c r="D4310" s="5" t="s">
        <v>89</v>
      </c>
      <c r="E4310" s="5" t="s">
        <v>29</v>
      </c>
      <c r="F4310" s="5">
        <v>5</v>
      </c>
      <c r="G4310" s="19">
        <v>0.1</v>
      </c>
      <c r="H4310" s="5" t="s">
        <v>454</v>
      </c>
      <c r="I4310" s="10">
        <f>IF(OR(D4310="", F4310=""), "", F4310 * VLOOKUP(D4310, Products!A:E, 5, FALSE) * (1 - G4310))</f>
        <v>5106.6000000000004</v>
      </c>
      <c r="J4310" s="10"/>
    </row>
    <row r="4311" spans="1:10" ht="15.75" customHeight="1" x14ac:dyDescent="0.3">
      <c r="A4311" s="5" t="s">
        <v>5178</v>
      </c>
      <c r="B4311" s="11">
        <v>45465</v>
      </c>
      <c r="C4311" s="5" t="s">
        <v>635</v>
      </c>
      <c r="D4311" s="5" t="s">
        <v>272</v>
      </c>
      <c r="E4311" s="5" t="s">
        <v>29</v>
      </c>
      <c r="F4311" s="5">
        <v>2</v>
      </c>
      <c r="G4311" s="19">
        <v>0.05</v>
      </c>
      <c r="H4311" s="5" t="s">
        <v>454</v>
      </c>
      <c r="I4311" s="10">
        <f>IF(OR(D4311="", F4311=""), "", F4311 * VLOOKUP(D4311, Products!A:E, 5, FALSE) * (1 - G4311))</f>
        <v>2214.2029999999995</v>
      </c>
      <c r="J4311" s="10"/>
    </row>
    <row r="4312" spans="1:10" ht="15.75" customHeight="1" x14ac:dyDescent="0.3">
      <c r="A4312" s="5" t="s">
        <v>5179</v>
      </c>
      <c r="B4312" s="11">
        <v>45843</v>
      </c>
      <c r="C4312" s="5" t="s">
        <v>326</v>
      </c>
      <c r="D4312" s="5" t="s">
        <v>256</v>
      </c>
      <c r="E4312" s="5" t="s">
        <v>29</v>
      </c>
      <c r="F4312" s="5">
        <v>2</v>
      </c>
      <c r="G4312" s="19">
        <v>0.1</v>
      </c>
      <c r="H4312" s="5" t="s">
        <v>776</v>
      </c>
      <c r="I4312" s="10">
        <f>IF(OR(D4312="", F4312=""), "", F4312 * VLOOKUP(D4312, Products!A:E, 5, FALSE) * (1 - G4312))</f>
        <v>2943.018</v>
      </c>
      <c r="J4312" s="10"/>
    </row>
    <row r="4313" spans="1:10" ht="15.75" customHeight="1" x14ac:dyDescent="0.3">
      <c r="A4313" s="5" t="s">
        <v>5180</v>
      </c>
      <c r="B4313" s="11">
        <v>45648</v>
      </c>
      <c r="C4313" s="5" t="s">
        <v>554</v>
      </c>
      <c r="D4313" s="5" t="s">
        <v>122</v>
      </c>
      <c r="E4313" s="5" t="s">
        <v>21</v>
      </c>
      <c r="F4313" s="5">
        <v>5</v>
      </c>
      <c r="G4313" s="19">
        <v>0.1</v>
      </c>
      <c r="H4313" s="5" t="s">
        <v>637</v>
      </c>
      <c r="I4313" s="10">
        <f>IF(OR(D4313="", F4313=""), "", F4313 * VLOOKUP(D4313, Products!A:E, 5, FALSE) * (1 - G4313))</f>
        <v>7933.14</v>
      </c>
      <c r="J4313" s="10"/>
    </row>
    <row r="4314" spans="1:10" ht="15.75" customHeight="1" x14ac:dyDescent="0.3">
      <c r="A4314" s="5" t="s">
        <v>5181</v>
      </c>
      <c r="B4314" s="11">
        <v>45408</v>
      </c>
      <c r="C4314" s="5" t="s">
        <v>522</v>
      </c>
      <c r="D4314" s="5" t="s">
        <v>168</v>
      </c>
      <c r="E4314" s="5" t="s">
        <v>37</v>
      </c>
      <c r="F4314" s="5">
        <v>1</v>
      </c>
      <c r="G4314" s="19">
        <v>0.15</v>
      </c>
      <c r="H4314" s="5" t="s">
        <v>776</v>
      </c>
      <c r="I4314" s="10">
        <f>IF(OR(D4314="", F4314=""), "", F4314 * VLOOKUP(D4314, Products!A:E, 5, FALSE) * (1 - G4314))</f>
        <v>863.39599999999996</v>
      </c>
      <c r="J4314" s="10"/>
    </row>
    <row r="4315" spans="1:10" ht="15.75" customHeight="1" x14ac:dyDescent="0.3">
      <c r="A4315" s="5" t="s">
        <v>5182</v>
      </c>
      <c r="B4315" s="11">
        <v>45295</v>
      </c>
      <c r="C4315" s="5" t="s">
        <v>165</v>
      </c>
      <c r="D4315" s="5" t="s">
        <v>67</v>
      </c>
      <c r="E4315" s="5" t="s">
        <v>29</v>
      </c>
      <c r="F4315" s="5">
        <v>1</v>
      </c>
      <c r="G4315" s="19">
        <v>0</v>
      </c>
      <c r="H4315" s="5" t="s">
        <v>454</v>
      </c>
      <c r="I4315" s="10">
        <f>IF(OR(D4315="", F4315=""), "", F4315 * VLOOKUP(D4315, Products!A:E, 5, FALSE) * (1 - G4315))</f>
        <v>109.78</v>
      </c>
      <c r="J4315" s="10"/>
    </row>
    <row r="4316" spans="1:10" ht="15.75" customHeight="1" x14ac:dyDescent="0.3">
      <c r="A4316" s="5" t="s">
        <v>5183</v>
      </c>
      <c r="B4316" s="11">
        <v>45279</v>
      </c>
      <c r="C4316" s="5" t="s">
        <v>462</v>
      </c>
      <c r="D4316" s="5" t="s">
        <v>188</v>
      </c>
      <c r="E4316" s="5" t="s">
        <v>37</v>
      </c>
      <c r="F4316" s="5">
        <v>1</v>
      </c>
      <c r="G4316" s="19">
        <v>0.1</v>
      </c>
      <c r="H4316" s="5" t="s">
        <v>637</v>
      </c>
      <c r="I4316" s="10">
        <f>IF(OR(D4316="", F4316=""), "", F4316 * VLOOKUP(D4316, Products!A:E, 5, FALSE) * (1 - G4316))</f>
        <v>1336.5450000000001</v>
      </c>
      <c r="J4316" s="10"/>
    </row>
    <row r="4317" spans="1:10" ht="15.75" customHeight="1" x14ac:dyDescent="0.3">
      <c r="A4317" s="5" t="s">
        <v>5184</v>
      </c>
      <c r="B4317" s="11">
        <v>45228</v>
      </c>
      <c r="C4317" s="5" t="s">
        <v>600</v>
      </c>
      <c r="D4317" s="5" t="s">
        <v>249</v>
      </c>
      <c r="E4317" s="5" t="s">
        <v>29</v>
      </c>
      <c r="F4317" s="5">
        <v>3</v>
      </c>
      <c r="G4317" s="19">
        <v>0.15</v>
      </c>
      <c r="H4317" s="5" t="s">
        <v>697</v>
      </c>
      <c r="I4317" s="10">
        <f>IF(OR(D4317="", F4317=""), "", F4317 * VLOOKUP(D4317, Products!A:E, 5, FALSE) * (1 - G4317))</f>
        <v>4451.3054999999995</v>
      </c>
      <c r="J4317" s="10"/>
    </row>
    <row r="4318" spans="1:10" ht="15.75" customHeight="1" x14ac:dyDescent="0.3">
      <c r="A4318" s="5" t="s">
        <v>5185</v>
      </c>
      <c r="B4318" s="11">
        <v>45379</v>
      </c>
      <c r="C4318" s="5" t="s">
        <v>865</v>
      </c>
      <c r="D4318" s="5" t="s">
        <v>67</v>
      </c>
      <c r="E4318" s="5" t="s">
        <v>29</v>
      </c>
      <c r="F4318" s="5">
        <v>2</v>
      </c>
      <c r="G4318" s="19">
        <v>0.1</v>
      </c>
      <c r="H4318" s="5" t="s">
        <v>697</v>
      </c>
      <c r="I4318" s="10">
        <f>IF(OR(D4318="", F4318=""), "", F4318 * VLOOKUP(D4318, Products!A:E, 5, FALSE) * (1 - G4318))</f>
        <v>197.60400000000001</v>
      </c>
      <c r="J4318" s="10"/>
    </row>
    <row r="4319" spans="1:10" ht="15.75" customHeight="1" x14ac:dyDescent="0.3">
      <c r="A4319" s="5" t="s">
        <v>5186</v>
      </c>
      <c r="B4319" s="11">
        <v>45200</v>
      </c>
      <c r="C4319" s="5" t="s">
        <v>455</v>
      </c>
      <c r="D4319" s="5" t="s">
        <v>280</v>
      </c>
      <c r="E4319" s="5" t="s">
        <v>33</v>
      </c>
      <c r="F4319" s="5">
        <v>5</v>
      </c>
      <c r="G4319" s="19">
        <v>0.1</v>
      </c>
      <c r="H4319" s="5" t="s">
        <v>776</v>
      </c>
      <c r="I4319" s="10">
        <f>IF(OR(D4319="", F4319=""), "", F4319 * VLOOKUP(D4319, Products!A:E, 5, FALSE) * (1 - G4319))</f>
        <v>5473.62</v>
      </c>
      <c r="J4319" s="10"/>
    </row>
    <row r="4320" spans="1:10" ht="15.75" customHeight="1" x14ac:dyDescent="0.3">
      <c r="A4320" s="5" t="s">
        <v>5187</v>
      </c>
      <c r="B4320" s="11">
        <v>45636</v>
      </c>
      <c r="C4320" s="5" t="s">
        <v>608</v>
      </c>
      <c r="D4320" s="5" t="s">
        <v>221</v>
      </c>
      <c r="E4320" s="5" t="s">
        <v>21</v>
      </c>
      <c r="F4320" s="5">
        <v>3</v>
      </c>
      <c r="G4320" s="19">
        <v>0.1</v>
      </c>
      <c r="H4320" s="5" t="s">
        <v>637</v>
      </c>
      <c r="I4320" s="10">
        <f>IF(OR(D4320="", F4320=""), "", F4320 * VLOOKUP(D4320, Products!A:E, 5, FALSE) * (1 - G4320))</f>
        <v>4218.5609999999997</v>
      </c>
      <c r="J4320" s="10"/>
    </row>
    <row r="4321" spans="1:10" ht="15.75" customHeight="1" x14ac:dyDescent="0.3">
      <c r="A4321" s="5" t="s">
        <v>5188</v>
      </c>
      <c r="B4321" s="11">
        <v>45444</v>
      </c>
      <c r="C4321" s="5" t="s">
        <v>357</v>
      </c>
      <c r="D4321" s="5" t="s">
        <v>74</v>
      </c>
      <c r="E4321" s="5" t="s">
        <v>29</v>
      </c>
      <c r="F4321" s="5">
        <v>3</v>
      </c>
      <c r="G4321" s="19">
        <v>0.05</v>
      </c>
      <c r="H4321" s="5" t="s">
        <v>776</v>
      </c>
      <c r="I4321" s="10">
        <f>IF(OR(D4321="", F4321=""), "", F4321 * VLOOKUP(D4321, Products!A:E, 5, FALSE) * (1 - G4321))</f>
        <v>3403.2419999999997</v>
      </c>
      <c r="J4321" s="10"/>
    </row>
    <row r="4322" spans="1:10" ht="15.75" customHeight="1" x14ac:dyDescent="0.3">
      <c r="A4322" s="5" t="s">
        <v>5189</v>
      </c>
      <c r="B4322" s="11">
        <v>45628</v>
      </c>
      <c r="C4322" s="5" t="s">
        <v>488</v>
      </c>
      <c r="D4322" s="5" t="s">
        <v>206</v>
      </c>
      <c r="E4322" s="5" t="s">
        <v>25</v>
      </c>
      <c r="F4322" s="5">
        <v>4</v>
      </c>
      <c r="G4322" s="19">
        <v>0</v>
      </c>
      <c r="H4322" s="5" t="s">
        <v>697</v>
      </c>
      <c r="I4322" s="10">
        <f>IF(OR(D4322="", F4322=""), "", F4322 * VLOOKUP(D4322, Products!A:E, 5, FALSE) * (1 - G4322))</f>
        <v>1218.8399999999999</v>
      </c>
      <c r="J4322" s="10"/>
    </row>
    <row r="4323" spans="1:10" ht="15.75" customHeight="1" x14ac:dyDescent="0.3">
      <c r="A4323" s="5" t="s">
        <v>5190</v>
      </c>
      <c r="B4323" s="11">
        <v>45217</v>
      </c>
      <c r="C4323" s="5" t="s">
        <v>350</v>
      </c>
      <c r="D4323" s="5" t="s">
        <v>269</v>
      </c>
      <c r="E4323" s="5" t="s">
        <v>21</v>
      </c>
      <c r="F4323" s="5">
        <v>5</v>
      </c>
      <c r="G4323" s="19">
        <v>0.05</v>
      </c>
      <c r="H4323" s="5" t="s">
        <v>637</v>
      </c>
      <c r="I4323" s="10">
        <f>IF(OR(D4323="", F4323=""), "", F4323 * VLOOKUP(D4323, Products!A:E, 5, FALSE) * (1 - G4323))</f>
        <v>8925.6299999999992</v>
      </c>
      <c r="J4323" s="10"/>
    </row>
    <row r="4324" spans="1:10" ht="15.75" customHeight="1" x14ac:dyDescent="0.3">
      <c r="A4324" s="5" t="s">
        <v>5191</v>
      </c>
      <c r="B4324" s="11">
        <v>45732</v>
      </c>
      <c r="C4324" s="5" t="s">
        <v>203</v>
      </c>
      <c r="D4324" s="5" t="s">
        <v>221</v>
      </c>
      <c r="E4324" s="5" t="s">
        <v>21</v>
      </c>
      <c r="F4324" s="5">
        <v>2</v>
      </c>
      <c r="G4324" s="19">
        <v>0.05</v>
      </c>
      <c r="H4324" s="5" t="s">
        <v>697</v>
      </c>
      <c r="I4324" s="10">
        <f>IF(OR(D4324="", F4324=""), "", F4324 * VLOOKUP(D4324, Products!A:E, 5, FALSE) * (1 - G4324))</f>
        <v>2968.6170000000002</v>
      </c>
      <c r="J4324" s="10"/>
    </row>
    <row r="4325" spans="1:10" ht="15.75" customHeight="1" x14ac:dyDescent="0.3">
      <c r="A4325" s="5" t="s">
        <v>5192</v>
      </c>
      <c r="B4325" s="11">
        <v>45311</v>
      </c>
      <c r="C4325" s="5" t="s">
        <v>575</v>
      </c>
      <c r="D4325" s="5" t="s">
        <v>269</v>
      </c>
      <c r="E4325" s="5" t="s">
        <v>21</v>
      </c>
      <c r="F4325" s="5">
        <v>5</v>
      </c>
      <c r="G4325" s="19">
        <v>0.15</v>
      </c>
      <c r="H4325" s="5" t="s">
        <v>697</v>
      </c>
      <c r="I4325" s="10">
        <f>IF(OR(D4325="", F4325=""), "", F4325 * VLOOKUP(D4325, Products!A:E, 5, FALSE) * (1 - G4325))</f>
        <v>7986.0899999999992</v>
      </c>
      <c r="J4325" s="10"/>
    </row>
    <row r="4326" spans="1:10" ht="15.75" customHeight="1" x14ac:dyDescent="0.3">
      <c r="A4326" s="5" t="s">
        <v>5193</v>
      </c>
      <c r="B4326" s="11">
        <v>45280</v>
      </c>
      <c r="C4326" s="5" t="s">
        <v>691</v>
      </c>
      <c r="D4326" s="5" t="s">
        <v>180</v>
      </c>
      <c r="E4326" s="5" t="s">
        <v>21</v>
      </c>
      <c r="F4326" s="5">
        <v>3</v>
      </c>
      <c r="G4326" s="19">
        <v>0.05</v>
      </c>
      <c r="H4326" s="5" t="s">
        <v>637</v>
      </c>
      <c r="I4326" s="10">
        <f>IF(OR(D4326="", F4326=""), "", F4326 * VLOOKUP(D4326, Products!A:E, 5, FALSE) * (1 - G4326))</f>
        <v>1920.2729999999999</v>
      </c>
      <c r="J4326" s="10"/>
    </row>
    <row r="4327" spans="1:10" ht="15.75" customHeight="1" x14ac:dyDescent="0.3">
      <c r="A4327" s="5" t="s">
        <v>5194</v>
      </c>
      <c r="B4327" s="11">
        <v>45302</v>
      </c>
      <c r="C4327" s="5" t="s">
        <v>680</v>
      </c>
      <c r="D4327" s="5" t="s">
        <v>61</v>
      </c>
      <c r="E4327" s="5" t="s">
        <v>33</v>
      </c>
      <c r="F4327" s="5">
        <v>2</v>
      </c>
      <c r="G4327" s="19">
        <v>0</v>
      </c>
      <c r="H4327" s="5" t="s">
        <v>454</v>
      </c>
      <c r="I4327" s="10">
        <f>IF(OR(D4327="", F4327=""), "", F4327 * VLOOKUP(D4327, Products!A:E, 5, FALSE) * (1 - G4327))</f>
        <v>636.1</v>
      </c>
      <c r="J4327" s="10"/>
    </row>
    <row r="4328" spans="1:10" ht="15.75" customHeight="1" x14ac:dyDescent="0.3">
      <c r="A4328" s="5" t="s">
        <v>5195</v>
      </c>
      <c r="B4328" s="11">
        <v>45187</v>
      </c>
      <c r="C4328" s="5" t="s">
        <v>691</v>
      </c>
      <c r="D4328" s="5" t="s">
        <v>67</v>
      </c>
      <c r="E4328" s="5" t="s">
        <v>33</v>
      </c>
      <c r="F4328" s="5">
        <v>2</v>
      </c>
      <c r="G4328" s="19">
        <v>0.1</v>
      </c>
      <c r="H4328" s="5" t="s">
        <v>776</v>
      </c>
      <c r="I4328" s="10">
        <f>IF(OR(D4328="", F4328=""), "", F4328 * VLOOKUP(D4328, Products!A:E, 5, FALSE) * (1 - G4328))</f>
        <v>197.60400000000001</v>
      </c>
      <c r="J4328" s="10"/>
    </row>
    <row r="4329" spans="1:10" ht="15.75" customHeight="1" x14ac:dyDescent="0.3">
      <c r="A4329" s="5" t="s">
        <v>5196</v>
      </c>
      <c r="B4329" s="11">
        <v>45495</v>
      </c>
      <c r="C4329" s="5" t="s">
        <v>470</v>
      </c>
      <c r="D4329" s="5" t="s">
        <v>243</v>
      </c>
      <c r="E4329" s="5" t="s">
        <v>25</v>
      </c>
      <c r="F4329" s="5">
        <v>1</v>
      </c>
      <c r="G4329" s="19">
        <v>0.15</v>
      </c>
      <c r="H4329" s="5" t="s">
        <v>454</v>
      </c>
      <c r="I4329" s="10">
        <f>IF(OR(D4329="", F4329=""), "", F4329 * VLOOKUP(D4329, Products!A:E, 5, FALSE) * (1 - G4329))</f>
        <v>459.79900000000004</v>
      </c>
      <c r="J4329" s="10"/>
    </row>
    <row r="4330" spans="1:10" ht="15.75" customHeight="1" x14ac:dyDescent="0.3">
      <c r="A4330" s="5" t="s">
        <v>5197</v>
      </c>
      <c r="B4330" s="11">
        <v>45417</v>
      </c>
      <c r="C4330" s="5" t="s">
        <v>557</v>
      </c>
      <c r="D4330" s="5" t="s">
        <v>54</v>
      </c>
      <c r="E4330" s="5" t="s">
        <v>29</v>
      </c>
      <c r="F4330" s="5">
        <v>2</v>
      </c>
      <c r="G4330" s="19">
        <v>0.1</v>
      </c>
      <c r="H4330" s="5" t="s">
        <v>697</v>
      </c>
      <c r="I4330" s="10">
        <f>IF(OR(D4330="", F4330=""), "", F4330 * VLOOKUP(D4330, Products!A:E, 5, FALSE) * (1 - G4330))</f>
        <v>3336.7860000000001</v>
      </c>
      <c r="J4330" s="10"/>
    </row>
    <row r="4331" spans="1:10" ht="15.75" customHeight="1" x14ac:dyDescent="0.3">
      <c r="A4331" s="5" t="s">
        <v>5198</v>
      </c>
      <c r="B4331" s="11">
        <v>45628</v>
      </c>
      <c r="C4331" s="5" t="s">
        <v>624</v>
      </c>
      <c r="D4331" s="5" t="s">
        <v>276</v>
      </c>
      <c r="E4331" s="5" t="s">
        <v>37</v>
      </c>
      <c r="F4331" s="5">
        <v>1</v>
      </c>
      <c r="G4331" s="19">
        <v>0</v>
      </c>
      <c r="H4331" s="5" t="s">
        <v>776</v>
      </c>
      <c r="I4331" s="10">
        <f>IF(OR(D4331="", F4331=""), "", F4331 * VLOOKUP(D4331, Products!A:E, 5, FALSE) * (1 - G4331))</f>
        <v>1197.18</v>
      </c>
      <c r="J4331" s="10"/>
    </row>
    <row r="4332" spans="1:10" ht="15.75" customHeight="1" x14ac:dyDescent="0.3">
      <c r="A4332" s="5" t="s">
        <v>5199</v>
      </c>
      <c r="B4332" s="11">
        <v>45518</v>
      </c>
      <c r="C4332" s="5" t="s">
        <v>511</v>
      </c>
      <c r="D4332" s="5" t="s">
        <v>109</v>
      </c>
      <c r="E4332" s="5" t="s">
        <v>33</v>
      </c>
      <c r="F4332" s="5">
        <v>4</v>
      </c>
      <c r="G4332" s="19">
        <v>0.05</v>
      </c>
      <c r="H4332" s="5" t="s">
        <v>454</v>
      </c>
      <c r="I4332" s="10">
        <f>IF(OR(D4332="", F4332=""), "", F4332 * VLOOKUP(D4332, Products!A:E, 5, FALSE) * (1 - G4332))</f>
        <v>7063.25</v>
      </c>
      <c r="J4332" s="10"/>
    </row>
    <row r="4333" spans="1:10" ht="15.75" customHeight="1" x14ac:dyDescent="0.3">
      <c r="A4333" s="5" t="s">
        <v>5200</v>
      </c>
      <c r="B4333" s="11">
        <v>45618</v>
      </c>
      <c r="C4333" s="5" t="s">
        <v>437</v>
      </c>
      <c r="D4333" s="5" t="s">
        <v>122</v>
      </c>
      <c r="E4333" s="5" t="s">
        <v>33</v>
      </c>
      <c r="F4333" s="5">
        <v>4</v>
      </c>
      <c r="G4333" s="19">
        <v>0</v>
      </c>
      <c r="H4333" s="5" t="s">
        <v>637</v>
      </c>
      <c r="I4333" s="10">
        <f>IF(OR(D4333="", F4333=""), "", F4333 * VLOOKUP(D4333, Products!A:E, 5, FALSE) * (1 - G4333))</f>
        <v>7051.68</v>
      </c>
      <c r="J4333" s="10"/>
    </row>
    <row r="4334" spans="1:10" ht="15.75" customHeight="1" x14ac:dyDescent="0.3">
      <c r="A4334" s="5" t="s">
        <v>5201</v>
      </c>
      <c r="B4334" s="11">
        <v>45477</v>
      </c>
      <c r="C4334" s="5" t="s">
        <v>590</v>
      </c>
      <c r="D4334" s="5" t="s">
        <v>82</v>
      </c>
      <c r="E4334" s="5" t="s">
        <v>33</v>
      </c>
      <c r="F4334" s="5">
        <v>2</v>
      </c>
      <c r="G4334" s="19">
        <v>0.15</v>
      </c>
      <c r="H4334" s="5" t="s">
        <v>776</v>
      </c>
      <c r="I4334" s="10">
        <f>IF(OR(D4334="", F4334=""), "", F4334 * VLOOKUP(D4334, Products!A:E, 5, FALSE) * (1 - G4334))</f>
        <v>2028.2529999999997</v>
      </c>
      <c r="J4334" s="10"/>
    </row>
    <row r="4335" spans="1:10" ht="15.75" customHeight="1" x14ac:dyDescent="0.3">
      <c r="A4335" s="5" t="s">
        <v>5202</v>
      </c>
      <c r="B4335" s="11">
        <v>45362</v>
      </c>
      <c r="C4335" s="5" t="s">
        <v>466</v>
      </c>
      <c r="D4335" s="5" t="s">
        <v>74</v>
      </c>
      <c r="E4335" s="5" t="s">
        <v>25</v>
      </c>
      <c r="F4335" s="5">
        <v>2</v>
      </c>
      <c r="G4335" s="19">
        <v>0.15</v>
      </c>
      <c r="H4335" s="5" t="s">
        <v>697</v>
      </c>
      <c r="I4335" s="10">
        <f>IF(OR(D4335="", F4335=""), "", F4335 * VLOOKUP(D4335, Products!A:E, 5, FALSE) * (1 - G4335))</f>
        <v>2030.0039999999997</v>
      </c>
      <c r="J4335" s="10"/>
    </row>
    <row r="4336" spans="1:10" ht="15.75" customHeight="1" x14ac:dyDescent="0.3">
      <c r="A4336" s="5" t="s">
        <v>5203</v>
      </c>
      <c r="B4336" s="11">
        <v>45804</v>
      </c>
      <c r="C4336" s="5" t="s">
        <v>718</v>
      </c>
      <c r="D4336" s="5" t="s">
        <v>256</v>
      </c>
      <c r="E4336" s="5" t="s">
        <v>37</v>
      </c>
      <c r="F4336" s="5">
        <v>5</v>
      </c>
      <c r="G4336" s="19">
        <v>0.1</v>
      </c>
      <c r="H4336" s="5" t="s">
        <v>637</v>
      </c>
      <c r="I4336" s="10">
        <f>IF(OR(D4336="", F4336=""), "", F4336 * VLOOKUP(D4336, Products!A:E, 5, FALSE) * (1 - G4336))</f>
        <v>7357.5450000000001</v>
      </c>
      <c r="J4336" s="10"/>
    </row>
    <row r="4337" spans="1:10" ht="15.75" customHeight="1" x14ac:dyDescent="0.3">
      <c r="A4337" s="5" t="s">
        <v>5204</v>
      </c>
      <c r="B4337" s="11">
        <v>45898</v>
      </c>
      <c r="C4337" s="5" t="s">
        <v>752</v>
      </c>
      <c r="D4337" s="5" t="s">
        <v>153</v>
      </c>
      <c r="E4337" s="5" t="s">
        <v>33</v>
      </c>
      <c r="F4337" s="5">
        <v>3</v>
      </c>
      <c r="G4337" s="19">
        <v>0.1</v>
      </c>
      <c r="H4337" s="5" t="s">
        <v>776</v>
      </c>
      <c r="I4337" s="10">
        <f>IF(OR(D4337="", F4337=""), "", F4337 * VLOOKUP(D4337, Products!A:E, 5, FALSE) * (1 - G4337))</f>
        <v>4016.0070000000005</v>
      </c>
      <c r="J4337" s="10"/>
    </row>
    <row r="4338" spans="1:10" ht="15.75" customHeight="1" x14ac:dyDescent="0.3">
      <c r="A4338" s="5" t="s">
        <v>5205</v>
      </c>
      <c r="B4338" s="11">
        <v>45338</v>
      </c>
      <c r="C4338" s="5" t="s">
        <v>736</v>
      </c>
      <c r="D4338" s="5" t="s">
        <v>267</v>
      </c>
      <c r="E4338" s="5" t="s">
        <v>37</v>
      </c>
      <c r="F4338" s="5">
        <v>5</v>
      </c>
      <c r="G4338" s="19">
        <v>0</v>
      </c>
      <c r="H4338" s="5" t="s">
        <v>776</v>
      </c>
      <c r="I4338" s="10">
        <f>IF(OR(D4338="", F4338=""), "", F4338 * VLOOKUP(D4338, Products!A:E, 5, FALSE) * (1 - G4338))</f>
        <v>6432.75</v>
      </c>
      <c r="J4338" s="10"/>
    </row>
    <row r="4339" spans="1:10" ht="15.75" customHeight="1" x14ac:dyDescent="0.3">
      <c r="A4339" s="5" t="s">
        <v>5206</v>
      </c>
      <c r="B4339" s="11">
        <v>45437</v>
      </c>
      <c r="C4339" s="5" t="s">
        <v>245</v>
      </c>
      <c r="D4339" s="5" t="s">
        <v>67</v>
      </c>
      <c r="E4339" s="5" t="s">
        <v>21</v>
      </c>
      <c r="F4339" s="5">
        <v>5</v>
      </c>
      <c r="G4339" s="19">
        <v>0.1</v>
      </c>
      <c r="H4339" s="5" t="s">
        <v>637</v>
      </c>
      <c r="I4339" s="10">
        <f>IF(OR(D4339="", F4339=""), "", F4339 * VLOOKUP(D4339, Products!A:E, 5, FALSE) * (1 - G4339))</f>
        <v>494.01</v>
      </c>
      <c r="J4339" s="10"/>
    </row>
    <row r="4340" spans="1:10" ht="15.75" customHeight="1" x14ac:dyDescent="0.3">
      <c r="A4340" s="5" t="s">
        <v>5207</v>
      </c>
      <c r="B4340" s="11">
        <v>45600</v>
      </c>
      <c r="C4340" s="5" t="s">
        <v>387</v>
      </c>
      <c r="D4340" s="5" t="s">
        <v>119</v>
      </c>
      <c r="E4340" s="5" t="s">
        <v>37</v>
      </c>
      <c r="F4340" s="5">
        <v>1</v>
      </c>
      <c r="G4340" s="19">
        <v>0.05</v>
      </c>
      <c r="H4340" s="5" t="s">
        <v>454</v>
      </c>
      <c r="I4340" s="10">
        <f>IF(OR(D4340="", F4340=""), "", F4340 * VLOOKUP(D4340, Products!A:E, 5, FALSE) * (1 - G4340))</f>
        <v>1025.8955000000001</v>
      </c>
      <c r="J4340" s="10"/>
    </row>
    <row r="4341" spans="1:10" ht="15.75" customHeight="1" x14ac:dyDescent="0.3">
      <c r="A4341" s="5" t="s">
        <v>5208</v>
      </c>
      <c r="B4341" s="11">
        <v>45655</v>
      </c>
      <c r="C4341" s="5" t="s">
        <v>317</v>
      </c>
      <c r="D4341" s="5" t="s">
        <v>280</v>
      </c>
      <c r="E4341" s="5" t="s">
        <v>21</v>
      </c>
      <c r="F4341" s="5">
        <v>1</v>
      </c>
      <c r="G4341" s="19">
        <v>0.15</v>
      </c>
      <c r="H4341" s="5" t="s">
        <v>454</v>
      </c>
      <c r="I4341" s="10">
        <f>IF(OR(D4341="", F4341=""), "", F4341 * VLOOKUP(D4341, Products!A:E, 5, FALSE) * (1 - G4341))</f>
        <v>1033.9059999999999</v>
      </c>
      <c r="J4341" s="10"/>
    </row>
    <row r="4342" spans="1:10" ht="15.75" customHeight="1" x14ac:dyDescent="0.3">
      <c r="A4342" s="5" t="s">
        <v>5209</v>
      </c>
      <c r="B4342" s="11">
        <v>45413</v>
      </c>
      <c r="C4342" s="5" t="s">
        <v>443</v>
      </c>
      <c r="D4342" s="5" t="s">
        <v>65</v>
      </c>
      <c r="E4342" s="5" t="s">
        <v>25</v>
      </c>
      <c r="F4342" s="5">
        <v>3</v>
      </c>
      <c r="G4342" s="19">
        <v>0.15</v>
      </c>
      <c r="H4342" s="5" t="s">
        <v>454</v>
      </c>
      <c r="I4342" s="10">
        <f>IF(OR(D4342="", F4342=""), "", F4342 * VLOOKUP(D4342, Products!A:E, 5, FALSE) * (1 - G4342))</f>
        <v>3759.0059999999994</v>
      </c>
      <c r="J4342" s="10"/>
    </row>
    <row r="4343" spans="1:10" ht="15.75" customHeight="1" x14ac:dyDescent="0.3">
      <c r="A4343" s="5" t="s">
        <v>5210</v>
      </c>
      <c r="B4343" s="11">
        <v>45598</v>
      </c>
      <c r="C4343" s="5" t="s">
        <v>842</v>
      </c>
      <c r="D4343" s="5" t="s">
        <v>82</v>
      </c>
      <c r="E4343" s="5" t="s">
        <v>37</v>
      </c>
      <c r="F4343" s="5">
        <v>5</v>
      </c>
      <c r="G4343" s="19">
        <v>0.1</v>
      </c>
      <c r="H4343" s="5" t="s">
        <v>637</v>
      </c>
      <c r="I4343" s="10">
        <f>IF(OR(D4343="", F4343=""), "", F4343 * VLOOKUP(D4343, Products!A:E, 5, FALSE) * (1 - G4343))</f>
        <v>5368.9049999999997</v>
      </c>
      <c r="J4343" s="10"/>
    </row>
    <row r="4344" spans="1:10" ht="15.75" customHeight="1" x14ac:dyDescent="0.3">
      <c r="A4344" s="5" t="s">
        <v>5211</v>
      </c>
      <c r="B4344" s="11">
        <v>45500</v>
      </c>
      <c r="C4344" s="5" t="s">
        <v>715</v>
      </c>
      <c r="D4344" s="5" t="s">
        <v>82</v>
      </c>
      <c r="E4344" s="5" t="s">
        <v>29</v>
      </c>
      <c r="F4344" s="5">
        <v>4</v>
      </c>
      <c r="G4344" s="19">
        <v>0.05</v>
      </c>
      <c r="H4344" s="5" t="s">
        <v>454</v>
      </c>
      <c r="I4344" s="10">
        <f>IF(OR(D4344="", F4344=""), "", F4344 * VLOOKUP(D4344, Products!A:E, 5, FALSE) * (1 - G4344))</f>
        <v>4533.7419999999993</v>
      </c>
      <c r="J4344" s="10"/>
    </row>
    <row r="4345" spans="1:10" ht="15.75" customHeight="1" x14ac:dyDescent="0.3">
      <c r="A4345" s="5" t="s">
        <v>5212</v>
      </c>
      <c r="B4345" s="11">
        <v>45748</v>
      </c>
      <c r="C4345" s="5" t="s">
        <v>876</v>
      </c>
      <c r="D4345" s="5" t="s">
        <v>50</v>
      </c>
      <c r="E4345" s="5" t="s">
        <v>33</v>
      </c>
      <c r="F4345" s="5">
        <v>3</v>
      </c>
      <c r="G4345" s="19">
        <v>0.1</v>
      </c>
      <c r="H4345" s="5" t="s">
        <v>697</v>
      </c>
      <c r="I4345" s="10">
        <f>IF(OR(D4345="", F4345=""), "", F4345 * VLOOKUP(D4345, Products!A:E, 5, FALSE) * (1 - G4345))</f>
        <v>911.601</v>
      </c>
      <c r="J4345" s="10"/>
    </row>
    <row r="4346" spans="1:10" ht="15.75" customHeight="1" x14ac:dyDescent="0.3">
      <c r="A4346" s="5" t="s">
        <v>5213</v>
      </c>
      <c r="B4346" s="11">
        <v>45424</v>
      </c>
      <c r="C4346" s="5" t="s">
        <v>657</v>
      </c>
      <c r="D4346" s="5" t="s">
        <v>269</v>
      </c>
      <c r="E4346" s="5" t="s">
        <v>21</v>
      </c>
      <c r="F4346" s="5">
        <v>5</v>
      </c>
      <c r="G4346" s="19">
        <v>0</v>
      </c>
      <c r="H4346" s="5" t="s">
        <v>697</v>
      </c>
      <c r="I4346" s="10">
        <f>IF(OR(D4346="", F4346=""), "", F4346 * VLOOKUP(D4346, Products!A:E, 5, FALSE) * (1 - G4346))</f>
        <v>9395.4</v>
      </c>
      <c r="J4346" s="10"/>
    </row>
    <row r="4347" spans="1:10" ht="15.75" customHeight="1" x14ac:dyDescent="0.3">
      <c r="A4347" s="5" t="s">
        <v>5214</v>
      </c>
      <c r="B4347" s="11">
        <v>45756</v>
      </c>
      <c r="C4347" s="5" t="s">
        <v>296</v>
      </c>
      <c r="D4347" s="5" t="s">
        <v>61</v>
      </c>
      <c r="E4347" s="5" t="s">
        <v>21</v>
      </c>
      <c r="F4347" s="5">
        <v>4</v>
      </c>
      <c r="G4347" s="19">
        <v>0.15</v>
      </c>
      <c r="H4347" s="5" t="s">
        <v>776</v>
      </c>
      <c r="I4347" s="10">
        <f>IF(OR(D4347="", F4347=""), "", F4347 * VLOOKUP(D4347, Products!A:E, 5, FALSE) * (1 - G4347))</f>
        <v>1081.3700000000001</v>
      </c>
      <c r="J4347" s="10"/>
    </row>
    <row r="4348" spans="1:10" ht="15.75" customHeight="1" x14ac:dyDescent="0.3">
      <c r="A4348" s="5" t="s">
        <v>5215</v>
      </c>
      <c r="B4348" s="11">
        <v>45696</v>
      </c>
      <c r="C4348" s="5" t="s">
        <v>292</v>
      </c>
      <c r="D4348" s="5" t="s">
        <v>122</v>
      </c>
      <c r="E4348" s="5" t="s">
        <v>29</v>
      </c>
      <c r="F4348" s="5">
        <v>5</v>
      </c>
      <c r="G4348" s="19">
        <v>0.05</v>
      </c>
      <c r="H4348" s="5" t="s">
        <v>637</v>
      </c>
      <c r="I4348" s="10">
        <f>IF(OR(D4348="", F4348=""), "", F4348 * VLOOKUP(D4348, Products!A:E, 5, FALSE) * (1 - G4348))</f>
        <v>8373.8700000000008</v>
      </c>
      <c r="J4348" s="10"/>
    </row>
    <row r="4349" spans="1:10" ht="15.75" customHeight="1" x14ac:dyDescent="0.3">
      <c r="A4349" s="5" t="s">
        <v>5216</v>
      </c>
      <c r="B4349" s="11">
        <v>45383</v>
      </c>
      <c r="C4349" s="5" t="s">
        <v>197</v>
      </c>
      <c r="D4349" s="5" t="s">
        <v>162</v>
      </c>
      <c r="E4349" s="5" t="s">
        <v>33</v>
      </c>
      <c r="F4349" s="5">
        <v>1</v>
      </c>
      <c r="G4349" s="19">
        <v>0.1</v>
      </c>
      <c r="H4349" s="5" t="s">
        <v>454</v>
      </c>
      <c r="I4349" s="10">
        <f>IF(OR(D4349="", F4349=""), "", F4349 * VLOOKUP(D4349, Products!A:E, 5, FALSE) * (1 - G4349))</f>
        <v>386.23500000000001</v>
      </c>
      <c r="J4349" s="10"/>
    </row>
    <row r="4350" spans="1:10" ht="15.75" customHeight="1" x14ac:dyDescent="0.3">
      <c r="A4350" s="5" t="s">
        <v>5217</v>
      </c>
      <c r="B4350" s="11">
        <v>45223</v>
      </c>
      <c r="C4350" s="5" t="s">
        <v>420</v>
      </c>
      <c r="D4350" s="5" t="s">
        <v>119</v>
      </c>
      <c r="E4350" s="5" t="s">
        <v>29</v>
      </c>
      <c r="F4350" s="5">
        <v>1</v>
      </c>
      <c r="G4350" s="19">
        <v>0.1</v>
      </c>
      <c r="H4350" s="5" t="s">
        <v>697</v>
      </c>
      <c r="I4350" s="10">
        <f>IF(OR(D4350="", F4350=""), "", F4350 * VLOOKUP(D4350, Products!A:E, 5, FALSE) * (1 - G4350))</f>
        <v>971.90100000000007</v>
      </c>
      <c r="J4350" s="10"/>
    </row>
    <row r="4351" spans="1:10" ht="15.75" customHeight="1" x14ac:dyDescent="0.3">
      <c r="A4351" s="5" t="s">
        <v>5218</v>
      </c>
      <c r="B4351" s="11">
        <v>45186</v>
      </c>
      <c r="C4351" s="5" t="s">
        <v>571</v>
      </c>
      <c r="D4351" s="5" t="s">
        <v>267</v>
      </c>
      <c r="E4351" s="5" t="s">
        <v>33</v>
      </c>
      <c r="F4351" s="5">
        <v>2</v>
      </c>
      <c r="G4351" s="19">
        <v>0.15</v>
      </c>
      <c r="H4351" s="5" t="s">
        <v>776</v>
      </c>
      <c r="I4351" s="10">
        <f>IF(OR(D4351="", F4351=""), "", F4351 * VLOOKUP(D4351, Products!A:E, 5, FALSE) * (1 - G4351))</f>
        <v>2187.1349999999998</v>
      </c>
      <c r="J4351" s="10"/>
    </row>
    <row r="4352" spans="1:10" ht="15.75" customHeight="1" x14ac:dyDescent="0.3">
      <c r="A4352" s="5" t="s">
        <v>5219</v>
      </c>
      <c r="B4352" s="11">
        <v>45836</v>
      </c>
      <c r="C4352" s="5" t="s">
        <v>203</v>
      </c>
      <c r="D4352" s="5" t="s">
        <v>89</v>
      </c>
      <c r="E4352" s="5" t="s">
        <v>25</v>
      </c>
      <c r="F4352" s="5">
        <v>2</v>
      </c>
      <c r="G4352" s="19">
        <v>0</v>
      </c>
      <c r="H4352" s="5" t="s">
        <v>697</v>
      </c>
      <c r="I4352" s="10">
        <f>IF(OR(D4352="", F4352=""), "", F4352 * VLOOKUP(D4352, Products!A:E, 5, FALSE) * (1 - G4352))</f>
        <v>2269.6</v>
      </c>
      <c r="J4352" s="10"/>
    </row>
    <row r="4353" spans="1:10" ht="15.75" customHeight="1" x14ac:dyDescent="0.3">
      <c r="A4353" s="5" t="s">
        <v>5220</v>
      </c>
      <c r="B4353" s="11">
        <v>45417</v>
      </c>
      <c r="C4353" s="5" t="s">
        <v>669</v>
      </c>
      <c r="D4353" s="5" t="s">
        <v>50</v>
      </c>
      <c r="E4353" s="5" t="s">
        <v>37</v>
      </c>
      <c r="F4353" s="5">
        <v>3</v>
      </c>
      <c r="G4353" s="19">
        <v>0.15</v>
      </c>
      <c r="H4353" s="5" t="s">
        <v>776</v>
      </c>
      <c r="I4353" s="10">
        <f>IF(OR(D4353="", F4353=""), "", F4353 * VLOOKUP(D4353, Products!A:E, 5, FALSE) * (1 - G4353))</f>
        <v>860.95650000000001</v>
      </c>
      <c r="J4353" s="10"/>
    </row>
    <row r="4354" spans="1:10" ht="15.75" customHeight="1" x14ac:dyDescent="0.3">
      <c r="A4354" s="5" t="s">
        <v>5221</v>
      </c>
      <c r="B4354" s="11">
        <v>45249</v>
      </c>
      <c r="C4354" s="5" t="s">
        <v>876</v>
      </c>
      <c r="D4354" s="5" t="s">
        <v>217</v>
      </c>
      <c r="E4354" s="5" t="s">
        <v>21</v>
      </c>
      <c r="F4354" s="5">
        <v>5</v>
      </c>
      <c r="G4354" s="19">
        <v>0.05</v>
      </c>
      <c r="H4354" s="5" t="s">
        <v>637</v>
      </c>
      <c r="I4354" s="10">
        <f>IF(OR(D4354="", F4354=""), "", F4354 * VLOOKUP(D4354, Products!A:E, 5, FALSE) * (1 - G4354))</f>
        <v>2033.2375</v>
      </c>
      <c r="J4354" s="10"/>
    </row>
    <row r="4355" spans="1:10" ht="15.75" customHeight="1" x14ac:dyDescent="0.3">
      <c r="A4355" s="5" t="s">
        <v>5222</v>
      </c>
      <c r="B4355" s="11">
        <v>45587</v>
      </c>
      <c r="C4355" s="5" t="s">
        <v>674</v>
      </c>
      <c r="D4355" s="5" t="s">
        <v>128</v>
      </c>
      <c r="E4355" s="5" t="s">
        <v>21</v>
      </c>
      <c r="F4355" s="5">
        <v>3</v>
      </c>
      <c r="G4355" s="19">
        <v>0.1</v>
      </c>
      <c r="H4355" s="5" t="s">
        <v>776</v>
      </c>
      <c r="I4355" s="10">
        <f>IF(OR(D4355="", F4355=""), "", F4355 * VLOOKUP(D4355, Products!A:E, 5, FALSE) * (1 - G4355))</f>
        <v>874.58400000000006</v>
      </c>
      <c r="J4355" s="10"/>
    </row>
    <row r="4356" spans="1:10" ht="15.75" customHeight="1" x14ac:dyDescent="0.3">
      <c r="A4356" s="5" t="s">
        <v>5223</v>
      </c>
      <c r="B4356" s="11">
        <v>45281</v>
      </c>
      <c r="C4356" s="5" t="s">
        <v>106</v>
      </c>
      <c r="D4356" s="5" t="s">
        <v>119</v>
      </c>
      <c r="E4356" s="5" t="s">
        <v>37</v>
      </c>
      <c r="F4356" s="5">
        <v>5</v>
      </c>
      <c r="G4356" s="19">
        <v>0.05</v>
      </c>
      <c r="H4356" s="5" t="s">
        <v>776</v>
      </c>
      <c r="I4356" s="10">
        <f>IF(OR(D4356="", F4356=""), "", F4356 * VLOOKUP(D4356, Products!A:E, 5, FALSE) * (1 - G4356))</f>
        <v>5129.4775000000009</v>
      </c>
      <c r="J4356" s="10"/>
    </row>
    <row r="4357" spans="1:10" ht="15.75" customHeight="1" x14ac:dyDescent="0.3">
      <c r="A4357" s="5" t="s">
        <v>5224</v>
      </c>
      <c r="B4357" s="11">
        <v>45616</v>
      </c>
      <c r="C4357" s="5" t="s">
        <v>590</v>
      </c>
      <c r="D4357" s="5" t="s">
        <v>134</v>
      </c>
      <c r="E4357" s="5" t="s">
        <v>33</v>
      </c>
      <c r="F4357" s="5">
        <v>5</v>
      </c>
      <c r="G4357" s="19">
        <v>0</v>
      </c>
      <c r="H4357" s="5" t="s">
        <v>454</v>
      </c>
      <c r="I4357" s="10">
        <f>IF(OR(D4357="", F4357=""), "", F4357 * VLOOKUP(D4357, Products!A:E, 5, FALSE) * (1 - G4357))</f>
        <v>6136.2</v>
      </c>
      <c r="J4357" s="10"/>
    </row>
    <row r="4358" spans="1:10" ht="15.75" customHeight="1" x14ac:dyDescent="0.3">
      <c r="A4358" s="5" t="s">
        <v>5225</v>
      </c>
      <c r="B4358" s="11">
        <v>45485</v>
      </c>
      <c r="C4358" s="5" t="s">
        <v>470</v>
      </c>
      <c r="D4358" s="5" t="s">
        <v>217</v>
      </c>
      <c r="E4358" s="5" t="s">
        <v>25</v>
      </c>
      <c r="F4358" s="5">
        <v>5</v>
      </c>
      <c r="G4358" s="19">
        <v>0.15</v>
      </c>
      <c r="H4358" s="5" t="s">
        <v>637</v>
      </c>
      <c r="I4358" s="10">
        <f>IF(OR(D4358="", F4358=""), "", F4358 * VLOOKUP(D4358, Products!A:E, 5, FALSE) * (1 - G4358))</f>
        <v>1819.2124999999999</v>
      </c>
      <c r="J4358" s="10"/>
    </row>
    <row r="4359" spans="1:10" ht="15.75" customHeight="1" x14ac:dyDescent="0.3">
      <c r="A4359" s="5" t="s">
        <v>5226</v>
      </c>
      <c r="B4359" s="11">
        <v>45844</v>
      </c>
      <c r="C4359" s="5" t="s">
        <v>715</v>
      </c>
      <c r="D4359" s="5" t="s">
        <v>115</v>
      </c>
      <c r="E4359" s="5" t="s">
        <v>25</v>
      </c>
      <c r="F4359" s="5">
        <v>2</v>
      </c>
      <c r="G4359" s="19">
        <v>0.1</v>
      </c>
      <c r="H4359" s="5" t="s">
        <v>776</v>
      </c>
      <c r="I4359" s="10">
        <f>IF(OR(D4359="", F4359=""), "", F4359 * VLOOKUP(D4359, Products!A:E, 5, FALSE) * (1 - G4359))</f>
        <v>2242.998</v>
      </c>
      <c r="J4359" s="10"/>
    </row>
    <row r="4360" spans="1:10" ht="15.75" customHeight="1" x14ac:dyDescent="0.3">
      <c r="A4360" s="5" t="s">
        <v>5227</v>
      </c>
      <c r="B4360" s="11">
        <v>45630</v>
      </c>
      <c r="C4360" s="5" t="s">
        <v>750</v>
      </c>
      <c r="D4360" s="5" t="s">
        <v>217</v>
      </c>
      <c r="E4360" s="5" t="s">
        <v>29</v>
      </c>
      <c r="F4360" s="5">
        <v>5</v>
      </c>
      <c r="G4360" s="19">
        <v>0</v>
      </c>
      <c r="H4360" s="5" t="s">
        <v>637</v>
      </c>
      <c r="I4360" s="10">
        <f>IF(OR(D4360="", F4360=""), "", F4360 * VLOOKUP(D4360, Products!A:E, 5, FALSE) * (1 - G4360))</f>
        <v>2140.25</v>
      </c>
      <c r="J4360" s="10"/>
    </row>
    <row r="4361" spans="1:10" ht="15.75" customHeight="1" x14ac:dyDescent="0.3">
      <c r="A4361" s="5" t="s">
        <v>5228</v>
      </c>
      <c r="B4361" s="11">
        <v>45250</v>
      </c>
      <c r="C4361" s="5" t="s">
        <v>854</v>
      </c>
      <c r="D4361" s="5" t="s">
        <v>175</v>
      </c>
      <c r="E4361" s="5" t="s">
        <v>21</v>
      </c>
      <c r="F4361" s="5">
        <v>3</v>
      </c>
      <c r="G4361" s="19">
        <v>0.05</v>
      </c>
      <c r="H4361" s="5" t="s">
        <v>697</v>
      </c>
      <c r="I4361" s="10">
        <f>IF(OR(D4361="", F4361=""), "", F4361 * VLOOKUP(D4361, Products!A:E, 5, FALSE) * (1 - G4361))</f>
        <v>3625.8554999999997</v>
      </c>
      <c r="J4361" s="10"/>
    </row>
    <row r="4362" spans="1:10" ht="15.75" customHeight="1" x14ac:dyDescent="0.3">
      <c r="A4362" s="5" t="s">
        <v>5229</v>
      </c>
      <c r="B4362" s="11">
        <v>45790</v>
      </c>
      <c r="C4362" s="5" t="s">
        <v>789</v>
      </c>
      <c r="D4362" s="5" t="s">
        <v>285</v>
      </c>
      <c r="E4362" s="5" t="s">
        <v>33</v>
      </c>
      <c r="F4362" s="5">
        <v>1</v>
      </c>
      <c r="G4362" s="19">
        <v>0</v>
      </c>
      <c r="H4362" s="5" t="s">
        <v>776</v>
      </c>
      <c r="I4362" s="10">
        <f>IF(OR(D4362="", F4362=""), "", F4362 * VLOOKUP(D4362, Products!A:E, 5, FALSE) * (1 - G4362))</f>
        <v>388.26</v>
      </c>
      <c r="J4362" s="10"/>
    </row>
    <row r="4363" spans="1:10" ht="15.75" customHeight="1" x14ac:dyDescent="0.3">
      <c r="A4363" s="5" t="s">
        <v>5230</v>
      </c>
      <c r="B4363" s="11">
        <v>45404</v>
      </c>
      <c r="C4363" s="5" t="s">
        <v>708</v>
      </c>
      <c r="D4363" s="5" t="s">
        <v>168</v>
      </c>
      <c r="E4363" s="5" t="s">
        <v>25</v>
      </c>
      <c r="F4363" s="5">
        <v>5</v>
      </c>
      <c r="G4363" s="19">
        <v>0</v>
      </c>
      <c r="H4363" s="5" t="s">
        <v>776</v>
      </c>
      <c r="I4363" s="10">
        <f>IF(OR(D4363="", F4363=""), "", F4363 * VLOOKUP(D4363, Products!A:E, 5, FALSE) * (1 - G4363))</f>
        <v>5078.8</v>
      </c>
      <c r="J4363" s="10"/>
    </row>
    <row r="4364" spans="1:10" ht="15.75" customHeight="1" x14ac:dyDescent="0.3">
      <c r="A4364" s="5" t="s">
        <v>5231</v>
      </c>
      <c r="B4364" s="11">
        <v>45609</v>
      </c>
      <c r="C4364" s="5" t="s">
        <v>405</v>
      </c>
      <c r="D4364" s="5" t="s">
        <v>103</v>
      </c>
      <c r="E4364" s="5" t="s">
        <v>37</v>
      </c>
      <c r="F4364" s="5">
        <v>2</v>
      </c>
      <c r="G4364" s="19">
        <v>0.15</v>
      </c>
      <c r="H4364" s="5" t="s">
        <v>454</v>
      </c>
      <c r="I4364" s="10">
        <f>IF(OR(D4364="", F4364=""), "", F4364 * VLOOKUP(D4364, Products!A:E, 5, FALSE) * (1 - G4364))</f>
        <v>459.76499999999999</v>
      </c>
      <c r="J4364" s="10"/>
    </row>
    <row r="4365" spans="1:10" ht="15.75" customHeight="1" x14ac:dyDescent="0.3">
      <c r="A4365" s="5" t="s">
        <v>5232</v>
      </c>
      <c r="B4365" s="11">
        <v>45530</v>
      </c>
      <c r="C4365" s="5" t="s">
        <v>286</v>
      </c>
      <c r="D4365" s="5" t="s">
        <v>249</v>
      </c>
      <c r="E4365" s="5" t="s">
        <v>29</v>
      </c>
      <c r="F4365" s="5">
        <v>3</v>
      </c>
      <c r="G4365" s="19">
        <v>0</v>
      </c>
      <c r="H4365" s="5" t="s">
        <v>697</v>
      </c>
      <c r="I4365" s="10">
        <f>IF(OR(D4365="", F4365=""), "", F4365 * VLOOKUP(D4365, Products!A:E, 5, FALSE) * (1 - G4365))</f>
        <v>5236.83</v>
      </c>
      <c r="J4365" s="10"/>
    </row>
    <row r="4366" spans="1:10" ht="15.75" customHeight="1" x14ac:dyDescent="0.3">
      <c r="A4366" s="5" t="s">
        <v>5233</v>
      </c>
      <c r="B4366" s="11">
        <v>45635</v>
      </c>
      <c r="C4366" s="5" t="s">
        <v>833</v>
      </c>
      <c r="D4366" s="5" t="s">
        <v>221</v>
      </c>
      <c r="E4366" s="5" t="s">
        <v>33</v>
      </c>
      <c r="F4366" s="5">
        <v>1</v>
      </c>
      <c r="G4366" s="19">
        <v>0</v>
      </c>
      <c r="H4366" s="5" t="s">
        <v>454</v>
      </c>
      <c r="I4366" s="10">
        <f>IF(OR(D4366="", F4366=""), "", F4366 * VLOOKUP(D4366, Products!A:E, 5, FALSE) * (1 - G4366))</f>
        <v>1562.43</v>
      </c>
      <c r="J4366" s="10"/>
    </row>
    <row r="4367" spans="1:10" ht="15.75" customHeight="1" x14ac:dyDescent="0.3">
      <c r="A4367" s="5" t="s">
        <v>5234</v>
      </c>
      <c r="B4367" s="11">
        <v>45605</v>
      </c>
      <c r="C4367" s="5" t="s">
        <v>671</v>
      </c>
      <c r="D4367" s="5" t="s">
        <v>67</v>
      </c>
      <c r="E4367" s="5" t="s">
        <v>21</v>
      </c>
      <c r="F4367" s="5">
        <v>5</v>
      </c>
      <c r="G4367" s="19">
        <v>0</v>
      </c>
      <c r="H4367" s="5" t="s">
        <v>776</v>
      </c>
      <c r="I4367" s="10">
        <f>IF(OR(D4367="", F4367=""), "", F4367 * VLOOKUP(D4367, Products!A:E, 5, FALSE) * (1 - G4367))</f>
        <v>548.9</v>
      </c>
      <c r="J4367" s="10"/>
    </row>
    <row r="4368" spans="1:10" ht="15.75" customHeight="1" x14ac:dyDescent="0.3">
      <c r="A4368" s="5" t="s">
        <v>5235</v>
      </c>
      <c r="B4368" s="11">
        <v>45643</v>
      </c>
      <c r="C4368" s="5" t="s">
        <v>440</v>
      </c>
      <c r="D4368" s="5" t="s">
        <v>269</v>
      </c>
      <c r="E4368" s="5" t="s">
        <v>29</v>
      </c>
      <c r="F4368" s="5">
        <v>1</v>
      </c>
      <c r="G4368" s="19">
        <v>0.05</v>
      </c>
      <c r="H4368" s="5" t="s">
        <v>454</v>
      </c>
      <c r="I4368" s="10">
        <f>IF(OR(D4368="", F4368=""), "", F4368 * VLOOKUP(D4368, Products!A:E, 5, FALSE) * (1 - G4368))</f>
        <v>1785.1259999999997</v>
      </c>
      <c r="J4368" s="10"/>
    </row>
    <row r="4369" spans="1:10" ht="15.75" customHeight="1" x14ac:dyDescent="0.3">
      <c r="A4369" s="5" t="s">
        <v>5236</v>
      </c>
      <c r="B4369" s="11">
        <v>45902</v>
      </c>
      <c r="C4369" s="5" t="s">
        <v>368</v>
      </c>
      <c r="D4369" s="5" t="s">
        <v>175</v>
      </c>
      <c r="E4369" s="5" t="s">
        <v>33</v>
      </c>
      <c r="F4369" s="5">
        <v>2</v>
      </c>
      <c r="G4369" s="19">
        <v>0.15</v>
      </c>
      <c r="H4369" s="5" t="s">
        <v>776</v>
      </c>
      <c r="I4369" s="10">
        <f>IF(OR(D4369="", F4369=""), "", F4369 * VLOOKUP(D4369, Products!A:E, 5, FALSE) * (1 - G4369))</f>
        <v>2162.7910000000002</v>
      </c>
      <c r="J4369" s="10"/>
    </row>
    <row r="4370" spans="1:10" ht="15.75" customHeight="1" x14ac:dyDescent="0.3">
      <c r="A4370" s="5" t="s">
        <v>5237</v>
      </c>
      <c r="B4370" s="11">
        <v>45429</v>
      </c>
      <c r="C4370" s="5" t="s">
        <v>495</v>
      </c>
      <c r="D4370" s="5" t="s">
        <v>276</v>
      </c>
      <c r="E4370" s="5" t="s">
        <v>37</v>
      </c>
      <c r="F4370" s="5">
        <v>4</v>
      </c>
      <c r="G4370" s="19">
        <v>0.05</v>
      </c>
      <c r="H4370" s="5" t="s">
        <v>637</v>
      </c>
      <c r="I4370" s="10">
        <f>IF(OR(D4370="", F4370=""), "", F4370 * VLOOKUP(D4370, Products!A:E, 5, FALSE) * (1 - G4370))</f>
        <v>4549.2839999999997</v>
      </c>
      <c r="J4370" s="10"/>
    </row>
    <row r="4371" spans="1:10" ht="15.75" customHeight="1" x14ac:dyDescent="0.3">
      <c r="A4371" s="5" t="s">
        <v>5238</v>
      </c>
      <c r="B4371" s="11">
        <v>45730</v>
      </c>
      <c r="C4371" s="5" t="s">
        <v>859</v>
      </c>
      <c r="D4371" s="5" t="s">
        <v>122</v>
      </c>
      <c r="E4371" s="5" t="s">
        <v>33</v>
      </c>
      <c r="F4371" s="5">
        <v>2</v>
      </c>
      <c r="G4371" s="19">
        <v>0.15</v>
      </c>
      <c r="H4371" s="5" t="s">
        <v>776</v>
      </c>
      <c r="I4371" s="10">
        <f>IF(OR(D4371="", F4371=""), "", F4371 * VLOOKUP(D4371, Products!A:E, 5, FALSE) * (1 - G4371))</f>
        <v>2996.9639999999999</v>
      </c>
      <c r="J4371" s="10"/>
    </row>
    <row r="4372" spans="1:10" ht="15.75" customHeight="1" x14ac:dyDescent="0.3">
      <c r="A4372" s="5" t="s">
        <v>5239</v>
      </c>
      <c r="B4372" s="11">
        <v>45548</v>
      </c>
      <c r="C4372" s="5" t="s">
        <v>372</v>
      </c>
      <c r="D4372" s="5" t="s">
        <v>291</v>
      </c>
      <c r="E4372" s="5" t="s">
        <v>29</v>
      </c>
      <c r="F4372" s="5">
        <v>5</v>
      </c>
      <c r="G4372" s="19">
        <v>0.15</v>
      </c>
      <c r="H4372" s="5" t="s">
        <v>697</v>
      </c>
      <c r="I4372" s="10">
        <f>IF(OR(D4372="", F4372=""), "", F4372 * VLOOKUP(D4372, Products!A:E, 5, FALSE) * (1 - G4372))</f>
        <v>4439.72</v>
      </c>
      <c r="J4372" s="10"/>
    </row>
    <row r="4373" spans="1:10" ht="15.75" customHeight="1" x14ac:dyDescent="0.3">
      <c r="A4373" s="5" t="s">
        <v>5240</v>
      </c>
      <c r="B4373" s="11">
        <v>45448</v>
      </c>
      <c r="C4373" s="5" t="s">
        <v>365</v>
      </c>
      <c r="D4373" s="5" t="s">
        <v>67</v>
      </c>
      <c r="E4373" s="5" t="s">
        <v>29</v>
      </c>
      <c r="F4373" s="5">
        <v>2</v>
      </c>
      <c r="G4373" s="19">
        <v>0</v>
      </c>
      <c r="H4373" s="5" t="s">
        <v>776</v>
      </c>
      <c r="I4373" s="10">
        <f>IF(OR(D4373="", F4373=""), "", F4373 * VLOOKUP(D4373, Products!A:E, 5, FALSE) * (1 - G4373))</f>
        <v>219.56</v>
      </c>
      <c r="J4373" s="10"/>
    </row>
    <row r="4374" spans="1:10" ht="15.75" customHeight="1" x14ac:dyDescent="0.3">
      <c r="A4374" s="5" t="s">
        <v>5241</v>
      </c>
      <c r="B4374" s="11">
        <v>45263</v>
      </c>
      <c r="C4374" s="5" t="s">
        <v>750</v>
      </c>
      <c r="D4374" s="5" t="s">
        <v>89</v>
      </c>
      <c r="E4374" s="5" t="s">
        <v>29</v>
      </c>
      <c r="F4374" s="5">
        <v>5</v>
      </c>
      <c r="G4374" s="19">
        <v>0.1</v>
      </c>
      <c r="H4374" s="5" t="s">
        <v>637</v>
      </c>
      <c r="I4374" s="10">
        <f>IF(OR(D4374="", F4374=""), "", F4374 * VLOOKUP(D4374, Products!A:E, 5, FALSE) * (1 - G4374))</f>
        <v>5106.6000000000004</v>
      </c>
      <c r="J4374" s="10"/>
    </row>
    <row r="4375" spans="1:10" ht="15.75" customHeight="1" x14ac:dyDescent="0.3">
      <c r="A4375" s="5" t="s">
        <v>5242</v>
      </c>
      <c r="B4375" s="11">
        <v>45517</v>
      </c>
      <c r="C4375" s="5" t="s">
        <v>215</v>
      </c>
      <c r="D4375" s="5" t="s">
        <v>232</v>
      </c>
      <c r="E4375" s="5" t="s">
        <v>29</v>
      </c>
      <c r="F4375" s="5">
        <v>3</v>
      </c>
      <c r="G4375" s="19">
        <v>0.15</v>
      </c>
      <c r="H4375" s="5" t="s">
        <v>697</v>
      </c>
      <c r="I4375" s="10">
        <f>IF(OR(D4375="", F4375=""), "", F4375 * VLOOKUP(D4375, Products!A:E, 5, FALSE) * (1 - G4375))</f>
        <v>4979.2575000000006</v>
      </c>
      <c r="J4375" s="10"/>
    </row>
    <row r="4376" spans="1:10" ht="15.75" customHeight="1" x14ac:dyDescent="0.3">
      <c r="A4376" s="5" t="s">
        <v>5243</v>
      </c>
      <c r="B4376" s="11">
        <v>45879</v>
      </c>
      <c r="C4376" s="5" t="s">
        <v>209</v>
      </c>
      <c r="D4376" s="5" t="s">
        <v>217</v>
      </c>
      <c r="E4376" s="5" t="s">
        <v>29</v>
      </c>
      <c r="F4376" s="5">
        <v>4</v>
      </c>
      <c r="G4376" s="19">
        <v>0.15</v>
      </c>
      <c r="H4376" s="5" t="s">
        <v>697</v>
      </c>
      <c r="I4376" s="10">
        <f>IF(OR(D4376="", F4376=""), "", F4376 * VLOOKUP(D4376, Products!A:E, 5, FALSE) * (1 - G4376))</f>
        <v>1455.37</v>
      </c>
      <c r="J4376" s="10"/>
    </row>
    <row r="4377" spans="1:10" ht="15.75" customHeight="1" x14ac:dyDescent="0.3">
      <c r="A4377" s="5" t="s">
        <v>5244</v>
      </c>
      <c r="B4377" s="11">
        <v>45827</v>
      </c>
      <c r="C4377" s="5" t="s">
        <v>715</v>
      </c>
      <c r="D4377" s="5" t="s">
        <v>147</v>
      </c>
      <c r="E4377" s="5" t="s">
        <v>33</v>
      </c>
      <c r="F4377" s="5">
        <v>5</v>
      </c>
      <c r="G4377" s="19">
        <v>0.05</v>
      </c>
      <c r="H4377" s="5" t="s">
        <v>454</v>
      </c>
      <c r="I4377" s="10">
        <f>IF(OR(D4377="", F4377=""), "", F4377 * VLOOKUP(D4377, Products!A:E, 5, FALSE) * (1 - G4377))</f>
        <v>8922.7325000000001</v>
      </c>
      <c r="J4377" s="10"/>
    </row>
    <row r="4378" spans="1:10" ht="15.75" customHeight="1" x14ac:dyDescent="0.3">
      <c r="A4378" s="5" t="s">
        <v>5245</v>
      </c>
      <c r="B4378" s="11">
        <v>45651</v>
      </c>
      <c r="C4378" s="5" t="s">
        <v>499</v>
      </c>
      <c r="D4378" s="5" t="s">
        <v>262</v>
      </c>
      <c r="E4378" s="5" t="s">
        <v>21</v>
      </c>
      <c r="F4378" s="5">
        <v>1</v>
      </c>
      <c r="G4378" s="19">
        <v>0.15</v>
      </c>
      <c r="H4378" s="5" t="s">
        <v>454</v>
      </c>
      <c r="I4378" s="10">
        <f>IF(OR(D4378="", F4378=""), "", F4378 * VLOOKUP(D4378, Products!A:E, 5, FALSE) * (1 - G4378))</f>
        <v>385.577</v>
      </c>
      <c r="J4378" s="10"/>
    </row>
    <row r="4379" spans="1:10" ht="15.75" customHeight="1" x14ac:dyDescent="0.3">
      <c r="A4379" s="5" t="s">
        <v>5246</v>
      </c>
      <c r="B4379" s="11">
        <v>45521</v>
      </c>
      <c r="C4379" s="5" t="s">
        <v>405</v>
      </c>
      <c r="D4379" s="5" t="s">
        <v>280</v>
      </c>
      <c r="E4379" s="5" t="s">
        <v>33</v>
      </c>
      <c r="F4379" s="5">
        <v>5</v>
      </c>
      <c r="G4379" s="19">
        <v>0</v>
      </c>
      <c r="H4379" s="5" t="s">
        <v>697</v>
      </c>
      <c r="I4379" s="10">
        <f>IF(OR(D4379="", F4379=""), "", F4379 * VLOOKUP(D4379, Products!A:E, 5, FALSE) * (1 - G4379))</f>
        <v>6081.7999999999993</v>
      </c>
      <c r="J4379" s="10"/>
    </row>
    <row r="4380" spans="1:10" ht="15.75" customHeight="1" x14ac:dyDescent="0.3">
      <c r="A4380" s="5" t="s">
        <v>5247</v>
      </c>
      <c r="B4380" s="11">
        <v>45662</v>
      </c>
      <c r="C4380" s="5" t="s">
        <v>649</v>
      </c>
      <c r="D4380" s="5" t="s">
        <v>193</v>
      </c>
      <c r="E4380" s="5" t="s">
        <v>25</v>
      </c>
      <c r="F4380" s="5">
        <v>4</v>
      </c>
      <c r="G4380" s="19">
        <v>0.15</v>
      </c>
      <c r="H4380" s="5" t="s">
        <v>697</v>
      </c>
      <c r="I4380" s="10">
        <f>IF(OR(D4380="", F4380=""), "", F4380 * VLOOKUP(D4380, Products!A:E, 5, FALSE) * (1 - G4380))</f>
        <v>99.415999999999997</v>
      </c>
      <c r="J4380" s="10"/>
    </row>
    <row r="4381" spans="1:10" ht="15.75" customHeight="1" x14ac:dyDescent="0.3">
      <c r="A4381" s="5" t="s">
        <v>5248</v>
      </c>
      <c r="B4381" s="11">
        <v>45546</v>
      </c>
      <c r="C4381" s="5" t="s">
        <v>600</v>
      </c>
      <c r="D4381" s="5" t="s">
        <v>115</v>
      </c>
      <c r="E4381" s="5" t="s">
        <v>21</v>
      </c>
      <c r="F4381" s="5">
        <v>2</v>
      </c>
      <c r="G4381" s="19">
        <v>0.15</v>
      </c>
      <c r="H4381" s="5" t="s">
        <v>637</v>
      </c>
      <c r="I4381" s="10">
        <f>IF(OR(D4381="", F4381=""), "", F4381 * VLOOKUP(D4381, Products!A:E, 5, FALSE) * (1 - G4381))</f>
        <v>2118.3869999999997</v>
      </c>
      <c r="J4381" s="10"/>
    </row>
    <row r="4382" spans="1:10" ht="15.75" customHeight="1" x14ac:dyDescent="0.3">
      <c r="A4382" s="5" t="s">
        <v>5249</v>
      </c>
      <c r="B4382" s="11">
        <v>45458</v>
      </c>
      <c r="C4382" s="5" t="s">
        <v>557</v>
      </c>
      <c r="D4382" s="5" t="s">
        <v>82</v>
      </c>
      <c r="E4382" s="5" t="s">
        <v>21</v>
      </c>
      <c r="F4382" s="5">
        <v>3</v>
      </c>
      <c r="G4382" s="19">
        <v>0.05</v>
      </c>
      <c r="H4382" s="5" t="s">
        <v>454</v>
      </c>
      <c r="I4382" s="10">
        <f>IF(OR(D4382="", F4382=""), "", F4382 * VLOOKUP(D4382, Products!A:E, 5, FALSE) * (1 - G4382))</f>
        <v>3400.3064999999992</v>
      </c>
      <c r="J4382" s="10"/>
    </row>
    <row r="4383" spans="1:10" ht="15.75" customHeight="1" x14ac:dyDescent="0.3">
      <c r="A4383" s="5" t="s">
        <v>5250</v>
      </c>
      <c r="B4383" s="11">
        <v>45200</v>
      </c>
      <c r="C4383" s="5" t="s">
        <v>334</v>
      </c>
      <c r="D4383" s="5" t="s">
        <v>243</v>
      </c>
      <c r="E4383" s="5" t="s">
        <v>37</v>
      </c>
      <c r="F4383" s="5">
        <v>1</v>
      </c>
      <c r="G4383" s="19">
        <v>0.15</v>
      </c>
      <c r="H4383" s="5" t="s">
        <v>454</v>
      </c>
      <c r="I4383" s="10">
        <f>IF(OR(D4383="", F4383=""), "", F4383 * VLOOKUP(D4383, Products!A:E, 5, FALSE) * (1 - G4383))</f>
        <v>459.79900000000004</v>
      </c>
      <c r="J4383" s="10"/>
    </row>
    <row r="4384" spans="1:10" ht="15.75" customHeight="1" x14ac:dyDescent="0.3">
      <c r="A4384" s="5" t="s">
        <v>5251</v>
      </c>
      <c r="B4384" s="11">
        <v>45220</v>
      </c>
      <c r="C4384" s="5" t="s">
        <v>412</v>
      </c>
      <c r="D4384" s="5" t="s">
        <v>212</v>
      </c>
      <c r="E4384" s="5" t="s">
        <v>21</v>
      </c>
      <c r="F4384" s="5">
        <v>4</v>
      </c>
      <c r="G4384" s="19">
        <v>0</v>
      </c>
      <c r="H4384" s="5" t="s">
        <v>776</v>
      </c>
      <c r="I4384" s="10">
        <f>IF(OR(D4384="", F4384=""), "", F4384 * VLOOKUP(D4384, Products!A:E, 5, FALSE) * (1 - G4384))</f>
        <v>7195.88</v>
      </c>
      <c r="J4384" s="10"/>
    </row>
    <row r="4385" spans="1:10" ht="15.75" customHeight="1" x14ac:dyDescent="0.3">
      <c r="A4385" s="5" t="s">
        <v>5252</v>
      </c>
      <c r="B4385" s="11">
        <v>45711</v>
      </c>
      <c r="C4385" s="5" t="s">
        <v>235</v>
      </c>
      <c r="D4385" s="5" t="s">
        <v>89</v>
      </c>
      <c r="E4385" s="5" t="s">
        <v>37</v>
      </c>
      <c r="F4385" s="5">
        <v>4</v>
      </c>
      <c r="G4385" s="19">
        <v>0.1</v>
      </c>
      <c r="H4385" s="5" t="s">
        <v>697</v>
      </c>
      <c r="I4385" s="10">
        <f>IF(OR(D4385="", F4385=""), "", F4385 * VLOOKUP(D4385, Products!A:E, 5, FALSE) * (1 - G4385))</f>
        <v>4085.2799999999997</v>
      </c>
      <c r="J4385" s="10"/>
    </row>
    <row r="4386" spans="1:10" ht="15.75" customHeight="1" x14ac:dyDescent="0.3">
      <c r="A4386" s="5" t="s">
        <v>5253</v>
      </c>
      <c r="B4386" s="11">
        <v>45412</v>
      </c>
      <c r="C4386" s="5" t="s">
        <v>488</v>
      </c>
      <c r="D4386" s="5" t="s">
        <v>249</v>
      </c>
      <c r="E4386" s="5" t="s">
        <v>37</v>
      </c>
      <c r="F4386" s="5">
        <v>3</v>
      </c>
      <c r="G4386" s="19">
        <v>0.15</v>
      </c>
      <c r="H4386" s="5" t="s">
        <v>454</v>
      </c>
      <c r="I4386" s="10">
        <f>IF(OR(D4386="", F4386=""), "", F4386 * VLOOKUP(D4386, Products!A:E, 5, FALSE) * (1 - G4386))</f>
        <v>4451.3054999999995</v>
      </c>
      <c r="J4386" s="10"/>
    </row>
    <row r="4387" spans="1:10" ht="15.75" customHeight="1" x14ac:dyDescent="0.3">
      <c r="A4387" s="5" t="s">
        <v>5254</v>
      </c>
      <c r="B4387" s="11">
        <v>45541</v>
      </c>
      <c r="C4387" s="5" t="s">
        <v>144</v>
      </c>
      <c r="D4387" s="5" t="s">
        <v>265</v>
      </c>
      <c r="E4387" s="5" t="s">
        <v>29</v>
      </c>
      <c r="F4387" s="5">
        <v>1</v>
      </c>
      <c r="G4387" s="19">
        <v>0</v>
      </c>
      <c r="H4387" s="5" t="s">
        <v>697</v>
      </c>
      <c r="I4387" s="10">
        <f>IF(OR(D4387="", F4387=""), "", F4387 * VLOOKUP(D4387, Products!A:E, 5, FALSE) * (1 - G4387))</f>
        <v>564.41999999999996</v>
      </c>
      <c r="J4387" s="10"/>
    </row>
    <row r="4388" spans="1:10" ht="15.75" customHeight="1" x14ac:dyDescent="0.3">
      <c r="A4388" s="5" t="s">
        <v>5255</v>
      </c>
      <c r="B4388" s="11">
        <v>45486</v>
      </c>
      <c r="C4388" s="5" t="s">
        <v>786</v>
      </c>
      <c r="D4388" s="5" t="s">
        <v>47</v>
      </c>
      <c r="E4388" s="5" t="s">
        <v>37</v>
      </c>
      <c r="F4388" s="5">
        <v>5</v>
      </c>
      <c r="G4388" s="19">
        <v>0</v>
      </c>
      <c r="H4388" s="5" t="s">
        <v>697</v>
      </c>
      <c r="I4388" s="10">
        <f>IF(OR(D4388="", F4388=""), "", F4388 * VLOOKUP(D4388, Products!A:E, 5, FALSE) * (1 - G4388))</f>
        <v>4093.8</v>
      </c>
      <c r="J4388" s="10"/>
    </row>
    <row r="4389" spans="1:10" ht="15.75" customHeight="1" x14ac:dyDescent="0.3">
      <c r="A4389" s="5" t="s">
        <v>5256</v>
      </c>
      <c r="B4389" s="11">
        <v>45705</v>
      </c>
      <c r="C4389" s="5" t="s">
        <v>631</v>
      </c>
      <c r="D4389" s="5" t="s">
        <v>180</v>
      </c>
      <c r="E4389" s="5" t="s">
        <v>25</v>
      </c>
      <c r="F4389" s="5">
        <v>1</v>
      </c>
      <c r="G4389" s="19">
        <v>0.1</v>
      </c>
      <c r="H4389" s="5" t="s">
        <v>697</v>
      </c>
      <c r="I4389" s="10">
        <f>IF(OR(D4389="", F4389=""), "", F4389 * VLOOKUP(D4389, Products!A:E, 5, FALSE) * (1 - G4389))</f>
        <v>606.40200000000004</v>
      </c>
      <c r="J4389" s="10"/>
    </row>
    <row r="4390" spans="1:10" ht="15.75" customHeight="1" x14ac:dyDescent="0.3">
      <c r="A4390" s="5" t="s">
        <v>5257</v>
      </c>
      <c r="B4390" s="11">
        <v>45271</v>
      </c>
      <c r="C4390" s="5" t="s">
        <v>628</v>
      </c>
      <c r="D4390" s="5" t="s">
        <v>82</v>
      </c>
      <c r="E4390" s="5" t="s">
        <v>33</v>
      </c>
      <c r="F4390" s="5">
        <v>2</v>
      </c>
      <c r="G4390" s="19">
        <v>0.15</v>
      </c>
      <c r="H4390" s="5" t="s">
        <v>697</v>
      </c>
      <c r="I4390" s="10">
        <f>IF(OR(D4390="", F4390=""), "", F4390 * VLOOKUP(D4390, Products!A:E, 5, FALSE) * (1 - G4390))</f>
        <v>2028.2529999999997</v>
      </c>
      <c r="J4390" s="10"/>
    </row>
    <row r="4391" spans="1:10" ht="15.75" customHeight="1" x14ac:dyDescent="0.3">
      <c r="A4391" s="5" t="s">
        <v>5258</v>
      </c>
      <c r="B4391" s="11">
        <v>45583</v>
      </c>
      <c r="C4391" s="5" t="s">
        <v>649</v>
      </c>
      <c r="D4391" s="5" t="s">
        <v>61</v>
      </c>
      <c r="E4391" s="5" t="s">
        <v>21</v>
      </c>
      <c r="F4391" s="5">
        <v>3</v>
      </c>
      <c r="G4391" s="19">
        <v>0.1</v>
      </c>
      <c r="H4391" s="5" t="s">
        <v>454</v>
      </c>
      <c r="I4391" s="10">
        <f>IF(OR(D4391="", F4391=""), "", F4391 * VLOOKUP(D4391, Products!A:E, 5, FALSE) * (1 - G4391))</f>
        <v>858.73500000000013</v>
      </c>
      <c r="J4391" s="10"/>
    </row>
    <row r="4392" spans="1:10" ht="15.75" customHeight="1" x14ac:dyDescent="0.3">
      <c r="A4392" s="5" t="s">
        <v>5259</v>
      </c>
      <c r="B4392" s="11">
        <v>45387</v>
      </c>
      <c r="C4392" s="5" t="s">
        <v>600</v>
      </c>
      <c r="D4392" s="5" t="s">
        <v>103</v>
      </c>
      <c r="E4392" s="5" t="s">
        <v>21</v>
      </c>
      <c r="F4392" s="5">
        <v>5</v>
      </c>
      <c r="G4392" s="19">
        <v>0.05</v>
      </c>
      <c r="H4392" s="5" t="s">
        <v>454</v>
      </c>
      <c r="I4392" s="10">
        <f>IF(OR(D4392="", F4392=""), "", F4392 * VLOOKUP(D4392, Products!A:E, 5, FALSE) * (1 - G4392))</f>
        <v>1284.6375</v>
      </c>
      <c r="J4392" s="10"/>
    </row>
    <row r="4393" spans="1:10" ht="15.75" customHeight="1" x14ac:dyDescent="0.3">
      <c r="A4393" s="5" t="s">
        <v>5260</v>
      </c>
      <c r="B4393" s="11">
        <v>45833</v>
      </c>
      <c r="C4393" s="5" t="s">
        <v>368</v>
      </c>
      <c r="D4393" s="5" t="s">
        <v>217</v>
      </c>
      <c r="E4393" s="5" t="s">
        <v>21</v>
      </c>
      <c r="F4393" s="5">
        <v>5</v>
      </c>
      <c r="G4393" s="19">
        <v>0.15</v>
      </c>
      <c r="H4393" s="5" t="s">
        <v>776</v>
      </c>
      <c r="I4393" s="10">
        <f>IF(OR(D4393="", F4393=""), "", F4393 * VLOOKUP(D4393, Products!A:E, 5, FALSE) * (1 - G4393))</f>
        <v>1819.2124999999999</v>
      </c>
      <c r="J4393" s="10"/>
    </row>
    <row r="4394" spans="1:10" ht="15.75" customHeight="1" x14ac:dyDescent="0.3">
      <c r="A4394" s="5" t="s">
        <v>5261</v>
      </c>
      <c r="B4394" s="11">
        <v>45227</v>
      </c>
      <c r="C4394" s="5" t="s">
        <v>567</v>
      </c>
      <c r="D4394" s="5" t="s">
        <v>70</v>
      </c>
      <c r="E4394" s="5" t="s">
        <v>33</v>
      </c>
      <c r="F4394" s="5">
        <v>4</v>
      </c>
      <c r="G4394" s="19">
        <v>0.1</v>
      </c>
      <c r="H4394" s="5" t="s">
        <v>776</v>
      </c>
      <c r="I4394" s="10">
        <f>IF(OR(D4394="", F4394=""), "", F4394 * VLOOKUP(D4394, Products!A:E, 5, FALSE) * (1 - G4394))</f>
        <v>443.48399999999998</v>
      </c>
      <c r="J4394" s="10"/>
    </row>
    <row r="4395" spans="1:10" ht="15.75" customHeight="1" x14ac:dyDescent="0.3">
      <c r="A4395" s="5" t="s">
        <v>5262</v>
      </c>
      <c r="B4395" s="11">
        <v>45454</v>
      </c>
      <c r="C4395" s="5" t="s">
        <v>703</v>
      </c>
      <c r="D4395" s="5" t="s">
        <v>221</v>
      </c>
      <c r="E4395" s="5" t="s">
        <v>25</v>
      </c>
      <c r="F4395" s="5">
        <v>2</v>
      </c>
      <c r="G4395" s="19">
        <v>0.1</v>
      </c>
      <c r="H4395" s="5" t="s">
        <v>637</v>
      </c>
      <c r="I4395" s="10">
        <f>IF(OR(D4395="", F4395=""), "", F4395 * VLOOKUP(D4395, Products!A:E, 5, FALSE) * (1 - G4395))</f>
        <v>2812.3740000000003</v>
      </c>
      <c r="J4395" s="10"/>
    </row>
    <row r="4396" spans="1:10" ht="15.75" customHeight="1" x14ac:dyDescent="0.3">
      <c r="A4396" s="5" t="s">
        <v>5263</v>
      </c>
      <c r="B4396" s="11">
        <v>45563</v>
      </c>
      <c r="C4396" s="5" t="s">
        <v>865</v>
      </c>
      <c r="D4396" s="5" t="s">
        <v>193</v>
      </c>
      <c r="E4396" s="5" t="s">
        <v>29</v>
      </c>
      <c r="F4396" s="5">
        <v>3</v>
      </c>
      <c r="G4396" s="19">
        <v>0.1</v>
      </c>
      <c r="H4396" s="5" t="s">
        <v>776</v>
      </c>
      <c r="I4396" s="10">
        <f>IF(OR(D4396="", F4396=""), "", F4396 * VLOOKUP(D4396, Products!A:E, 5, FALSE) * (1 - G4396))</f>
        <v>78.948000000000008</v>
      </c>
      <c r="J4396" s="10"/>
    </row>
    <row r="4397" spans="1:10" ht="15.75" customHeight="1" x14ac:dyDescent="0.3">
      <c r="A4397" s="5" t="s">
        <v>5264</v>
      </c>
      <c r="B4397" s="11">
        <v>45877</v>
      </c>
      <c r="C4397" s="5" t="s">
        <v>815</v>
      </c>
      <c r="D4397" s="5" t="s">
        <v>217</v>
      </c>
      <c r="E4397" s="5" t="s">
        <v>25</v>
      </c>
      <c r="F4397" s="5">
        <v>3</v>
      </c>
      <c r="G4397" s="19">
        <v>0.15</v>
      </c>
      <c r="H4397" s="5" t="s">
        <v>697</v>
      </c>
      <c r="I4397" s="10">
        <f>IF(OR(D4397="", F4397=""), "", F4397 * VLOOKUP(D4397, Products!A:E, 5, FALSE) * (1 - G4397))</f>
        <v>1091.5275000000001</v>
      </c>
      <c r="J4397" s="10"/>
    </row>
    <row r="4398" spans="1:10" ht="15.75" customHeight="1" x14ac:dyDescent="0.3">
      <c r="A4398" s="5" t="s">
        <v>5265</v>
      </c>
      <c r="B4398" s="11">
        <v>45716</v>
      </c>
      <c r="C4398" s="5" t="s">
        <v>631</v>
      </c>
      <c r="D4398" s="5" t="s">
        <v>140</v>
      </c>
      <c r="E4398" s="5" t="s">
        <v>21</v>
      </c>
      <c r="F4398" s="5">
        <v>4</v>
      </c>
      <c r="G4398" s="19">
        <v>0.1</v>
      </c>
      <c r="H4398" s="5" t="s">
        <v>697</v>
      </c>
      <c r="I4398" s="10">
        <f>IF(OR(D4398="", F4398=""), "", F4398 * VLOOKUP(D4398, Products!A:E, 5, FALSE) * (1 - G4398))</f>
        <v>92.052000000000007</v>
      </c>
      <c r="J4398" s="10"/>
    </row>
    <row r="4399" spans="1:10" ht="15.75" customHeight="1" x14ac:dyDescent="0.3">
      <c r="A4399" s="5" t="s">
        <v>5266</v>
      </c>
      <c r="B4399" s="11">
        <v>45898</v>
      </c>
      <c r="C4399" s="5" t="s">
        <v>106</v>
      </c>
      <c r="D4399" s="5" t="s">
        <v>77</v>
      </c>
      <c r="E4399" s="5" t="s">
        <v>33</v>
      </c>
      <c r="F4399" s="5">
        <v>5</v>
      </c>
      <c r="G4399" s="19">
        <v>0</v>
      </c>
      <c r="H4399" s="5" t="s">
        <v>776</v>
      </c>
      <c r="I4399" s="10">
        <f>IF(OR(D4399="", F4399=""), "", F4399 * VLOOKUP(D4399, Products!A:E, 5, FALSE) * (1 - G4399))</f>
        <v>1242.8499999999999</v>
      </c>
      <c r="J4399" s="10"/>
    </row>
    <row r="4400" spans="1:10" ht="15.75" customHeight="1" x14ac:dyDescent="0.3">
      <c r="A4400" s="5" t="s">
        <v>5267</v>
      </c>
      <c r="B4400" s="11">
        <v>45695</v>
      </c>
      <c r="C4400" s="5" t="s">
        <v>859</v>
      </c>
      <c r="D4400" s="5" t="s">
        <v>89</v>
      </c>
      <c r="E4400" s="5" t="s">
        <v>33</v>
      </c>
      <c r="F4400" s="5">
        <v>3</v>
      </c>
      <c r="G4400" s="19">
        <v>0</v>
      </c>
      <c r="H4400" s="5" t="s">
        <v>697</v>
      </c>
      <c r="I4400" s="10">
        <f>IF(OR(D4400="", F4400=""), "", F4400 * VLOOKUP(D4400, Products!A:E, 5, FALSE) * (1 - G4400))</f>
        <v>3404.3999999999996</v>
      </c>
      <c r="J4400" s="10"/>
    </row>
    <row r="4401" spans="1:10" ht="15.75" customHeight="1" x14ac:dyDescent="0.3">
      <c r="A4401" s="5" t="s">
        <v>5268</v>
      </c>
      <c r="B4401" s="11">
        <v>45823</v>
      </c>
      <c r="C4401" s="5" t="s">
        <v>462</v>
      </c>
      <c r="D4401" s="5" t="s">
        <v>276</v>
      </c>
      <c r="E4401" s="5" t="s">
        <v>25</v>
      </c>
      <c r="F4401" s="5">
        <v>5</v>
      </c>
      <c r="G4401" s="19">
        <v>0</v>
      </c>
      <c r="H4401" s="5" t="s">
        <v>637</v>
      </c>
      <c r="I4401" s="10">
        <f>IF(OR(D4401="", F4401=""), "", F4401 * VLOOKUP(D4401, Products!A:E, 5, FALSE) * (1 - G4401))</f>
        <v>5985.9000000000005</v>
      </c>
      <c r="J4401" s="10"/>
    </row>
    <row r="4402" spans="1:10" ht="15.75" customHeight="1" x14ac:dyDescent="0.3">
      <c r="A4402" s="5" t="s">
        <v>5269</v>
      </c>
      <c r="B4402" s="11">
        <v>45713</v>
      </c>
      <c r="C4402" s="5" t="s">
        <v>361</v>
      </c>
      <c r="D4402" s="5" t="s">
        <v>269</v>
      </c>
      <c r="E4402" s="5" t="s">
        <v>37</v>
      </c>
      <c r="F4402" s="5">
        <v>4</v>
      </c>
      <c r="G4402" s="19">
        <v>0.15</v>
      </c>
      <c r="H4402" s="5" t="s">
        <v>454</v>
      </c>
      <c r="I4402" s="10">
        <f>IF(OR(D4402="", F4402=""), "", F4402 * VLOOKUP(D4402, Products!A:E, 5, FALSE) * (1 - G4402))</f>
        <v>6388.8719999999994</v>
      </c>
      <c r="J4402" s="10"/>
    </row>
    <row r="4403" spans="1:10" ht="15.75" customHeight="1" x14ac:dyDescent="0.3">
      <c r="A4403" s="5" t="s">
        <v>5270</v>
      </c>
      <c r="B4403" s="11">
        <v>45605</v>
      </c>
      <c r="C4403" s="5" t="s">
        <v>652</v>
      </c>
      <c r="D4403" s="5" t="s">
        <v>109</v>
      </c>
      <c r="E4403" s="5" t="s">
        <v>25</v>
      </c>
      <c r="F4403" s="5">
        <v>2</v>
      </c>
      <c r="G4403" s="19">
        <v>0.05</v>
      </c>
      <c r="H4403" s="5" t="s">
        <v>637</v>
      </c>
      <c r="I4403" s="10">
        <f>IF(OR(D4403="", F4403=""), "", F4403 * VLOOKUP(D4403, Products!A:E, 5, FALSE) * (1 - G4403))</f>
        <v>3531.625</v>
      </c>
      <c r="J4403" s="10"/>
    </row>
    <row r="4404" spans="1:10" ht="15.75" customHeight="1" x14ac:dyDescent="0.3">
      <c r="A4404" s="5" t="s">
        <v>5271</v>
      </c>
      <c r="B4404" s="11">
        <v>45773</v>
      </c>
      <c r="C4404" s="5" t="s">
        <v>440</v>
      </c>
      <c r="D4404" s="5" t="s">
        <v>175</v>
      </c>
      <c r="E4404" s="5" t="s">
        <v>33</v>
      </c>
      <c r="F4404" s="5">
        <v>4</v>
      </c>
      <c r="G4404" s="19">
        <v>0</v>
      </c>
      <c r="H4404" s="5" t="s">
        <v>454</v>
      </c>
      <c r="I4404" s="10">
        <f>IF(OR(D4404="", F4404=""), "", F4404 * VLOOKUP(D4404, Products!A:E, 5, FALSE) * (1 - G4404))</f>
        <v>5088.92</v>
      </c>
      <c r="J4404" s="10"/>
    </row>
    <row r="4405" spans="1:10" ht="15.75" customHeight="1" x14ac:dyDescent="0.3">
      <c r="A4405" s="5" t="s">
        <v>5272</v>
      </c>
      <c r="B4405" s="11">
        <v>45342</v>
      </c>
      <c r="C4405" s="5" t="s">
        <v>223</v>
      </c>
      <c r="D4405" s="5" t="s">
        <v>212</v>
      </c>
      <c r="E4405" s="5" t="s">
        <v>25</v>
      </c>
      <c r="F4405" s="5">
        <v>1</v>
      </c>
      <c r="G4405" s="19">
        <v>0</v>
      </c>
      <c r="H4405" s="5" t="s">
        <v>776</v>
      </c>
      <c r="I4405" s="10">
        <f>IF(OR(D4405="", F4405=""), "", F4405 * VLOOKUP(D4405, Products!A:E, 5, FALSE) * (1 - G4405))</f>
        <v>1798.97</v>
      </c>
      <c r="J4405" s="10"/>
    </row>
    <row r="4406" spans="1:10" ht="15.75" customHeight="1" x14ac:dyDescent="0.3">
      <c r="A4406" s="5" t="s">
        <v>5273</v>
      </c>
      <c r="B4406" s="11">
        <v>45217</v>
      </c>
      <c r="C4406" s="5" t="s">
        <v>503</v>
      </c>
      <c r="D4406" s="5" t="s">
        <v>47</v>
      </c>
      <c r="E4406" s="5" t="s">
        <v>25</v>
      </c>
      <c r="F4406" s="5">
        <v>5</v>
      </c>
      <c r="G4406" s="19">
        <v>0.15</v>
      </c>
      <c r="H4406" s="5" t="s">
        <v>776</v>
      </c>
      <c r="I4406" s="10">
        <f>IF(OR(D4406="", F4406=""), "", F4406 * VLOOKUP(D4406, Products!A:E, 5, FALSE) * (1 - G4406))</f>
        <v>3479.73</v>
      </c>
      <c r="J4406" s="10"/>
    </row>
    <row r="4407" spans="1:10" ht="15.75" customHeight="1" x14ac:dyDescent="0.3">
      <c r="A4407" s="5" t="s">
        <v>5274</v>
      </c>
      <c r="B4407" s="11">
        <v>45571</v>
      </c>
      <c r="C4407" s="5" t="s">
        <v>342</v>
      </c>
      <c r="D4407" s="5" t="s">
        <v>67</v>
      </c>
      <c r="E4407" s="5" t="s">
        <v>37</v>
      </c>
      <c r="F4407" s="5">
        <v>2</v>
      </c>
      <c r="G4407" s="19">
        <v>0.15</v>
      </c>
      <c r="H4407" s="5" t="s">
        <v>697</v>
      </c>
      <c r="I4407" s="10">
        <f>IF(OR(D4407="", F4407=""), "", F4407 * VLOOKUP(D4407, Products!A:E, 5, FALSE) * (1 - G4407))</f>
        <v>186.626</v>
      </c>
      <c r="J4407" s="10"/>
    </row>
    <row r="4408" spans="1:10" ht="15.75" customHeight="1" x14ac:dyDescent="0.3">
      <c r="A4408" s="5" t="s">
        <v>5275</v>
      </c>
      <c r="B4408" s="11">
        <v>45589</v>
      </c>
      <c r="C4408" s="5" t="s">
        <v>503</v>
      </c>
      <c r="D4408" s="5" t="s">
        <v>70</v>
      </c>
      <c r="E4408" s="5" t="s">
        <v>29</v>
      </c>
      <c r="F4408" s="5">
        <v>2</v>
      </c>
      <c r="G4408" s="19">
        <v>0</v>
      </c>
      <c r="H4408" s="5" t="s">
        <v>454</v>
      </c>
      <c r="I4408" s="10">
        <f>IF(OR(D4408="", F4408=""), "", F4408 * VLOOKUP(D4408, Products!A:E, 5, FALSE) * (1 - G4408))</f>
        <v>246.38</v>
      </c>
      <c r="J4408" s="10"/>
    </row>
    <row r="4409" spans="1:10" ht="15.75" customHeight="1" x14ac:dyDescent="0.3">
      <c r="A4409" s="5" t="s">
        <v>5276</v>
      </c>
      <c r="B4409" s="11">
        <v>45830</v>
      </c>
      <c r="C4409" s="5" t="s">
        <v>181</v>
      </c>
      <c r="D4409" s="5" t="s">
        <v>115</v>
      </c>
      <c r="E4409" s="5" t="s">
        <v>25</v>
      </c>
      <c r="F4409" s="5">
        <v>2</v>
      </c>
      <c r="G4409" s="19">
        <v>0</v>
      </c>
      <c r="H4409" s="5" t="s">
        <v>776</v>
      </c>
      <c r="I4409" s="10">
        <f>IF(OR(D4409="", F4409=""), "", F4409 * VLOOKUP(D4409, Products!A:E, 5, FALSE) * (1 - G4409))</f>
        <v>2492.2199999999998</v>
      </c>
      <c r="J4409" s="10"/>
    </row>
    <row r="4410" spans="1:10" ht="15.75" customHeight="1" x14ac:dyDescent="0.3">
      <c r="A4410" s="5" t="s">
        <v>5277</v>
      </c>
      <c r="B4410" s="11">
        <v>45652</v>
      </c>
      <c r="C4410" s="5" t="s">
        <v>833</v>
      </c>
      <c r="D4410" s="5" t="s">
        <v>119</v>
      </c>
      <c r="E4410" s="5" t="s">
        <v>29</v>
      </c>
      <c r="F4410" s="5">
        <v>4</v>
      </c>
      <c r="G4410" s="19">
        <v>0.15</v>
      </c>
      <c r="H4410" s="5" t="s">
        <v>697</v>
      </c>
      <c r="I4410" s="10">
        <f>IF(OR(D4410="", F4410=""), "", F4410 * VLOOKUP(D4410, Products!A:E, 5, FALSE) * (1 - G4410))</f>
        <v>3671.6260000000002</v>
      </c>
      <c r="J4410" s="10"/>
    </row>
    <row r="4411" spans="1:10" ht="15.75" customHeight="1" x14ac:dyDescent="0.3">
      <c r="A4411" s="5" t="s">
        <v>5278</v>
      </c>
      <c r="B4411" s="11">
        <v>45570</v>
      </c>
      <c r="C4411" s="5" t="s">
        <v>69</v>
      </c>
      <c r="D4411" s="5" t="s">
        <v>188</v>
      </c>
      <c r="E4411" s="5" t="s">
        <v>29</v>
      </c>
      <c r="F4411" s="5">
        <v>3</v>
      </c>
      <c r="G4411" s="19">
        <v>0</v>
      </c>
      <c r="H4411" s="5" t="s">
        <v>776</v>
      </c>
      <c r="I4411" s="10">
        <f>IF(OR(D4411="", F4411=""), "", F4411 * VLOOKUP(D4411, Products!A:E, 5, FALSE) * (1 - G4411))</f>
        <v>4455.1499999999996</v>
      </c>
      <c r="J4411" s="10"/>
    </row>
    <row r="4412" spans="1:10" ht="15.75" customHeight="1" x14ac:dyDescent="0.3">
      <c r="A4412" s="5" t="s">
        <v>5279</v>
      </c>
      <c r="B4412" s="11">
        <v>45748</v>
      </c>
      <c r="C4412" s="5" t="s">
        <v>165</v>
      </c>
      <c r="D4412" s="5" t="s">
        <v>103</v>
      </c>
      <c r="E4412" s="5" t="s">
        <v>33</v>
      </c>
      <c r="F4412" s="5">
        <v>5</v>
      </c>
      <c r="G4412" s="19">
        <v>0.1</v>
      </c>
      <c r="H4412" s="5" t="s">
        <v>776</v>
      </c>
      <c r="I4412" s="10">
        <f>IF(OR(D4412="", F4412=""), "", F4412 * VLOOKUP(D4412, Products!A:E, 5, FALSE) * (1 - G4412))</f>
        <v>1217.0250000000001</v>
      </c>
      <c r="J4412" s="10"/>
    </row>
    <row r="4413" spans="1:10" ht="15.75" customHeight="1" x14ac:dyDescent="0.3">
      <c r="A4413" s="5" t="s">
        <v>5280</v>
      </c>
      <c r="B4413" s="11">
        <v>45905</v>
      </c>
      <c r="C4413" s="5" t="s">
        <v>699</v>
      </c>
      <c r="D4413" s="5" t="s">
        <v>175</v>
      </c>
      <c r="E4413" s="5" t="s">
        <v>25</v>
      </c>
      <c r="F4413" s="5">
        <v>2</v>
      </c>
      <c r="G4413" s="19">
        <v>0.1</v>
      </c>
      <c r="H4413" s="5" t="s">
        <v>454</v>
      </c>
      <c r="I4413" s="10">
        <f>IF(OR(D4413="", F4413=""), "", F4413 * VLOOKUP(D4413, Products!A:E, 5, FALSE) * (1 - G4413))</f>
        <v>2290.0140000000001</v>
      </c>
      <c r="J4413" s="10"/>
    </row>
    <row r="4414" spans="1:10" ht="15.75" customHeight="1" x14ac:dyDescent="0.3">
      <c r="A4414" s="5" t="s">
        <v>5281</v>
      </c>
      <c r="B4414" s="11">
        <v>45291</v>
      </c>
      <c r="C4414" s="5" t="s">
        <v>878</v>
      </c>
      <c r="D4414" s="5" t="s">
        <v>67</v>
      </c>
      <c r="E4414" s="5" t="s">
        <v>25</v>
      </c>
      <c r="F4414" s="5">
        <v>5</v>
      </c>
      <c r="G4414" s="19">
        <v>0</v>
      </c>
      <c r="H4414" s="5" t="s">
        <v>776</v>
      </c>
      <c r="I4414" s="10">
        <f>IF(OR(D4414="", F4414=""), "", F4414 * VLOOKUP(D4414, Products!A:E, 5, FALSE) * (1 - G4414))</f>
        <v>548.9</v>
      </c>
      <c r="J4414" s="10"/>
    </row>
    <row r="4415" spans="1:10" ht="15.75" customHeight="1" x14ac:dyDescent="0.3">
      <c r="A4415" s="5" t="s">
        <v>5282</v>
      </c>
      <c r="B4415" s="11">
        <v>45701</v>
      </c>
      <c r="C4415" s="5" t="s">
        <v>402</v>
      </c>
      <c r="D4415" s="5" t="s">
        <v>54</v>
      </c>
      <c r="E4415" s="5" t="s">
        <v>33</v>
      </c>
      <c r="F4415" s="5">
        <v>5</v>
      </c>
      <c r="G4415" s="19">
        <v>0.1</v>
      </c>
      <c r="H4415" s="5" t="s">
        <v>776</v>
      </c>
      <c r="I4415" s="10">
        <f>IF(OR(D4415="", F4415=""), "", F4415 * VLOOKUP(D4415, Products!A:E, 5, FALSE) * (1 - G4415))</f>
        <v>8341.9650000000001</v>
      </c>
      <c r="J4415" s="10"/>
    </row>
    <row r="4416" spans="1:10" ht="15.75" customHeight="1" x14ac:dyDescent="0.3">
      <c r="A4416" s="5" t="s">
        <v>5283</v>
      </c>
      <c r="B4416" s="11">
        <v>45538</v>
      </c>
      <c r="C4416" s="5" t="s">
        <v>755</v>
      </c>
      <c r="D4416" s="5" t="s">
        <v>128</v>
      </c>
      <c r="E4416" s="5" t="s">
        <v>25</v>
      </c>
      <c r="F4416" s="5">
        <v>2</v>
      </c>
      <c r="G4416" s="19">
        <v>0.1</v>
      </c>
      <c r="H4416" s="5" t="s">
        <v>637</v>
      </c>
      <c r="I4416" s="10">
        <f>IF(OR(D4416="", F4416=""), "", F4416 * VLOOKUP(D4416, Products!A:E, 5, FALSE) * (1 - G4416))</f>
        <v>583.05600000000004</v>
      </c>
      <c r="J4416" s="10"/>
    </row>
    <row r="4417" spans="1:10" ht="15.75" customHeight="1" x14ac:dyDescent="0.3">
      <c r="A4417" s="5" t="s">
        <v>5284</v>
      </c>
      <c r="B4417" s="11">
        <v>45249</v>
      </c>
      <c r="C4417" s="5" t="s">
        <v>121</v>
      </c>
      <c r="D4417" s="5" t="s">
        <v>50</v>
      </c>
      <c r="E4417" s="5" t="s">
        <v>37</v>
      </c>
      <c r="F4417" s="5">
        <v>5</v>
      </c>
      <c r="G4417" s="19">
        <v>0.15</v>
      </c>
      <c r="H4417" s="5" t="s">
        <v>697</v>
      </c>
      <c r="I4417" s="10">
        <f>IF(OR(D4417="", F4417=""), "", F4417 * VLOOKUP(D4417, Products!A:E, 5, FALSE) * (1 - G4417))</f>
        <v>1434.9275</v>
      </c>
      <c r="J4417" s="10"/>
    </row>
    <row r="4418" spans="1:10" ht="15.75" customHeight="1" x14ac:dyDescent="0.3">
      <c r="A4418" s="5" t="s">
        <v>5285</v>
      </c>
      <c r="B4418" s="11">
        <v>45525</v>
      </c>
      <c r="C4418" s="5" t="s">
        <v>850</v>
      </c>
      <c r="D4418" s="5" t="s">
        <v>43</v>
      </c>
      <c r="E4418" s="5" t="s">
        <v>33</v>
      </c>
      <c r="F4418" s="5">
        <v>3</v>
      </c>
      <c r="G4418" s="19">
        <v>0.15</v>
      </c>
      <c r="H4418" s="5" t="s">
        <v>697</v>
      </c>
      <c r="I4418" s="10">
        <f>IF(OR(D4418="", F4418=""), "", F4418 * VLOOKUP(D4418, Products!A:E, 5, FALSE) * (1 - G4418))</f>
        <v>4267.9094999999998</v>
      </c>
      <c r="J4418" s="10"/>
    </row>
    <row r="4419" spans="1:10" ht="15.75" customHeight="1" x14ac:dyDescent="0.3">
      <c r="A4419" s="5" t="s">
        <v>5286</v>
      </c>
      <c r="B4419" s="11">
        <v>45440</v>
      </c>
      <c r="C4419" s="5" t="s">
        <v>338</v>
      </c>
      <c r="D4419" s="5" t="s">
        <v>180</v>
      </c>
      <c r="E4419" s="5" t="s">
        <v>25</v>
      </c>
      <c r="F4419" s="5">
        <v>3</v>
      </c>
      <c r="G4419" s="19">
        <v>0</v>
      </c>
      <c r="H4419" s="5" t="s">
        <v>637</v>
      </c>
      <c r="I4419" s="10">
        <f>IF(OR(D4419="", F4419=""), "", F4419 * VLOOKUP(D4419, Products!A:E, 5, FALSE) * (1 - G4419))</f>
        <v>2021.34</v>
      </c>
      <c r="J4419" s="10"/>
    </row>
    <row r="4420" spans="1:10" ht="15.75" customHeight="1" x14ac:dyDescent="0.3">
      <c r="A4420" s="5" t="s">
        <v>5287</v>
      </c>
      <c r="B4420" s="11">
        <v>45600</v>
      </c>
      <c r="C4420" s="5" t="s">
        <v>455</v>
      </c>
      <c r="D4420" s="5" t="s">
        <v>54</v>
      </c>
      <c r="E4420" s="5" t="s">
        <v>25</v>
      </c>
      <c r="F4420" s="5">
        <v>2</v>
      </c>
      <c r="G4420" s="19">
        <v>0.1</v>
      </c>
      <c r="H4420" s="5" t="s">
        <v>776</v>
      </c>
      <c r="I4420" s="10">
        <f>IF(OR(D4420="", F4420=""), "", F4420 * VLOOKUP(D4420, Products!A:E, 5, FALSE) * (1 - G4420))</f>
        <v>3336.7860000000001</v>
      </c>
      <c r="J4420" s="10"/>
    </row>
    <row r="4421" spans="1:10" ht="15.75" customHeight="1" x14ac:dyDescent="0.3">
      <c r="A4421" s="5" t="s">
        <v>5288</v>
      </c>
      <c r="B4421" s="11">
        <v>45773</v>
      </c>
      <c r="C4421" s="5" t="s">
        <v>420</v>
      </c>
      <c r="D4421" s="5" t="s">
        <v>221</v>
      </c>
      <c r="E4421" s="5" t="s">
        <v>25</v>
      </c>
      <c r="F4421" s="5">
        <v>2</v>
      </c>
      <c r="G4421" s="19">
        <v>0.15</v>
      </c>
      <c r="H4421" s="5" t="s">
        <v>776</v>
      </c>
      <c r="I4421" s="10">
        <f>IF(OR(D4421="", F4421=""), "", F4421 * VLOOKUP(D4421, Products!A:E, 5, FALSE) * (1 - G4421))</f>
        <v>2656.1309999999999</v>
      </c>
      <c r="J4421" s="10"/>
    </row>
    <row r="4422" spans="1:10" ht="15.75" customHeight="1" x14ac:dyDescent="0.3">
      <c r="A4422" s="5" t="s">
        <v>5289</v>
      </c>
      <c r="B4422" s="11">
        <v>45271</v>
      </c>
      <c r="C4422" s="5" t="s">
        <v>240</v>
      </c>
      <c r="D4422" s="5" t="s">
        <v>188</v>
      </c>
      <c r="E4422" s="5" t="s">
        <v>37</v>
      </c>
      <c r="F4422" s="5">
        <v>5</v>
      </c>
      <c r="G4422" s="19">
        <v>0</v>
      </c>
      <c r="H4422" s="5" t="s">
        <v>776</v>
      </c>
      <c r="I4422" s="10">
        <f>IF(OR(D4422="", F4422=""), "", F4422 * VLOOKUP(D4422, Products!A:E, 5, FALSE) * (1 - G4422))</f>
        <v>7425.25</v>
      </c>
      <c r="J4422" s="10"/>
    </row>
    <row r="4423" spans="1:10" ht="15.75" customHeight="1" x14ac:dyDescent="0.3">
      <c r="A4423" s="5" t="s">
        <v>5290</v>
      </c>
      <c r="B4423" s="11">
        <v>45690</v>
      </c>
      <c r="C4423" s="5" t="s">
        <v>350</v>
      </c>
      <c r="D4423" s="5" t="s">
        <v>134</v>
      </c>
      <c r="E4423" s="5" t="s">
        <v>29</v>
      </c>
      <c r="F4423" s="5">
        <v>4</v>
      </c>
      <c r="G4423" s="19">
        <v>0.15</v>
      </c>
      <c r="H4423" s="5" t="s">
        <v>776</v>
      </c>
      <c r="I4423" s="10">
        <f>IF(OR(D4423="", F4423=""), "", F4423 * VLOOKUP(D4423, Products!A:E, 5, FALSE) * (1 - G4423))</f>
        <v>4172.616</v>
      </c>
      <c r="J4423" s="10"/>
    </row>
    <row r="4424" spans="1:10" ht="15.75" customHeight="1" x14ac:dyDescent="0.3">
      <c r="A4424" s="5" t="s">
        <v>5291</v>
      </c>
      <c r="B4424" s="11">
        <v>45836</v>
      </c>
      <c r="C4424" s="5" t="s">
        <v>802</v>
      </c>
      <c r="D4424" s="5" t="s">
        <v>243</v>
      </c>
      <c r="E4424" s="5" t="s">
        <v>33</v>
      </c>
      <c r="F4424" s="5">
        <v>2</v>
      </c>
      <c r="G4424" s="19">
        <v>0</v>
      </c>
      <c r="H4424" s="5" t="s">
        <v>637</v>
      </c>
      <c r="I4424" s="10">
        <f>IF(OR(D4424="", F4424=""), "", F4424 * VLOOKUP(D4424, Products!A:E, 5, FALSE) * (1 - G4424))</f>
        <v>1081.8800000000001</v>
      </c>
      <c r="J4424" s="10"/>
    </row>
    <row r="4425" spans="1:10" ht="15.75" customHeight="1" x14ac:dyDescent="0.3">
      <c r="A4425" s="5" t="s">
        <v>5292</v>
      </c>
      <c r="B4425" s="11">
        <v>45873</v>
      </c>
      <c r="C4425" s="5" t="s">
        <v>91</v>
      </c>
      <c r="D4425" s="5" t="s">
        <v>291</v>
      </c>
      <c r="E4425" s="5" t="s">
        <v>25</v>
      </c>
      <c r="F4425" s="5">
        <v>5</v>
      </c>
      <c r="G4425" s="19">
        <v>0.15</v>
      </c>
      <c r="H4425" s="5" t="s">
        <v>637</v>
      </c>
      <c r="I4425" s="10">
        <f>IF(OR(D4425="", F4425=""), "", F4425 * VLOOKUP(D4425, Products!A:E, 5, FALSE) * (1 - G4425))</f>
        <v>4439.72</v>
      </c>
      <c r="J4425" s="10"/>
    </row>
    <row r="4426" spans="1:10" ht="15.75" customHeight="1" x14ac:dyDescent="0.3">
      <c r="A4426" s="5" t="s">
        <v>5293</v>
      </c>
      <c r="B4426" s="11">
        <v>45611</v>
      </c>
      <c r="C4426" s="5" t="s">
        <v>805</v>
      </c>
      <c r="D4426" s="5" t="s">
        <v>212</v>
      </c>
      <c r="E4426" s="5" t="s">
        <v>25</v>
      </c>
      <c r="F4426" s="5">
        <v>1</v>
      </c>
      <c r="G4426" s="19">
        <v>0.05</v>
      </c>
      <c r="H4426" s="5" t="s">
        <v>776</v>
      </c>
      <c r="I4426" s="10">
        <f>IF(OR(D4426="", F4426=""), "", F4426 * VLOOKUP(D4426, Products!A:E, 5, FALSE) * (1 - G4426))</f>
        <v>1709.0214999999998</v>
      </c>
      <c r="J4426" s="10"/>
    </row>
    <row r="4427" spans="1:10" ht="15.75" customHeight="1" x14ac:dyDescent="0.3">
      <c r="A4427" s="5" t="s">
        <v>5294</v>
      </c>
      <c r="B4427" s="11">
        <v>45880</v>
      </c>
      <c r="C4427" s="5" t="s">
        <v>129</v>
      </c>
      <c r="D4427" s="5" t="s">
        <v>61</v>
      </c>
      <c r="E4427" s="5" t="s">
        <v>37</v>
      </c>
      <c r="F4427" s="5">
        <v>3</v>
      </c>
      <c r="G4427" s="19">
        <v>0.05</v>
      </c>
      <c r="H4427" s="5" t="s">
        <v>637</v>
      </c>
      <c r="I4427" s="10">
        <f>IF(OR(D4427="", F4427=""), "", F4427 * VLOOKUP(D4427, Products!A:E, 5, FALSE) * (1 - G4427))</f>
        <v>906.4425</v>
      </c>
      <c r="J4427" s="10"/>
    </row>
    <row r="4428" spans="1:10" ht="15.75" customHeight="1" x14ac:dyDescent="0.3">
      <c r="A4428" s="5" t="s">
        <v>5295</v>
      </c>
      <c r="B4428" s="11">
        <v>45611</v>
      </c>
      <c r="C4428" s="5" t="s">
        <v>563</v>
      </c>
      <c r="D4428" s="5" t="s">
        <v>180</v>
      </c>
      <c r="E4428" s="5" t="s">
        <v>25</v>
      </c>
      <c r="F4428" s="5">
        <v>1</v>
      </c>
      <c r="G4428" s="19">
        <v>0.1</v>
      </c>
      <c r="H4428" s="5" t="s">
        <v>697</v>
      </c>
      <c r="I4428" s="10">
        <f>IF(OR(D4428="", F4428=""), "", F4428 * VLOOKUP(D4428, Products!A:E, 5, FALSE) * (1 - G4428))</f>
        <v>606.40200000000004</v>
      </c>
      <c r="J4428" s="10"/>
    </row>
    <row r="4429" spans="1:10" ht="15.75" customHeight="1" x14ac:dyDescent="0.3">
      <c r="A4429" s="5" t="s">
        <v>5296</v>
      </c>
      <c r="B4429" s="11">
        <v>45333</v>
      </c>
      <c r="C4429" s="5" t="s">
        <v>557</v>
      </c>
      <c r="D4429" s="5" t="s">
        <v>89</v>
      </c>
      <c r="E4429" s="5" t="s">
        <v>37</v>
      </c>
      <c r="F4429" s="5">
        <v>5</v>
      </c>
      <c r="G4429" s="19">
        <v>0</v>
      </c>
      <c r="H4429" s="5" t="s">
        <v>776</v>
      </c>
      <c r="I4429" s="10">
        <f>IF(OR(D4429="", F4429=""), "", F4429 * VLOOKUP(D4429, Products!A:E, 5, FALSE) * (1 - G4429))</f>
        <v>5674</v>
      </c>
      <c r="J4429" s="10"/>
    </row>
    <row r="4430" spans="1:10" ht="15.75" customHeight="1" x14ac:dyDescent="0.3">
      <c r="A4430" s="5" t="s">
        <v>5297</v>
      </c>
      <c r="B4430" s="11">
        <v>45617</v>
      </c>
      <c r="C4430" s="5" t="s">
        <v>491</v>
      </c>
      <c r="D4430" s="5" t="s">
        <v>291</v>
      </c>
      <c r="E4430" s="5" t="s">
        <v>33</v>
      </c>
      <c r="F4430" s="5">
        <v>4</v>
      </c>
      <c r="G4430" s="19">
        <v>0.1</v>
      </c>
      <c r="H4430" s="5" t="s">
        <v>776</v>
      </c>
      <c r="I4430" s="10">
        <f>IF(OR(D4430="", F4430=""), "", F4430 * VLOOKUP(D4430, Products!A:E, 5, FALSE) * (1 - G4430))</f>
        <v>3760.7040000000006</v>
      </c>
      <c r="J4430" s="10"/>
    </row>
    <row r="4431" spans="1:10" ht="15.75" customHeight="1" x14ac:dyDescent="0.3">
      <c r="A4431" s="5" t="s">
        <v>5298</v>
      </c>
      <c r="B4431" s="11">
        <v>45895</v>
      </c>
      <c r="C4431" s="5" t="s">
        <v>171</v>
      </c>
      <c r="D4431" s="5" t="s">
        <v>70</v>
      </c>
      <c r="E4431" s="5" t="s">
        <v>21</v>
      </c>
      <c r="F4431" s="5">
        <v>4</v>
      </c>
      <c r="G4431" s="19">
        <v>0.05</v>
      </c>
      <c r="H4431" s="5" t="s">
        <v>697</v>
      </c>
      <c r="I4431" s="10">
        <f>IF(OR(D4431="", F4431=""), "", F4431 * VLOOKUP(D4431, Products!A:E, 5, FALSE) * (1 - G4431))</f>
        <v>468.12199999999996</v>
      </c>
      <c r="J4431" s="10"/>
    </row>
    <row r="4432" spans="1:10" ht="15.75" customHeight="1" x14ac:dyDescent="0.3">
      <c r="A4432" s="5" t="s">
        <v>5299</v>
      </c>
      <c r="B4432" s="11">
        <v>45275</v>
      </c>
      <c r="C4432" s="5" t="s">
        <v>488</v>
      </c>
      <c r="D4432" s="5" t="s">
        <v>180</v>
      </c>
      <c r="E4432" s="5" t="s">
        <v>37</v>
      </c>
      <c r="F4432" s="5">
        <v>1</v>
      </c>
      <c r="G4432" s="19">
        <v>0</v>
      </c>
      <c r="H4432" s="5" t="s">
        <v>637</v>
      </c>
      <c r="I4432" s="10">
        <f>IF(OR(D4432="", F4432=""), "", F4432 * VLOOKUP(D4432, Products!A:E, 5, FALSE) * (1 - G4432))</f>
        <v>673.78</v>
      </c>
      <c r="J4432" s="10"/>
    </row>
    <row r="4433" spans="1:10" ht="15.75" customHeight="1" x14ac:dyDescent="0.3">
      <c r="A4433" s="5" t="s">
        <v>5300</v>
      </c>
      <c r="B4433" s="11">
        <v>45469</v>
      </c>
      <c r="C4433" s="5" t="s">
        <v>372</v>
      </c>
      <c r="D4433" s="5" t="s">
        <v>262</v>
      </c>
      <c r="E4433" s="5" t="s">
        <v>37</v>
      </c>
      <c r="F4433" s="5">
        <v>4</v>
      </c>
      <c r="G4433" s="19">
        <v>0</v>
      </c>
      <c r="H4433" s="5" t="s">
        <v>697</v>
      </c>
      <c r="I4433" s="10">
        <f>IF(OR(D4433="", F4433=""), "", F4433 * VLOOKUP(D4433, Products!A:E, 5, FALSE) * (1 - G4433))</f>
        <v>1814.48</v>
      </c>
      <c r="J4433" s="10"/>
    </row>
    <row r="4434" spans="1:10" ht="15.75" customHeight="1" x14ac:dyDescent="0.3">
      <c r="A4434" s="5" t="s">
        <v>5301</v>
      </c>
      <c r="B4434" s="11">
        <v>45512</v>
      </c>
      <c r="C4434" s="5" t="s">
        <v>799</v>
      </c>
      <c r="D4434" s="5" t="s">
        <v>249</v>
      </c>
      <c r="E4434" s="5" t="s">
        <v>21</v>
      </c>
      <c r="F4434" s="5">
        <v>4</v>
      </c>
      <c r="G4434" s="19">
        <v>0.05</v>
      </c>
      <c r="H4434" s="5" t="s">
        <v>697</v>
      </c>
      <c r="I4434" s="10">
        <f>IF(OR(D4434="", F4434=""), "", F4434 * VLOOKUP(D4434, Products!A:E, 5, FALSE) * (1 - G4434))</f>
        <v>6633.3179999999993</v>
      </c>
      <c r="J4434" s="10"/>
    </row>
    <row r="4435" spans="1:10" ht="15.75" customHeight="1" x14ac:dyDescent="0.3">
      <c r="A4435" s="5" t="s">
        <v>5302</v>
      </c>
      <c r="B4435" s="11">
        <v>45530</v>
      </c>
      <c r="C4435" s="5" t="s">
        <v>215</v>
      </c>
      <c r="D4435" s="5" t="s">
        <v>200</v>
      </c>
      <c r="E4435" s="5" t="s">
        <v>21</v>
      </c>
      <c r="F4435" s="5">
        <v>2</v>
      </c>
      <c r="G4435" s="19">
        <v>0.15</v>
      </c>
      <c r="H4435" s="5" t="s">
        <v>776</v>
      </c>
      <c r="I4435" s="10">
        <f>IF(OR(D4435="", F4435=""), "", F4435 * VLOOKUP(D4435, Products!A:E, 5, FALSE) * (1 - G4435))</f>
        <v>1862.7239999999999</v>
      </c>
      <c r="J4435" s="10"/>
    </row>
    <row r="4436" spans="1:10" ht="15.75" customHeight="1" x14ac:dyDescent="0.3">
      <c r="A4436" s="5" t="s">
        <v>5303</v>
      </c>
      <c r="B4436" s="11">
        <v>45895</v>
      </c>
      <c r="C4436" s="5" t="s">
        <v>850</v>
      </c>
      <c r="D4436" s="5" t="s">
        <v>109</v>
      </c>
      <c r="E4436" s="5" t="s">
        <v>37</v>
      </c>
      <c r="F4436" s="5">
        <v>4</v>
      </c>
      <c r="G4436" s="19">
        <v>0</v>
      </c>
      <c r="H4436" s="5" t="s">
        <v>637</v>
      </c>
      <c r="I4436" s="10">
        <f>IF(OR(D4436="", F4436=""), "", F4436 * VLOOKUP(D4436, Products!A:E, 5, FALSE) * (1 - G4436))</f>
        <v>7435</v>
      </c>
      <c r="J4436" s="10"/>
    </row>
    <row r="4437" spans="1:10" ht="15.75" customHeight="1" x14ac:dyDescent="0.3">
      <c r="A4437" s="5" t="s">
        <v>5304</v>
      </c>
      <c r="B4437" s="11">
        <v>45275</v>
      </c>
      <c r="C4437" s="5" t="s">
        <v>634</v>
      </c>
      <c r="D4437" s="5" t="s">
        <v>50</v>
      </c>
      <c r="E4437" s="5" t="s">
        <v>25</v>
      </c>
      <c r="F4437" s="5">
        <v>2</v>
      </c>
      <c r="G4437" s="19">
        <v>0</v>
      </c>
      <c r="H4437" s="5" t="s">
        <v>776</v>
      </c>
      <c r="I4437" s="10">
        <f>IF(OR(D4437="", F4437=""), "", F4437 * VLOOKUP(D4437, Products!A:E, 5, FALSE) * (1 - G4437))</f>
        <v>675.26</v>
      </c>
      <c r="J4437" s="10"/>
    </row>
    <row r="4438" spans="1:10" ht="15.75" customHeight="1" x14ac:dyDescent="0.3">
      <c r="A4438" s="5" t="s">
        <v>5305</v>
      </c>
      <c r="B4438" s="11">
        <v>45463</v>
      </c>
      <c r="C4438" s="5" t="s">
        <v>409</v>
      </c>
      <c r="D4438" s="5" t="s">
        <v>54</v>
      </c>
      <c r="E4438" s="5" t="s">
        <v>29</v>
      </c>
      <c r="F4438" s="5">
        <v>3</v>
      </c>
      <c r="G4438" s="19">
        <v>0.15</v>
      </c>
      <c r="H4438" s="5" t="s">
        <v>776</v>
      </c>
      <c r="I4438" s="10">
        <f>IF(OR(D4438="", F4438=""), "", F4438 * VLOOKUP(D4438, Products!A:E, 5, FALSE) * (1 - G4438))</f>
        <v>4727.1134999999995</v>
      </c>
      <c r="J4438" s="10"/>
    </row>
    <row r="4439" spans="1:10" ht="15.75" customHeight="1" x14ac:dyDescent="0.3">
      <c r="A4439" s="5" t="s">
        <v>5306</v>
      </c>
      <c r="B4439" s="11">
        <v>45472</v>
      </c>
      <c r="C4439" s="5" t="s">
        <v>634</v>
      </c>
      <c r="D4439" s="5" t="s">
        <v>115</v>
      </c>
      <c r="E4439" s="5" t="s">
        <v>21</v>
      </c>
      <c r="F4439" s="5">
        <v>5</v>
      </c>
      <c r="G4439" s="19">
        <v>0.05</v>
      </c>
      <c r="H4439" s="5" t="s">
        <v>776</v>
      </c>
      <c r="I4439" s="10">
        <f>IF(OR(D4439="", F4439=""), "", F4439 * VLOOKUP(D4439, Products!A:E, 5, FALSE) * (1 - G4439))</f>
        <v>5919.0224999999991</v>
      </c>
      <c r="J4439" s="10"/>
    </row>
    <row r="4440" spans="1:10" ht="15.75" customHeight="1" x14ac:dyDescent="0.3">
      <c r="A4440" s="5" t="s">
        <v>5307</v>
      </c>
      <c r="B4440" s="11">
        <v>45790</v>
      </c>
      <c r="C4440" s="5" t="s">
        <v>618</v>
      </c>
      <c r="D4440" s="5" t="s">
        <v>175</v>
      </c>
      <c r="E4440" s="5" t="s">
        <v>21</v>
      </c>
      <c r="F4440" s="5">
        <v>4</v>
      </c>
      <c r="G4440" s="19">
        <v>0.1</v>
      </c>
      <c r="H4440" s="5" t="s">
        <v>454</v>
      </c>
      <c r="I4440" s="10">
        <f>IF(OR(D4440="", F4440=""), "", F4440 * VLOOKUP(D4440, Products!A:E, 5, FALSE) * (1 - G4440))</f>
        <v>4580.0280000000002</v>
      </c>
      <c r="J4440" s="10"/>
    </row>
    <row r="4441" spans="1:10" ht="15.75" customHeight="1" x14ac:dyDescent="0.3">
      <c r="A4441" s="5" t="s">
        <v>5308</v>
      </c>
      <c r="B4441" s="11">
        <v>45825</v>
      </c>
      <c r="C4441" s="5" t="s">
        <v>401</v>
      </c>
      <c r="D4441" s="5" t="s">
        <v>269</v>
      </c>
      <c r="E4441" s="5" t="s">
        <v>33</v>
      </c>
      <c r="F4441" s="5">
        <v>1</v>
      </c>
      <c r="G4441" s="19">
        <v>0.05</v>
      </c>
      <c r="H4441" s="5" t="s">
        <v>697</v>
      </c>
      <c r="I4441" s="10">
        <f>IF(OR(D4441="", F4441=""), "", F4441 * VLOOKUP(D4441, Products!A:E, 5, FALSE) * (1 - G4441))</f>
        <v>1785.1259999999997</v>
      </c>
      <c r="J4441" s="10"/>
    </row>
    <row r="4442" spans="1:10" ht="15.75" customHeight="1" x14ac:dyDescent="0.3">
      <c r="A4442" s="5" t="s">
        <v>5309</v>
      </c>
      <c r="B4442" s="11">
        <v>45278</v>
      </c>
      <c r="C4442" s="5" t="s">
        <v>862</v>
      </c>
      <c r="D4442" s="5" t="s">
        <v>74</v>
      </c>
      <c r="E4442" s="5" t="s">
        <v>29</v>
      </c>
      <c r="F4442" s="5">
        <v>3</v>
      </c>
      <c r="G4442" s="19">
        <v>0.05</v>
      </c>
      <c r="H4442" s="5" t="s">
        <v>697</v>
      </c>
      <c r="I4442" s="10">
        <f>IF(OR(D4442="", F4442=""), "", F4442 * VLOOKUP(D4442, Products!A:E, 5, FALSE) * (1 - G4442))</f>
        <v>3403.2419999999997</v>
      </c>
      <c r="J4442" s="10"/>
    </row>
    <row r="4443" spans="1:10" ht="15.75" customHeight="1" x14ac:dyDescent="0.3">
      <c r="A4443" s="5" t="s">
        <v>5310</v>
      </c>
      <c r="B4443" s="11">
        <v>45521</v>
      </c>
      <c r="C4443" s="5" t="s">
        <v>515</v>
      </c>
      <c r="D4443" s="5" t="s">
        <v>256</v>
      </c>
      <c r="E4443" s="5" t="s">
        <v>25</v>
      </c>
      <c r="F4443" s="5">
        <v>1</v>
      </c>
      <c r="G4443" s="19">
        <v>0.15</v>
      </c>
      <c r="H4443" s="5" t="s">
        <v>776</v>
      </c>
      <c r="I4443" s="10">
        <f>IF(OR(D4443="", F4443=""), "", F4443 * VLOOKUP(D4443, Products!A:E, 5, FALSE) * (1 - G4443))</f>
        <v>1389.7584999999999</v>
      </c>
      <c r="J4443" s="10"/>
    </row>
    <row r="4444" spans="1:10" ht="15.75" customHeight="1" x14ac:dyDescent="0.3">
      <c r="A4444" s="5" t="s">
        <v>5311</v>
      </c>
      <c r="B4444" s="11">
        <v>45283</v>
      </c>
      <c r="C4444" s="5" t="s">
        <v>296</v>
      </c>
      <c r="D4444" s="5" t="s">
        <v>243</v>
      </c>
      <c r="E4444" s="5" t="s">
        <v>29</v>
      </c>
      <c r="F4444" s="5">
        <v>2</v>
      </c>
      <c r="G4444" s="19">
        <v>0.05</v>
      </c>
      <c r="H4444" s="5" t="s">
        <v>454</v>
      </c>
      <c r="I4444" s="10">
        <f>IF(OR(D4444="", F4444=""), "", F4444 * VLOOKUP(D4444, Products!A:E, 5, FALSE) * (1 - G4444))</f>
        <v>1027.7860000000001</v>
      </c>
      <c r="J4444" s="10"/>
    </row>
    <row r="4445" spans="1:10" ht="15.75" customHeight="1" x14ac:dyDescent="0.3">
      <c r="A4445" s="5" t="s">
        <v>5312</v>
      </c>
      <c r="B4445" s="11">
        <v>45249</v>
      </c>
      <c r="C4445" s="5" t="s">
        <v>859</v>
      </c>
      <c r="D4445" s="5" t="s">
        <v>67</v>
      </c>
      <c r="E4445" s="5" t="s">
        <v>21</v>
      </c>
      <c r="F4445" s="5">
        <v>2</v>
      </c>
      <c r="G4445" s="19">
        <v>0</v>
      </c>
      <c r="H4445" s="5" t="s">
        <v>454</v>
      </c>
      <c r="I4445" s="10">
        <f>IF(OR(D4445="", F4445=""), "", F4445 * VLOOKUP(D4445, Products!A:E, 5, FALSE) * (1 - G4445))</f>
        <v>219.56</v>
      </c>
      <c r="J4445" s="10"/>
    </row>
    <row r="4446" spans="1:10" ht="15.75" customHeight="1" x14ac:dyDescent="0.3">
      <c r="A4446" s="5" t="s">
        <v>5313</v>
      </c>
      <c r="B4446" s="11">
        <v>45599</v>
      </c>
      <c r="C4446" s="5" t="s">
        <v>462</v>
      </c>
      <c r="D4446" s="5" t="s">
        <v>285</v>
      </c>
      <c r="E4446" s="5" t="s">
        <v>33</v>
      </c>
      <c r="F4446" s="5">
        <v>4</v>
      </c>
      <c r="G4446" s="19">
        <v>0.05</v>
      </c>
      <c r="H4446" s="5" t="s">
        <v>637</v>
      </c>
      <c r="I4446" s="10">
        <f>IF(OR(D4446="", F4446=""), "", F4446 * VLOOKUP(D4446, Products!A:E, 5, FALSE) * (1 - G4446))</f>
        <v>1475.3879999999999</v>
      </c>
      <c r="J4446" s="10"/>
    </row>
    <row r="4447" spans="1:10" ht="15.75" customHeight="1" x14ac:dyDescent="0.3">
      <c r="A4447" s="5" t="s">
        <v>5314</v>
      </c>
      <c r="B4447" s="11">
        <v>45322</v>
      </c>
      <c r="C4447" s="5" t="s">
        <v>740</v>
      </c>
      <c r="D4447" s="5" t="s">
        <v>265</v>
      </c>
      <c r="E4447" s="5" t="s">
        <v>21</v>
      </c>
      <c r="F4447" s="5">
        <v>2</v>
      </c>
      <c r="G4447" s="19">
        <v>0.05</v>
      </c>
      <c r="H4447" s="5" t="s">
        <v>637</v>
      </c>
      <c r="I4447" s="10">
        <f>IF(OR(D4447="", F4447=""), "", F4447 * VLOOKUP(D4447, Products!A:E, 5, FALSE) * (1 - G4447))</f>
        <v>1072.3979999999999</v>
      </c>
      <c r="J4447" s="10"/>
    </row>
    <row r="4448" spans="1:10" ht="15.75" customHeight="1" x14ac:dyDescent="0.3">
      <c r="A4448" s="5" t="s">
        <v>5315</v>
      </c>
      <c r="B4448" s="11">
        <v>45758</v>
      </c>
      <c r="C4448" s="5" t="s">
        <v>762</v>
      </c>
      <c r="D4448" s="5" t="s">
        <v>285</v>
      </c>
      <c r="E4448" s="5" t="s">
        <v>29</v>
      </c>
      <c r="F4448" s="5">
        <v>3</v>
      </c>
      <c r="G4448" s="19">
        <v>0</v>
      </c>
      <c r="H4448" s="5" t="s">
        <v>697</v>
      </c>
      <c r="I4448" s="10">
        <f>IF(OR(D4448="", F4448=""), "", F4448 * VLOOKUP(D4448, Products!A:E, 5, FALSE) * (1 - G4448))</f>
        <v>1164.78</v>
      </c>
      <c r="J4448" s="10"/>
    </row>
    <row r="4449" spans="1:10" ht="15.75" customHeight="1" x14ac:dyDescent="0.3">
      <c r="A4449" s="5" t="s">
        <v>5316</v>
      </c>
      <c r="B4449" s="11">
        <v>45392</v>
      </c>
      <c r="C4449" s="5" t="s">
        <v>281</v>
      </c>
      <c r="D4449" s="5" t="s">
        <v>95</v>
      </c>
      <c r="E4449" s="5" t="s">
        <v>33</v>
      </c>
      <c r="F4449" s="5">
        <v>4</v>
      </c>
      <c r="G4449" s="19">
        <v>0</v>
      </c>
      <c r="H4449" s="5" t="s">
        <v>637</v>
      </c>
      <c r="I4449" s="10">
        <f>IF(OR(D4449="", F4449=""), "", F4449 * VLOOKUP(D4449, Products!A:E, 5, FALSE) * (1 - G4449))</f>
        <v>5371</v>
      </c>
      <c r="J4449" s="10"/>
    </row>
    <row r="4450" spans="1:10" ht="15.75" customHeight="1" x14ac:dyDescent="0.3">
      <c r="A4450" s="5" t="s">
        <v>5317</v>
      </c>
      <c r="B4450" s="11">
        <v>45434</v>
      </c>
      <c r="C4450" s="5" t="s">
        <v>729</v>
      </c>
      <c r="D4450" s="5" t="s">
        <v>206</v>
      </c>
      <c r="E4450" s="5" t="s">
        <v>29</v>
      </c>
      <c r="F4450" s="5">
        <v>5</v>
      </c>
      <c r="G4450" s="19">
        <v>0</v>
      </c>
      <c r="H4450" s="5" t="s">
        <v>697</v>
      </c>
      <c r="I4450" s="10">
        <f>IF(OR(D4450="", F4450=""), "", F4450 * VLOOKUP(D4450, Products!A:E, 5, FALSE) * (1 - G4450))</f>
        <v>1523.55</v>
      </c>
      <c r="J4450" s="10"/>
    </row>
    <row r="4451" spans="1:10" ht="15.75" customHeight="1" x14ac:dyDescent="0.3">
      <c r="A4451" s="5" t="s">
        <v>5318</v>
      </c>
      <c r="B4451" s="11">
        <v>45621</v>
      </c>
      <c r="C4451" s="5" t="s">
        <v>429</v>
      </c>
      <c r="D4451" s="5" t="s">
        <v>226</v>
      </c>
      <c r="E4451" s="5" t="s">
        <v>29</v>
      </c>
      <c r="F4451" s="5">
        <v>3</v>
      </c>
      <c r="G4451" s="19">
        <v>0.1</v>
      </c>
      <c r="H4451" s="5" t="s">
        <v>776</v>
      </c>
      <c r="I4451" s="10">
        <f>IF(OR(D4451="", F4451=""), "", F4451 * VLOOKUP(D4451, Products!A:E, 5, FALSE) * (1 - G4451))</f>
        <v>4053.942</v>
      </c>
      <c r="J4451" s="10"/>
    </row>
    <row r="4452" spans="1:10" ht="15.75" customHeight="1" x14ac:dyDescent="0.3">
      <c r="A4452" s="5" t="s">
        <v>5319</v>
      </c>
      <c r="B4452" s="11">
        <v>45676</v>
      </c>
      <c r="C4452" s="5" t="s">
        <v>532</v>
      </c>
      <c r="D4452" s="5" t="s">
        <v>128</v>
      </c>
      <c r="E4452" s="5" t="s">
        <v>21</v>
      </c>
      <c r="F4452" s="5">
        <v>2</v>
      </c>
      <c r="G4452" s="19">
        <v>0</v>
      </c>
      <c r="H4452" s="5" t="s">
        <v>776</v>
      </c>
      <c r="I4452" s="10">
        <f>IF(OR(D4452="", F4452=""), "", F4452 * VLOOKUP(D4452, Products!A:E, 5, FALSE) * (1 - G4452))</f>
        <v>647.84</v>
      </c>
      <c r="J4452" s="10"/>
    </row>
    <row r="4453" spans="1:10" ht="15.75" customHeight="1" x14ac:dyDescent="0.3">
      <c r="A4453" s="5" t="s">
        <v>5320</v>
      </c>
      <c r="B4453" s="11">
        <v>45421</v>
      </c>
      <c r="C4453" s="5" t="s">
        <v>708</v>
      </c>
      <c r="D4453" s="5" t="s">
        <v>212</v>
      </c>
      <c r="E4453" s="5" t="s">
        <v>21</v>
      </c>
      <c r="F4453" s="5">
        <v>3</v>
      </c>
      <c r="G4453" s="19">
        <v>0</v>
      </c>
      <c r="H4453" s="5" t="s">
        <v>697</v>
      </c>
      <c r="I4453" s="10">
        <f>IF(OR(D4453="", F4453=""), "", F4453 * VLOOKUP(D4453, Products!A:E, 5, FALSE) * (1 - G4453))</f>
        <v>5396.91</v>
      </c>
      <c r="J4453" s="10"/>
    </row>
    <row r="4454" spans="1:10" ht="15.75" customHeight="1" x14ac:dyDescent="0.3">
      <c r="A4454" s="5" t="s">
        <v>5321</v>
      </c>
      <c r="B4454" s="11">
        <v>45770</v>
      </c>
      <c r="C4454" s="5" t="s">
        <v>579</v>
      </c>
      <c r="D4454" s="5" t="s">
        <v>70</v>
      </c>
      <c r="E4454" s="5" t="s">
        <v>37</v>
      </c>
      <c r="F4454" s="5">
        <v>4</v>
      </c>
      <c r="G4454" s="19">
        <v>0.1</v>
      </c>
      <c r="H4454" s="5" t="s">
        <v>637</v>
      </c>
      <c r="I4454" s="10">
        <f>IF(OR(D4454="", F4454=""), "", F4454 * VLOOKUP(D4454, Products!A:E, 5, FALSE) * (1 - G4454))</f>
        <v>443.48399999999998</v>
      </c>
      <c r="J4454" s="10"/>
    </row>
    <row r="4455" spans="1:10" ht="15.75" customHeight="1" x14ac:dyDescent="0.3">
      <c r="A4455" s="5" t="s">
        <v>5322</v>
      </c>
      <c r="B4455" s="11">
        <v>45318</v>
      </c>
      <c r="C4455" s="5" t="s">
        <v>412</v>
      </c>
      <c r="D4455" s="5" t="s">
        <v>206</v>
      </c>
      <c r="E4455" s="5" t="s">
        <v>33</v>
      </c>
      <c r="F4455" s="5">
        <v>5</v>
      </c>
      <c r="G4455" s="19">
        <v>0.15</v>
      </c>
      <c r="H4455" s="5" t="s">
        <v>637</v>
      </c>
      <c r="I4455" s="10">
        <f>IF(OR(D4455="", F4455=""), "", F4455 * VLOOKUP(D4455, Products!A:E, 5, FALSE) * (1 - G4455))</f>
        <v>1295.0174999999999</v>
      </c>
      <c r="J4455" s="10"/>
    </row>
    <row r="4456" spans="1:10" ht="15.75" customHeight="1" x14ac:dyDescent="0.3">
      <c r="A4456" s="5" t="s">
        <v>5323</v>
      </c>
      <c r="B4456" s="11">
        <v>45506</v>
      </c>
      <c r="C4456" s="5" t="s">
        <v>274</v>
      </c>
      <c r="D4456" s="5" t="s">
        <v>65</v>
      </c>
      <c r="E4456" s="5" t="s">
        <v>25</v>
      </c>
      <c r="F4456" s="5">
        <v>4</v>
      </c>
      <c r="G4456" s="19">
        <v>0.15</v>
      </c>
      <c r="H4456" s="5" t="s">
        <v>776</v>
      </c>
      <c r="I4456" s="10">
        <f>IF(OR(D4456="", F4456=""), "", F4456 * VLOOKUP(D4456, Products!A:E, 5, FALSE) * (1 - G4456))</f>
        <v>5012.0079999999998</v>
      </c>
      <c r="J4456" s="10"/>
    </row>
    <row r="4457" spans="1:10" ht="15.75" customHeight="1" x14ac:dyDescent="0.3">
      <c r="A4457" s="5" t="s">
        <v>5324</v>
      </c>
      <c r="B4457" s="11">
        <v>45203</v>
      </c>
      <c r="C4457" s="5" t="s">
        <v>81</v>
      </c>
      <c r="D4457" s="5" t="s">
        <v>153</v>
      </c>
      <c r="E4457" s="5" t="s">
        <v>37</v>
      </c>
      <c r="F4457" s="5">
        <v>5</v>
      </c>
      <c r="G4457" s="19">
        <v>0.1</v>
      </c>
      <c r="H4457" s="5" t="s">
        <v>454</v>
      </c>
      <c r="I4457" s="10">
        <f>IF(OR(D4457="", F4457=""), "", F4457 * VLOOKUP(D4457, Products!A:E, 5, FALSE) * (1 - G4457))</f>
        <v>6693.3450000000003</v>
      </c>
      <c r="J4457" s="10"/>
    </row>
    <row r="4458" spans="1:10" ht="15.75" customHeight="1" x14ac:dyDescent="0.3">
      <c r="A4458" s="5" t="s">
        <v>5325</v>
      </c>
      <c r="B4458" s="11">
        <v>45302</v>
      </c>
      <c r="C4458" s="5" t="s">
        <v>600</v>
      </c>
      <c r="D4458" s="5" t="s">
        <v>65</v>
      </c>
      <c r="E4458" s="5" t="s">
        <v>29</v>
      </c>
      <c r="F4458" s="5">
        <v>1</v>
      </c>
      <c r="G4458" s="19">
        <v>0.05</v>
      </c>
      <c r="H4458" s="5" t="s">
        <v>637</v>
      </c>
      <c r="I4458" s="10">
        <f>IF(OR(D4458="", F4458=""), "", F4458 * VLOOKUP(D4458, Products!A:E, 5, FALSE) * (1 - G4458))</f>
        <v>1400.4139999999998</v>
      </c>
      <c r="J4458" s="10"/>
    </row>
    <row r="4459" spans="1:10" ht="15.75" customHeight="1" x14ac:dyDescent="0.3">
      <c r="A4459" s="5" t="s">
        <v>5326</v>
      </c>
      <c r="B4459" s="11">
        <v>45240</v>
      </c>
      <c r="C4459" s="5" t="s">
        <v>773</v>
      </c>
      <c r="D4459" s="5" t="s">
        <v>54</v>
      </c>
      <c r="E4459" s="5" t="s">
        <v>37</v>
      </c>
      <c r="F4459" s="5">
        <v>1</v>
      </c>
      <c r="G4459" s="19">
        <v>0</v>
      </c>
      <c r="H4459" s="5" t="s">
        <v>776</v>
      </c>
      <c r="I4459" s="10">
        <f>IF(OR(D4459="", F4459=""), "", F4459 * VLOOKUP(D4459, Products!A:E, 5, FALSE) * (1 - G4459))</f>
        <v>1853.77</v>
      </c>
      <c r="J4459" s="10"/>
    </row>
    <row r="4460" spans="1:10" ht="15.75" customHeight="1" x14ac:dyDescent="0.3">
      <c r="A4460" s="5" t="s">
        <v>5327</v>
      </c>
      <c r="B4460" s="11">
        <v>45688</v>
      </c>
      <c r="C4460" s="5" t="s">
        <v>631</v>
      </c>
      <c r="D4460" s="5" t="s">
        <v>122</v>
      </c>
      <c r="E4460" s="5" t="s">
        <v>29</v>
      </c>
      <c r="F4460" s="5">
        <v>5</v>
      </c>
      <c r="G4460" s="19">
        <v>0.05</v>
      </c>
      <c r="H4460" s="5" t="s">
        <v>776</v>
      </c>
      <c r="I4460" s="10">
        <f>IF(OR(D4460="", F4460=""), "", F4460 * VLOOKUP(D4460, Products!A:E, 5, FALSE) * (1 - G4460))</f>
        <v>8373.8700000000008</v>
      </c>
      <c r="J4460" s="10"/>
    </row>
    <row r="4461" spans="1:10" ht="15.75" customHeight="1" x14ac:dyDescent="0.3">
      <c r="A4461" s="5" t="s">
        <v>5328</v>
      </c>
      <c r="B4461" s="11">
        <v>45793</v>
      </c>
      <c r="C4461" s="5" t="s">
        <v>583</v>
      </c>
      <c r="D4461" s="5" t="s">
        <v>180</v>
      </c>
      <c r="E4461" s="5" t="s">
        <v>29</v>
      </c>
      <c r="F4461" s="5">
        <v>1</v>
      </c>
      <c r="G4461" s="19">
        <v>0</v>
      </c>
      <c r="H4461" s="5" t="s">
        <v>637</v>
      </c>
      <c r="I4461" s="10">
        <f>IF(OR(D4461="", F4461=""), "", F4461 * VLOOKUP(D4461, Products!A:E, 5, FALSE) * (1 - G4461))</f>
        <v>673.78</v>
      </c>
      <c r="J4461" s="10"/>
    </row>
    <row r="4462" spans="1:10" ht="15.75" customHeight="1" x14ac:dyDescent="0.3">
      <c r="A4462" s="5" t="s">
        <v>5329</v>
      </c>
      <c r="B4462" s="11">
        <v>45814</v>
      </c>
      <c r="C4462" s="5" t="s">
        <v>705</v>
      </c>
      <c r="D4462" s="5" t="s">
        <v>147</v>
      </c>
      <c r="E4462" s="5" t="s">
        <v>37</v>
      </c>
      <c r="F4462" s="5">
        <v>2</v>
      </c>
      <c r="G4462" s="19">
        <v>0.15</v>
      </c>
      <c r="H4462" s="5" t="s">
        <v>697</v>
      </c>
      <c r="I4462" s="10">
        <f>IF(OR(D4462="", F4462=""), "", F4462 * VLOOKUP(D4462, Products!A:E, 5, FALSE) * (1 - G4462))</f>
        <v>3193.3989999999999</v>
      </c>
      <c r="J4462" s="10"/>
    </row>
    <row r="4463" spans="1:10" ht="15.75" customHeight="1" x14ac:dyDescent="0.3">
      <c r="A4463" s="5" t="s">
        <v>5330</v>
      </c>
      <c r="B4463" s="11">
        <v>45825</v>
      </c>
      <c r="C4463" s="5" t="s">
        <v>353</v>
      </c>
      <c r="D4463" s="5" t="s">
        <v>217</v>
      </c>
      <c r="E4463" s="5" t="s">
        <v>29</v>
      </c>
      <c r="F4463" s="5">
        <v>2</v>
      </c>
      <c r="G4463" s="19">
        <v>0.1</v>
      </c>
      <c r="H4463" s="5" t="s">
        <v>454</v>
      </c>
      <c r="I4463" s="10">
        <f>IF(OR(D4463="", F4463=""), "", F4463 * VLOOKUP(D4463, Products!A:E, 5, FALSE) * (1 - G4463))</f>
        <v>770.49</v>
      </c>
      <c r="J4463" s="10"/>
    </row>
    <row r="4464" spans="1:10" ht="15.75" customHeight="1" x14ac:dyDescent="0.3">
      <c r="A4464" s="5" t="s">
        <v>5331</v>
      </c>
      <c r="B4464" s="11">
        <v>45651</v>
      </c>
      <c r="C4464" s="5" t="s">
        <v>649</v>
      </c>
      <c r="D4464" s="5" t="s">
        <v>77</v>
      </c>
      <c r="E4464" s="5" t="s">
        <v>33</v>
      </c>
      <c r="F4464" s="5">
        <v>3</v>
      </c>
      <c r="G4464" s="19">
        <v>0.15</v>
      </c>
      <c r="H4464" s="5" t="s">
        <v>776</v>
      </c>
      <c r="I4464" s="10">
        <f>IF(OR(D4464="", F4464=""), "", F4464 * VLOOKUP(D4464, Products!A:E, 5, FALSE) * (1 - G4464))</f>
        <v>633.85350000000005</v>
      </c>
      <c r="J4464" s="10"/>
    </row>
    <row r="4465" spans="1:10" ht="15.75" customHeight="1" x14ac:dyDescent="0.3">
      <c r="A4465" s="5" t="s">
        <v>5332</v>
      </c>
      <c r="B4465" s="11">
        <v>45743</v>
      </c>
      <c r="C4465" s="5" t="s">
        <v>645</v>
      </c>
      <c r="D4465" s="5" t="s">
        <v>269</v>
      </c>
      <c r="E4465" s="5" t="s">
        <v>25</v>
      </c>
      <c r="F4465" s="5">
        <v>1</v>
      </c>
      <c r="G4465" s="19">
        <v>0.05</v>
      </c>
      <c r="H4465" s="5" t="s">
        <v>637</v>
      </c>
      <c r="I4465" s="10">
        <f>IF(OR(D4465="", F4465=""), "", F4465 * VLOOKUP(D4465, Products!A:E, 5, FALSE) * (1 - G4465))</f>
        <v>1785.1259999999997</v>
      </c>
      <c r="J4465" s="10"/>
    </row>
    <row r="4466" spans="1:10" ht="15.75" customHeight="1" x14ac:dyDescent="0.3">
      <c r="A4466" s="5" t="s">
        <v>5333</v>
      </c>
      <c r="B4466" s="11">
        <v>45206</v>
      </c>
      <c r="C4466" s="5" t="s">
        <v>474</v>
      </c>
      <c r="D4466" s="5" t="s">
        <v>212</v>
      </c>
      <c r="E4466" s="5" t="s">
        <v>29</v>
      </c>
      <c r="F4466" s="5">
        <v>4</v>
      </c>
      <c r="G4466" s="19">
        <v>0.05</v>
      </c>
      <c r="H4466" s="5" t="s">
        <v>697</v>
      </c>
      <c r="I4466" s="10">
        <f>IF(OR(D4466="", F4466=""), "", F4466 * VLOOKUP(D4466, Products!A:E, 5, FALSE) * (1 - G4466))</f>
        <v>6836.0859999999993</v>
      </c>
      <c r="J4466" s="10"/>
    </row>
    <row r="4467" spans="1:10" ht="15.75" customHeight="1" x14ac:dyDescent="0.3">
      <c r="A4467" s="5" t="s">
        <v>5334</v>
      </c>
      <c r="B4467" s="11">
        <v>45823</v>
      </c>
      <c r="C4467" s="5" t="s">
        <v>823</v>
      </c>
      <c r="D4467" s="5" t="s">
        <v>43</v>
      </c>
      <c r="E4467" s="5" t="s">
        <v>21</v>
      </c>
      <c r="F4467" s="5">
        <v>2</v>
      </c>
      <c r="G4467" s="19">
        <v>0</v>
      </c>
      <c r="H4467" s="5" t="s">
        <v>697</v>
      </c>
      <c r="I4467" s="10">
        <f>IF(OR(D4467="", F4467=""), "", F4467 * VLOOKUP(D4467, Products!A:E, 5, FALSE) * (1 - G4467))</f>
        <v>3347.38</v>
      </c>
      <c r="J4467" s="10"/>
    </row>
    <row r="4468" spans="1:10" ht="15.75" customHeight="1" x14ac:dyDescent="0.3">
      <c r="A4468" s="5" t="s">
        <v>5335</v>
      </c>
      <c r="B4468" s="11">
        <v>45569</v>
      </c>
      <c r="C4468" s="5" t="s">
        <v>357</v>
      </c>
      <c r="D4468" s="5" t="s">
        <v>217</v>
      </c>
      <c r="E4468" s="5" t="s">
        <v>33</v>
      </c>
      <c r="F4468" s="5">
        <v>2</v>
      </c>
      <c r="G4468" s="19">
        <v>0</v>
      </c>
      <c r="H4468" s="5" t="s">
        <v>454</v>
      </c>
      <c r="I4468" s="10">
        <f>IF(OR(D4468="", F4468=""), "", F4468 * VLOOKUP(D4468, Products!A:E, 5, FALSE) * (1 - G4468))</f>
        <v>856.1</v>
      </c>
      <c r="J4468" s="10"/>
    </row>
    <row r="4469" spans="1:10" ht="15.75" customHeight="1" x14ac:dyDescent="0.3">
      <c r="A4469" s="5" t="s">
        <v>5336</v>
      </c>
      <c r="B4469" s="11">
        <v>45601</v>
      </c>
      <c r="C4469" s="5" t="s">
        <v>484</v>
      </c>
      <c r="D4469" s="5" t="s">
        <v>103</v>
      </c>
      <c r="E4469" s="5" t="s">
        <v>21</v>
      </c>
      <c r="F4469" s="5">
        <v>2</v>
      </c>
      <c r="G4469" s="19">
        <v>0.05</v>
      </c>
      <c r="H4469" s="5" t="s">
        <v>776</v>
      </c>
      <c r="I4469" s="10">
        <f>IF(OR(D4469="", F4469=""), "", F4469 * VLOOKUP(D4469, Products!A:E, 5, FALSE) * (1 - G4469))</f>
        <v>513.8549999999999</v>
      </c>
      <c r="J4469" s="10"/>
    </row>
    <row r="4470" spans="1:10" ht="15.75" customHeight="1" x14ac:dyDescent="0.3">
      <c r="A4470" s="5" t="s">
        <v>5337</v>
      </c>
      <c r="B4470" s="11">
        <v>45319</v>
      </c>
      <c r="C4470" s="5" t="s">
        <v>171</v>
      </c>
      <c r="D4470" s="5" t="s">
        <v>89</v>
      </c>
      <c r="E4470" s="5" t="s">
        <v>21</v>
      </c>
      <c r="F4470" s="5">
        <v>1</v>
      </c>
      <c r="G4470" s="19">
        <v>0.15</v>
      </c>
      <c r="H4470" s="5" t="s">
        <v>697</v>
      </c>
      <c r="I4470" s="10">
        <f>IF(OR(D4470="", F4470=""), "", F4470 * VLOOKUP(D4470, Products!A:E, 5, FALSE) * (1 - G4470))</f>
        <v>964.57999999999993</v>
      </c>
      <c r="J4470" s="10"/>
    </row>
    <row r="4471" spans="1:10" ht="15.75" customHeight="1" x14ac:dyDescent="0.3">
      <c r="A4471" s="5" t="s">
        <v>5338</v>
      </c>
      <c r="B4471" s="11">
        <v>45809</v>
      </c>
      <c r="C4471" s="5" t="s">
        <v>447</v>
      </c>
      <c r="D4471" s="5" t="s">
        <v>226</v>
      </c>
      <c r="E4471" s="5" t="s">
        <v>33</v>
      </c>
      <c r="F4471" s="5">
        <v>4</v>
      </c>
      <c r="G4471" s="19">
        <v>0.05</v>
      </c>
      <c r="H4471" s="5" t="s">
        <v>776</v>
      </c>
      <c r="I4471" s="10">
        <f>IF(OR(D4471="", F4471=""), "", F4471 * VLOOKUP(D4471, Products!A:E, 5, FALSE) * (1 - G4471))</f>
        <v>5705.5479999999998</v>
      </c>
      <c r="J4471" s="10"/>
    </row>
    <row r="4472" spans="1:10" ht="15.75" customHeight="1" x14ac:dyDescent="0.3">
      <c r="A4472" s="5" t="s">
        <v>5339</v>
      </c>
      <c r="B4472" s="11">
        <v>45536</v>
      </c>
      <c r="C4472" s="5" t="s">
        <v>736</v>
      </c>
      <c r="D4472" s="5" t="s">
        <v>89</v>
      </c>
      <c r="E4472" s="5" t="s">
        <v>21</v>
      </c>
      <c r="F4472" s="5">
        <v>1</v>
      </c>
      <c r="G4472" s="19">
        <v>0</v>
      </c>
      <c r="H4472" s="5" t="s">
        <v>776</v>
      </c>
      <c r="I4472" s="10">
        <f>IF(OR(D4472="", F4472=""), "", F4472 * VLOOKUP(D4472, Products!A:E, 5, FALSE) * (1 - G4472))</f>
        <v>1134.8</v>
      </c>
      <c r="J4472" s="10"/>
    </row>
    <row r="4473" spans="1:10" ht="15.75" customHeight="1" x14ac:dyDescent="0.3">
      <c r="A4473" s="5" t="s">
        <v>5340</v>
      </c>
      <c r="B4473" s="11">
        <v>45348</v>
      </c>
      <c r="C4473" s="5" t="s">
        <v>409</v>
      </c>
      <c r="D4473" s="5" t="s">
        <v>217</v>
      </c>
      <c r="E4473" s="5" t="s">
        <v>21</v>
      </c>
      <c r="F4473" s="5">
        <v>4</v>
      </c>
      <c r="G4473" s="19">
        <v>0</v>
      </c>
      <c r="H4473" s="5" t="s">
        <v>776</v>
      </c>
      <c r="I4473" s="10">
        <f>IF(OR(D4473="", F4473=""), "", F4473 * VLOOKUP(D4473, Products!A:E, 5, FALSE) * (1 - G4473))</f>
        <v>1712.2</v>
      </c>
      <c r="J4473" s="10"/>
    </row>
    <row r="4474" spans="1:10" ht="15.75" customHeight="1" x14ac:dyDescent="0.3">
      <c r="A4474" s="5" t="s">
        <v>5341</v>
      </c>
      <c r="B4474" s="11">
        <v>45625</v>
      </c>
      <c r="C4474" s="5" t="s">
        <v>711</v>
      </c>
      <c r="D4474" s="5" t="s">
        <v>162</v>
      </c>
      <c r="E4474" s="5" t="s">
        <v>21</v>
      </c>
      <c r="F4474" s="5">
        <v>4</v>
      </c>
      <c r="G4474" s="19">
        <v>0.05</v>
      </c>
      <c r="H4474" s="5" t="s">
        <v>697</v>
      </c>
      <c r="I4474" s="10">
        <f>IF(OR(D4474="", F4474=""), "", F4474 * VLOOKUP(D4474, Products!A:E, 5, FALSE) * (1 - G4474))</f>
        <v>1630.7699999999998</v>
      </c>
      <c r="J4474" s="10"/>
    </row>
    <row r="4475" spans="1:10" ht="15.75" customHeight="1" x14ac:dyDescent="0.3">
      <c r="A4475" s="5" t="s">
        <v>5342</v>
      </c>
      <c r="B4475" s="11">
        <v>45375</v>
      </c>
      <c r="C4475" s="5" t="s">
        <v>292</v>
      </c>
      <c r="D4475" s="5" t="s">
        <v>265</v>
      </c>
      <c r="E4475" s="5" t="s">
        <v>33</v>
      </c>
      <c r="F4475" s="5">
        <v>2</v>
      </c>
      <c r="G4475" s="19">
        <v>0.15</v>
      </c>
      <c r="H4475" s="5" t="s">
        <v>637</v>
      </c>
      <c r="I4475" s="10">
        <f>IF(OR(D4475="", F4475=""), "", F4475 * VLOOKUP(D4475, Products!A:E, 5, FALSE) * (1 - G4475))</f>
        <v>959.5139999999999</v>
      </c>
      <c r="J4475" s="10"/>
    </row>
    <row r="4476" spans="1:10" ht="15.75" customHeight="1" x14ac:dyDescent="0.3">
      <c r="A4476" s="5" t="s">
        <v>5343</v>
      </c>
      <c r="B4476" s="11">
        <v>45694</v>
      </c>
      <c r="C4476" s="5" t="s">
        <v>847</v>
      </c>
      <c r="D4476" s="5" t="s">
        <v>43</v>
      </c>
      <c r="E4476" s="5" t="s">
        <v>37</v>
      </c>
      <c r="F4476" s="5">
        <v>1</v>
      </c>
      <c r="G4476" s="19">
        <v>0.15</v>
      </c>
      <c r="H4476" s="5" t="s">
        <v>776</v>
      </c>
      <c r="I4476" s="10">
        <f>IF(OR(D4476="", F4476=""), "", F4476 * VLOOKUP(D4476, Products!A:E, 5, FALSE) * (1 - G4476))</f>
        <v>1422.6365000000001</v>
      </c>
      <c r="J4476" s="10"/>
    </row>
    <row r="4477" spans="1:10" ht="15.75" customHeight="1" x14ac:dyDescent="0.3">
      <c r="A4477" s="5" t="s">
        <v>5344</v>
      </c>
      <c r="B4477" s="11">
        <v>45872</v>
      </c>
      <c r="C4477" s="5" t="s">
        <v>676</v>
      </c>
      <c r="D4477" s="5" t="s">
        <v>115</v>
      </c>
      <c r="E4477" s="5" t="s">
        <v>29</v>
      </c>
      <c r="F4477" s="5">
        <v>3</v>
      </c>
      <c r="G4477" s="19">
        <v>0</v>
      </c>
      <c r="H4477" s="5" t="s">
        <v>637</v>
      </c>
      <c r="I4477" s="10">
        <f>IF(OR(D4477="", F4477=""), "", F4477 * VLOOKUP(D4477, Products!A:E, 5, FALSE) * (1 - G4477))</f>
        <v>3738.33</v>
      </c>
      <c r="J4477" s="10"/>
    </row>
    <row r="4478" spans="1:10" ht="15.75" customHeight="1" x14ac:dyDescent="0.3">
      <c r="A4478" s="5" t="s">
        <v>5345</v>
      </c>
      <c r="B4478" s="11">
        <v>45814</v>
      </c>
      <c r="C4478" s="5" t="s">
        <v>620</v>
      </c>
      <c r="D4478" s="5" t="s">
        <v>276</v>
      </c>
      <c r="E4478" s="5" t="s">
        <v>29</v>
      </c>
      <c r="F4478" s="5">
        <v>4</v>
      </c>
      <c r="G4478" s="19">
        <v>0.05</v>
      </c>
      <c r="H4478" s="5" t="s">
        <v>776</v>
      </c>
      <c r="I4478" s="10">
        <f>IF(OR(D4478="", F4478=""), "", F4478 * VLOOKUP(D4478, Products!A:E, 5, FALSE) * (1 - G4478))</f>
        <v>4549.2839999999997</v>
      </c>
      <c r="J4478" s="10"/>
    </row>
    <row r="4479" spans="1:10" ht="15.75" customHeight="1" x14ac:dyDescent="0.3">
      <c r="A4479" s="5" t="s">
        <v>5346</v>
      </c>
      <c r="B4479" s="11">
        <v>45637</v>
      </c>
      <c r="C4479" s="5" t="s">
        <v>155</v>
      </c>
      <c r="D4479" s="5" t="s">
        <v>162</v>
      </c>
      <c r="E4479" s="5" t="s">
        <v>21</v>
      </c>
      <c r="F4479" s="5">
        <v>5</v>
      </c>
      <c r="G4479" s="19">
        <v>0.1</v>
      </c>
      <c r="H4479" s="5" t="s">
        <v>697</v>
      </c>
      <c r="I4479" s="10">
        <f>IF(OR(D4479="", F4479=""), "", F4479 * VLOOKUP(D4479, Products!A:E, 5, FALSE) * (1 - G4479))</f>
        <v>1931.175</v>
      </c>
      <c r="J4479" s="10"/>
    </row>
    <row r="4480" spans="1:10" ht="15.75" customHeight="1" x14ac:dyDescent="0.3">
      <c r="A4480" s="5" t="s">
        <v>5347</v>
      </c>
      <c r="B4480" s="11">
        <v>45616</v>
      </c>
      <c r="C4480" s="5" t="s">
        <v>405</v>
      </c>
      <c r="D4480" s="5" t="s">
        <v>175</v>
      </c>
      <c r="E4480" s="5" t="s">
        <v>33</v>
      </c>
      <c r="F4480" s="5">
        <v>1</v>
      </c>
      <c r="G4480" s="19">
        <v>0</v>
      </c>
      <c r="H4480" s="5" t="s">
        <v>697</v>
      </c>
      <c r="I4480" s="10">
        <f>IF(OR(D4480="", F4480=""), "", F4480 * VLOOKUP(D4480, Products!A:E, 5, FALSE) * (1 - G4480))</f>
        <v>1272.23</v>
      </c>
      <c r="J4480" s="10"/>
    </row>
    <row r="4481" spans="1:10" ht="15.75" customHeight="1" x14ac:dyDescent="0.3">
      <c r="A4481" s="5" t="s">
        <v>5348</v>
      </c>
      <c r="B4481" s="11">
        <v>45518</v>
      </c>
      <c r="C4481" s="5" t="s">
        <v>593</v>
      </c>
      <c r="D4481" s="5" t="s">
        <v>232</v>
      </c>
      <c r="E4481" s="5" t="s">
        <v>21</v>
      </c>
      <c r="F4481" s="5">
        <v>1</v>
      </c>
      <c r="G4481" s="19">
        <v>0</v>
      </c>
      <c r="H4481" s="5" t="s">
        <v>454</v>
      </c>
      <c r="I4481" s="10">
        <f>IF(OR(D4481="", F4481=""), "", F4481 * VLOOKUP(D4481, Products!A:E, 5, FALSE) * (1 - G4481))</f>
        <v>1952.65</v>
      </c>
      <c r="J4481" s="10"/>
    </row>
    <row r="4482" spans="1:10" ht="15.75" customHeight="1" x14ac:dyDescent="0.3">
      <c r="A4482" s="5" t="s">
        <v>5349</v>
      </c>
      <c r="B4482" s="11">
        <v>45896</v>
      </c>
      <c r="C4482" s="5" t="s">
        <v>215</v>
      </c>
      <c r="D4482" s="5" t="s">
        <v>57</v>
      </c>
      <c r="E4482" s="5" t="s">
        <v>37</v>
      </c>
      <c r="F4482" s="5">
        <v>5</v>
      </c>
      <c r="G4482" s="19">
        <v>0.1</v>
      </c>
      <c r="H4482" s="5" t="s">
        <v>454</v>
      </c>
      <c r="I4482" s="10">
        <f>IF(OR(D4482="", F4482=""), "", F4482 * VLOOKUP(D4482, Products!A:E, 5, FALSE) * (1 - G4482))</f>
        <v>6282.9900000000007</v>
      </c>
      <c r="J4482" s="10"/>
    </row>
    <row r="4483" spans="1:10" ht="15.75" customHeight="1" x14ac:dyDescent="0.3">
      <c r="A4483" s="5" t="s">
        <v>5350</v>
      </c>
      <c r="B4483" s="11">
        <v>45322</v>
      </c>
      <c r="C4483" s="5" t="s">
        <v>484</v>
      </c>
      <c r="D4483" s="5" t="s">
        <v>221</v>
      </c>
      <c r="E4483" s="5" t="s">
        <v>37</v>
      </c>
      <c r="F4483" s="5">
        <v>2</v>
      </c>
      <c r="G4483" s="19">
        <v>0.1</v>
      </c>
      <c r="H4483" s="5" t="s">
        <v>697</v>
      </c>
      <c r="I4483" s="10">
        <f>IF(OR(D4483="", F4483=""), "", F4483 * VLOOKUP(D4483, Products!A:E, 5, FALSE) * (1 - G4483))</f>
        <v>2812.3740000000003</v>
      </c>
      <c r="J4483" s="10"/>
    </row>
    <row r="4484" spans="1:10" ht="15.75" customHeight="1" x14ac:dyDescent="0.3">
      <c r="A4484" s="5" t="s">
        <v>5351</v>
      </c>
      <c r="B4484" s="11">
        <v>45646</v>
      </c>
      <c r="C4484" s="5" t="s">
        <v>100</v>
      </c>
      <c r="D4484" s="5" t="s">
        <v>237</v>
      </c>
      <c r="E4484" s="5" t="s">
        <v>25</v>
      </c>
      <c r="F4484" s="5">
        <v>3</v>
      </c>
      <c r="G4484" s="19">
        <v>0</v>
      </c>
      <c r="H4484" s="5" t="s">
        <v>776</v>
      </c>
      <c r="I4484" s="10">
        <f>IF(OR(D4484="", F4484=""), "", F4484 * VLOOKUP(D4484, Products!A:E, 5, FALSE) * (1 - G4484))</f>
        <v>1100.79</v>
      </c>
      <c r="J4484" s="10"/>
    </row>
    <row r="4485" spans="1:10" ht="15.75" customHeight="1" x14ac:dyDescent="0.3">
      <c r="A4485" s="5" t="s">
        <v>5352</v>
      </c>
      <c r="B4485" s="11">
        <v>45477</v>
      </c>
      <c r="C4485" s="5" t="s">
        <v>515</v>
      </c>
      <c r="D4485" s="5" t="s">
        <v>200</v>
      </c>
      <c r="E4485" s="5" t="s">
        <v>25</v>
      </c>
      <c r="F4485" s="5">
        <v>3</v>
      </c>
      <c r="G4485" s="19">
        <v>0.05</v>
      </c>
      <c r="H4485" s="5" t="s">
        <v>454</v>
      </c>
      <c r="I4485" s="10">
        <f>IF(OR(D4485="", F4485=""), "", F4485 * VLOOKUP(D4485, Products!A:E, 5, FALSE) * (1 - G4485))</f>
        <v>3122.8019999999997</v>
      </c>
      <c r="J4485" s="10"/>
    </row>
    <row r="4486" spans="1:10" ht="15.75" customHeight="1" x14ac:dyDescent="0.3">
      <c r="A4486" s="5" t="s">
        <v>5353</v>
      </c>
      <c r="B4486" s="11">
        <v>45853</v>
      </c>
      <c r="C4486" s="5" t="s">
        <v>560</v>
      </c>
      <c r="D4486" s="5" t="s">
        <v>276</v>
      </c>
      <c r="E4486" s="5" t="s">
        <v>33</v>
      </c>
      <c r="F4486" s="5">
        <v>1</v>
      </c>
      <c r="G4486" s="19">
        <v>0.15</v>
      </c>
      <c r="H4486" s="5" t="s">
        <v>454</v>
      </c>
      <c r="I4486" s="10">
        <f>IF(OR(D4486="", F4486=""), "", F4486 * VLOOKUP(D4486, Products!A:E, 5, FALSE) * (1 - G4486))</f>
        <v>1017.6030000000001</v>
      </c>
      <c r="J4486" s="10"/>
    </row>
    <row r="4487" spans="1:10" ht="15.75" customHeight="1" x14ac:dyDescent="0.3">
      <c r="A4487" s="5" t="s">
        <v>5354</v>
      </c>
      <c r="B4487" s="11">
        <v>45351</v>
      </c>
      <c r="C4487" s="5" t="s">
        <v>528</v>
      </c>
      <c r="D4487" s="5" t="s">
        <v>153</v>
      </c>
      <c r="E4487" s="5" t="s">
        <v>37</v>
      </c>
      <c r="F4487" s="5">
        <v>5</v>
      </c>
      <c r="G4487" s="19">
        <v>0.1</v>
      </c>
      <c r="H4487" s="5" t="s">
        <v>454</v>
      </c>
      <c r="I4487" s="10">
        <f>IF(OR(D4487="", F4487=""), "", F4487 * VLOOKUP(D4487, Products!A:E, 5, FALSE) * (1 - G4487))</f>
        <v>6693.3450000000003</v>
      </c>
      <c r="J4487" s="10"/>
    </row>
    <row r="4488" spans="1:10" ht="15.75" customHeight="1" x14ac:dyDescent="0.3">
      <c r="A4488" s="5" t="s">
        <v>5355</v>
      </c>
      <c r="B4488" s="11">
        <v>45403</v>
      </c>
      <c r="C4488" s="5" t="s">
        <v>711</v>
      </c>
      <c r="D4488" s="5" t="s">
        <v>122</v>
      </c>
      <c r="E4488" s="5" t="s">
        <v>29</v>
      </c>
      <c r="F4488" s="5">
        <v>4</v>
      </c>
      <c r="G4488" s="19">
        <v>0.15</v>
      </c>
      <c r="H4488" s="5" t="s">
        <v>637</v>
      </c>
      <c r="I4488" s="10">
        <f>IF(OR(D4488="", F4488=""), "", F4488 * VLOOKUP(D4488, Products!A:E, 5, FALSE) * (1 - G4488))</f>
        <v>5993.9279999999999</v>
      </c>
      <c r="J4488" s="10"/>
    </row>
    <row r="4489" spans="1:10" ht="15.75" customHeight="1" x14ac:dyDescent="0.3">
      <c r="A4489" s="5" t="s">
        <v>5356</v>
      </c>
      <c r="B4489" s="11">
        <v>45671</v>
      </c>
      <c r="C4489" s="5" t="s">
        <v>300</v>
      </c>
      <c r="D4489" s="5" t="s">
        <v>168</v>
      </c>
      <c r="E4489" s="5" t="s">
        <v>21</v>
      </c>
      <c r="F4489" s="5">
        <v>1</v>
      </c>
      <c r="G4489" s="19">
        <v>0</v>
      </c>
      <c r="H4489" s="5" t="s">
        <v>697</v>
      </c>
      <c r="I4489" s="10">
        <f>IF(OR(D4489="", F4489=""), "", F4489 * VLOOKUP(D4489, Products!A:E, 5, FALSE) * (1 - G4489))</f>
        <v>1015.76</v>
      </c>
      <c r="J4489" s="10"/>
    </row>
    <row r="4490" spans="1:10" ht="15.75" customHeight="1" x14ac:dyDescent="0.3">
      <c r="A4490" s="5" t="s">
        <v>5357</v>
      </c>
      <c r="B4490" s="11">
        <v>45524</v>
      </c>
      <c r="C4490" s="5" t="s">
        <v>425</v>
      </c>
      <c r="D4490" s="5" t="s">
        <v>67</v>
      </c>
      <c r="E4490" s="5" t="s">
        <v>21</v>
      </c>
      <c r="F4490" s="5">
        <v>2</v>
      </c>
      <c r="G4490" s="19">
        <v>0</v>
      </c>
      <c r="H4490" s="5" t="s">
        <v>697</v>
      </c>
      <c r="I4490" s="10">
        <f>IF(OR(D4490="", F4490=""), "", F4490 * VLOOKUP(D4490, Products!A:E, 5, FALSE) * (1 - G4490))</f>
        <v>219.56</v>
      </c>
      <c r="J4490" s="10"/>
    </row>
    <row r="4491" spans="1:10" ht="15.75" customHeight="1" x14ac:dyDescent="0.3">
      <c r="A4491" s="5" t="s">
        <v>5358</v>
      </c>
      <c r="B4491" s="11">
        <v>45364</v>
      </c>
      <c r="C4491" s="5" t="s">
        <v>292</v>
      </c>
      <c r="D4491" s="5" t="s">
        <v>168</v>
      </c>
      <c r="E4491" s="5" t="s">
        <v>25</v>
      </c>
      <c r="F4491" s="5">
        <v>5</v>
      </c>
      <c r="G4491" s="19">
        <v>0.15</v>
      </c>
      <c r="H4491" s="5" t="s">
        <v>454</v>
      </c>
      <c r="I4491" s="10">
        <f>IF(OR(D4491="", F4491=""), "", F4491 * VLOOKUP(D4491, Products!A:E, 5, FALSE) * (1 - G4491))</f>
        <v>4316.9800000000005</v>
      </c>
      <c r="J4491" s="10"/>
    </row>
    <row r="4492" spans="1:10" ht="15.75" customHeight="1" x14ac:dyDescent="0.3">
      <c r="A4492" s="5" t="s">
        <v>5359</v>
      </c>
      <c r="B4492" s="11">
        <v>45807</v>
      </c>
      <c r="C4492" s="5" t="s">
        <v>16</v>
      </c>
      <c r="D4492" s="5" t="s">
        <v>89</v>
      </c>
      <c r="E4492" s="5" t="s">
        <v>25</v>
      </c>
      <c r="F4492" s="5">
        <v>4</v>
      </c>
      <c r="G4492" s="19">
        <v>0.05</v>
      </c>
      <c r="H4492" s="5" t="s">
        <v>776</v>
      </c>
      <c r="I4492" s="10">
        <f>IF(OR(D4492="", F4492=""), "", F4492 * VLOOKUP(D4492, Products!A:E, 5, FALSE) * (1 - G4492))</f>
        <v>4312.24</v>
      </c>
      <c r="J4492" s="10"/>
    </row>
    <row r="4493" spans="1:10" ht="15.75" customHeight="1" x14ac:dyDescent="0.3">
      <c r="A4493" s="5" t="s">
        <v>5360</v>
      </c>
      <c r="B4493" s="11">
        <v>45337</v>
      </c>
      <c r="C4493" s="5" t="s">
        <v>669</v>
      </c>
      <c r="D4493" s="5" t="s">
        <v>47</v>
      </c>
      <c r="E4493" s="5" t="s">
        <v>29</v>
      </c>
      <c r="F4493" s="5">
        <v>5</v>
      </c>
      <c r="G4493" s="19">
        <v>0</v>
      </c>
      <c r="H4493" s="5" t="s">
        <v>637</v>
      </c>
      <c r="I4493" s="10">
        <f>IF(OR(D4493="", F4493=""), "", F4493 * VLOOKUP(D4493, Products!A:E, 5, FALSE) * (1 - G4493))</f>
        <v>4093.8</v>
      </c>
      <c r="J4493" s="10"/>
    </row>
    <row r="4494" spans="1:10" ht="15.75" customHeight="1" x14ac:dyDescent="0.3">
      <c r="A4494" s="5" t="s">
        <v>5361</v>
      </c>
      <c r="B4494" s="11">
        <v>45844</v>
      </c>
      <c r="C4494" s="5" t="s">
        <v>420</v>
      </c>
      <c r="D4494" s="5" t="s">
        <v>262</v>
      </c>
      <c r="E4494" s="5" t="s">
        <v>29</v>
      </c>
      <c r="F4494" s="5">
        <v>2</v>
      </c>
      <c r="G4494" s="19">
        <v>0.15</v>
      </c>
      <c r="H4494" s="5" t="s">
        <v>697</v>
      </c>
      <c r="I4494" s="10">
        <f>IF(OR(D4494="", F4494=""), "", F4494 * VLOOKUP(D4494, Products!A:E, 5, FALSE) * (1 - G4494))</f>
        <v>771.154</v>
      </c>
      <c r="J4494" s="10"/>
    </row>
    <row r="4495" spans="1:10" ht="15.75" customHeight="1" x14ac:dyDescent="0.3">
      <c r="A4495" s="5" t="s">
        <v>5362</v>
      </c>
      <c r="B4495" s="11">
        <v>45470</v>
      </c>
      <c r="C4495" s="5" t="s">
        <v>511</v>
      </c>
      <c r="D4495" s="5" t="s">
        <v>265</v>
      </c>
      <c r="E4495" s="5" t="s">
        <v>25</v>
      </c>
      <c r="F4495" s="5">
        <v>4</v>
      </c>
      <c r="G4495" s="19">
        <v>0.1</v>
      </c>
      <c r="H4495" s="5" t="s">
        <v>697</v>
      </c>
      <c r="I4495" s="10">
        <f>IF(OR(D4495="", F4495=""), "", F4495 * VLOOKUP(D4495, Products!A:E, 5, FALSE) * (1 - G4495))</f>
        <v>2031.9119999999998</v>
      </c>
      <c r="J4495" s="10"/>
    </row>
    <row r="4496" spans="1:10" ht="15.75" customHeight="1" x14ac:dyDescent="0.3">
      <c r="A4496" s="5" t="s">
        <v>5363</v>
      </c>
      <c r="B4496" s="11">
        <v>45187</v>
      </c>
      <c r="C4496" s="5" t="s">
        <v>376</v>
      </c>
      <c r="D4496" s="5" t="s">
        <v>217</v>
      </c>
      <c r="E4496" s="5" t="s">
        <v>29</v>
      </c>
      <c r="F4496" s="5">
        <v>4</v>
      </c>
      <c r="G4496" s="19">
        <v>0</v>
      </c>
      <c r="H4496" s="5" t="s">
        <v>776</v>
      </c>
      <c r="I4496" s="10">
        <f>IF(OR(D4496="", F4496=""), "", F4496 * VLOOKUP(D4496, Products!A:E, 5, FALSE) * (1 - G4496))</f>
        <v>1712.2</v>
      </c>
      <c r="J4496" s="10"/>
    </row>
    <row r="4497" spans="1:10" ht="15.75" customHeight="1" x14ac:dyDescent="0.3">
      <c r="A4497" s="5" t="s">
        <v>5364</v>
      </c>
      <c r="B4497" s="11">
        <v>45301</v>
      </c>
      <c r="C4497" s="5" t="s">
        <v>450</v>
      </c>
      <c r="D4497" s="5" t="s">
        <v>47</v>
      </c>
      <c r="E4497" s="5" t="s">
        <v>21</v>
      </c>
      <c r="F4497" s="5">
        <v>2</v>
      </c>
      <c r="G4497" s="19">
        <v>0</v>
      </c>
      <c r="H4497" s="5" t="s">
        <v>697</v>
      </c>
      <c r="I4497" s="10">
        <f>IF(OR(D4497="", F4497=""), "", F4497 * VLOOKUP(D4497, Products!A:E, 5, FALSE) * (1 - G4497))</f>
        <v>1637.52</v>
      </c>
      <c r="J4497" s="10"/>
    </row>
    <row r="4498" spans="1:10" ht="15.75" customHeight="1" x14ac:dyDescent="0.3">
      <c r="A4498" s="5" t="s">
        <v>5365</v>
      </c>
      <c r="B4498" s="11">
        <v>45368</v>
      </c>
      <c r="C4498" s="5" t="s">
        <v>635</v>
      </c>
      <c r="D4498" s="5" t="s">
        <v>162</v>
      </c>
      <c r="E4498" s="5" t="s">
        <v>29</v>
      </c>
      <c r="F4498" s="5">
        <v>1</v>
      </c>
      <c r="G4498" s="19">
        <v>0</v>
      </c>
      <c r="H4498" s="5" t="s">
        <v>637</v>
      </c>
      <c r="I4498" s="10">
        <f>IF(OR(D4498="", F4498=""), "", F4498 * VLOOKUP(D4498, Products!A:E, 5, FALSE) * (1 - G4498))</f>
        <v>429.15</v>
      </c>
      <c r="J4498" s="10"/>
    </row>
    <row r="4499" spans="1:10" ht="15.75" customHeight="1" x14ac:dyDescent="0.3">
      <c r="A4499" s="5" t="s">
        <v>5366</v>
      </c>
      <c r="B4499" s="11">
        <v>45214</v>
      </c>
      <c r="C4499" s="5" t="s">
        <v>181</v>
      </c>
      <c r="D4499" s="5" t="s">
        <v>147</v>
      </c>
      <c r="E4499" s="5" t="s">
        <v>25</v>
      </c>
      <c r="F4499" s="5">
        <v>3</v>
      </c>
      <c r="G4499" s="19">
        <v>0.1</v>
      </c>
      <c r="H4499" s="5" t="s">
        <v>776</v>
      </c>
      <c r="I4499" s="10">
        <f>IF(OR(D4499="", F4499=""), "", F4499 * VLOOKUP(D4499, Products!A:E, 5, FALSE) * (1 - G4499))</f>
        <v>5071.8689999999997</v>
      </c>
      <c r="J4499" s="10"/>
    </row>
    <row r="4500" spans="1:10" ht="15.75" customHeight="1" x14ac:dyDescent="0.3">
      <c r="A4500" s="5" t="s">
        <v>5367</v>
      </c>
      <c r="B4500" s="11">
        <v>45749</v>
      </c>
      <c r="C4500" s="5" t="s">
        <v>443</v>
      </c>
      <c r="D4500" s="5" t="s">
        <v>232</v>
      </c>
      <c r="E4500" s="5" t="s">
        <v>33</v>
      </c>
      <c r="F4500" s="5">
        <v>1</v>
      </c>
      <c r="G4500" s="19">
        <v>0</v>
      </c>
      <c r="H4500" s="5" t="s">
        <v>776</v>
      </c>
      <c r="I4500" s="10">
        <f>IF(OR(D4500="", F4500=""), "", F4500 * VLOOKUP(D4500, Products!A:E, 5, FALSE) * (1 - G4500))</f>
        <v>1952.65</v>
      </c>
      <c r="J4500" s="10"/>
    </row>
    <row r="4501" spans="1:10" ht="15.75" customHeight="1" x14ac:dyDescent="0.3">
      <c r="A4501" s="5" t="s">
        <v>5368</v>
      </c>
      <c r="B4501" s="11">
        <v>45717</v>
      </c>
      <c r="C4501" s="5" t="s">
        <v>608</v>
      </c>
      <c r="D4501" s="5" t="s">
        <v>269</v>
      </c>
      <c r="E4501" s="5" t="s">
        <v>37</v>
      </c>
      <c r="F4501" s="5">
        <v>2</v>
      </c>
      <c r="G4501" s="19">
        <v>0.05</v>
      </c>
      <c r="H4501" s="5" t="s">
        <v>776</v>
      </c>
      <c r="I4501" s="10">
        <f>IF(OR(D4501="", F4501=""), "", F4501 * VLOOKUP(D4501, Products!A:E, 5, FALSE) * (1 - G4501))</f>
        <v>3570.2519999999995</v>
      </c>
      <c r="J4501" s="10"/>
    </row>
    <row r="4502" spans="1:10" ht="15.75" customHeight="1" x14ac:dyDescent="0.3">
      <c r="A4502" s="5" t="s">
        <v>5369</v>
      </c>
      <c r="B4502" s="11">
        <v>45199</v>
      </c>
      <c r="C4502" s="5" t="s">
        <v>420</v>
      </c>
      <c r="D4502" s="5" t="s">
        <v>285</v>
      </c>
      <c r="E4502" s="5" t="s">
        <v>33</v>
      </c>
      <c r="F4502" s="5">
        <v>4</v>
      </c>
      <c r="G4502" s="19">
        <v>0</v>
      </c>
      <c r="H4502" s="5" t="s">
        <v>776</v>
      </c>
      <c r="I4502" s="10">
        <f>IF(OR(D4502="", F4502=""), "", F4502 * VLOOKUP(D4502, Products!A:E, 5, FALSE) * (1 - G4502))</f>
        <v>1553.04</v>
      </c>
      <c r="J4502" s="10"/>
    </row>
    <row r="4503" spans="1:10" ht="15.75" customHeight="1" x14ac:dyDescent="0.3">
      <c r="A4503" s="5" t="s">
        <v>5370</v>
      </c>
      <c r="B4503" s="11">
        <v>45764</v>
      </c>
      <c r="C4503" s="5" t="s">
        <v>203</v>
      </c>
      <c r="D4503" s="5" t="s">
        <v>67</v>
      </c>
      <c r="E4503" s="5" t="s">
        <v>25</v>
      </c>
      <c r="F4503" s="5">
        <v>5</v>
      </c>
      <c r="G4503" s="19">
        <v>0.05</v>
      </c>
      <c r="H4503" s="5" t="s">
        <v>697</v>
      </c>
      <c r="I4503" s="10">
        <f>IF(OR(D4503="", F4503=""), "", F4503 * VLOOKUP(D4503, Products!A:E, 5, FALSE) * (1 - G4503))</f>
        <v>521.45499999999993</v>
      </c>
      <c r="J4503" s="10"/>
    </row>
    <row r="4504" spans="1:10" ht="15.75" customHeight="1" x14ac:dyDescent="0.3">
      <c r="A4504" s="5" t="s">
        <v>5371</v>
      </c>
      <c r="B4504" s="11">
        <v>45731</v>
      </c>
      <c r="C4504" s="5" t="s">
        <v>604</v>
      </c>
      <c r="D4504" s="5" t="s">
        <v>61</v>
      </c>
      <c r="E4504" s="5" t="s">
        <v>21</v>
      </c>
      <c r="F4504" s="5">
        <v>1</v>
      </c>
      <c r="G4504" s="19">
        <v>0</v>
      </c>
      <c r="H4504" s="5" t="s">
        <v>697</v>
      </c>
      <c r="I4504" s="10">
        <f>IF(OR(D4504="", F4504=""), "", F4504 * VLOOKUP(D4504, Products!A:E, 5, FALSE) * (1 - G4504))</f>
        <v>318.05</v>
      </c>
      <c r="J4504" s="10"/>
    </row>
    <row r="4505" spans="1:10" ht="15.75" customHeight="1" x14ac:dyDescent="0.3">
      <c r="A4505" s="5" t="s">
        <v>5372</v>
      </c>
      <c r="B4505" s="11">
        <v>45794</v>
      </c>
      <c r="C4505" s="5" t="s">
        <v>357</v>
      </c>
      <c r="D4505" s="5" t="s">
        <v>47</v>
      </c>
      <c r="E4505" s="5" t="s">
        <v>25</v>
      </c>
      <c r="F4505" s="5">
        <v>5</v>
      </c>
      <c r="G4505" s="19">
        <v>0.15</v>
      </c>
      <c r="H4505" s="5" t="s">
        <v>776</v>
      </c>
      <c r="I4505" s="10">
        <f>IF(OR(D4505="", F4505=""), "", F4505 * VLOOKUP(D4505, Products!A:E, 5, FALSE) * (1 - G4505))</f>
        <v>3479.73</v>
      </c>
      <c r="J4505" s="10"/>
    </row>
    <row r="4506" spans="1:10" ht="15.75" customHeight="1" x14ac:dyDescent="0.3">
      <c r="A4506" s="5" t="s">
        <v>5373</v>
      </c>
      <c r="B4506" s="11">
        <v>45630</v>
      </c>
      <c r="C4506" s="5" t="s">
        <v>503</v>
      </c>
      <c r="D4506" s="5" t="s">
        <v>188</v>
      </c>
      <c r="E4506" s="5" t="s">
        <v>21</v>
      </c>
      <c r="F4506" s="5">
        <v>2</v>
      </c>
      <c r="G4506" s="19">
        <v>0</v>
      </c>
      <c r="H4506" s="5" t="s">
        <v>454</v>
      </c>
      <c r="I4506" s="10">
        <f>IF(OR(D4506="", F4506=""), "", F4506 * VLOOKUP(D4506, Products!A:E, 5, FALSE) * (1 - G4506))</f>
        <v>2970.1</v>
      </c>
      <c r="J4506" s="10"/>
    </row>
    <row r="4507" spans="1:10" ht="15.75" customHeight="1" x14ac:dyDescent="0.3">
      <c r="A4507" s="5" t="s">
        <v>5374</v>
      </c>
      <c r="B4507" s="11">
        <v>45180</v>
      </c>
      <c r="C4507" s="5" t="s">
        <v>671</v>
      </c>
      <c r="D4507" s="5" t="s">
        <v>168</v>
      </c>
      <c r="E4507" s="5" t="s">
        <v>29</v>
      </c>
      <c r="F4507" s="5">
        <v>1</v>
      </c>
      <c r="G4507" s="19">
        <v>0.15</v>
      </c>
      <c r="H4507" s="5" t="s">
        <v>637</v>
      </c>
      <c r="I4507" s="10">
        <f>IF(OR(D4507="", F4507=""), "", F4507 * VLOOKUP(D4507, Products!A:E, 5, FALSE) * (1 - G4507))</f>
        <v>863.39599999999996</v>
      </c>
      <c r="J4507" s="10"/>
    </row>
    <row r="4508" spans="1:10" ht="15.75" customHeight="1" x14ac:dyDescent="0.3">
      <c r="A4508" s="5" t="s">
        <v>5375</v>
      </c>
      <c r="B4508" s="11">
        <v>45207</v>
      </c>
      <c r="C4508" s="5" t="s">
        <v>583</v>
      </c>
      <c r="D4508" s="5" t="s">
        <v>206</v>
      </c>
      <c r="E4508" s="5" t="s">
        <v>29</v>
      </c>
      <c r="F4508" s="5">
        <v>2</v>
      </c>
      <c r="G4508" s="19">
        <v>0.1</v>
      </c>
      <c r="H4508" s="5" t="s">
        <v>454</v>
      </c>
      <c r="I4508" s="10">
        <f>IF(OR(D4508="", F4508=""), "", F4508 * VLOOKUP(D4508, Products!A:E, 5, FALSE) * (1 - G4508))</f>
        <v>548.47799999999995</v>
      </c>
      <c r="J4508" s="10"/>
    </row>
    <row r="4509" spans="1:10" ht="15.75" customHeight="1" x14ac:dyDescent="0.3">
      <c r="A4509" s="5" t="s">
        <v>5376</v>
      </c>
      <c r="B4509" s="11">
        <v>45650</v>
      </c>
      <c r="C4509" s="5" t="s">
        <v>532</v>
      </c>
      <c r="D4509" s="5" t="s">
        <v>119</v>
      </c>
      <c r="E4509" s="5" t="s">
        <v>21</v>
      </c>
      <c r="F4509" s="5">
        <v>3</v>
      </c>
      <c r="G4509" s="19">
        <v>0.05</v>
      </c>
      <c r="H4509" s="5" t="s">
        <v>697</v>
      </c>
      <c r="I4509" s="10">
        <f>IF(OR(D4509="", F4509=""), "", F4509 * VLOOKUP(D4509, Products!A:E, 5, FALSE) * (1 - G4509))</f>
        <v>3077.6864999999998</v>
      </c>
      <c r="J4509" s="10"/>
    </row>
    <row r="4510" spans="1:10" ht="15.75" customHeight="1" x14ac:dyDescent="0.3">
      <c r="A4510" s="5" t="s">
        <v>5377</v>
      </c>
      <c r="B4510" s="11">
        <v>45643</v>
      </c>
      <c r="C4510" s="5" t="s">
        <v>586</v>
      </c>
      <c r="D4510" s="5" t="s">
        <v>221</v>
      </c>
      <c r="E4510" s="5" t="s">
        <v>33</v>
      </c>
      <c r="F4510" s="5">
        <v>2</v>
      </c>
      <c r="G4510" s="19">
        <v>0.1</v>
      </c>
      <c r="H4510" s="5" t="s">
        <v>637</v>
      </c>
      <c r="I4510" s="10">
        <f>IF(OR(D4510="", F4510=""), "", F4510 * VLOOKUP(D4510, Products!A:E, 5, FALSE) * (1 - G4510))</f>
        <v>2812.3740000000003</v>
      </c>
      <c r="J4510" s="10"/>
    </row>
    <row r="4511" spans="1:10" ht="15.75" customHeight="1" x14ac:dyDescent="0.3">
      <c r="A4511" s="5" t="s">
        <v>5378</v>
      </c>
      <c r="B4511" s="11">
        <v>45544</v>
      </c>
      <c r="C4511" s="5" t="s">
        <v>113</v>
      </c>
      <c r="D4511" s="5" t="s">
        <v>237</v>
      </c>
      <c r="E4511" s="5" t="s">
        <v>21</v>
      </c>
      <c r="F4511" s="5">
        <v>5</v>
      </c>
      <c r="G4511" s="19">
        <v>0</v>
      </c>
      <c r="H4511" s="5" t="s">
        <v>454</v>
      </c>
      <c r="I4511" s="10">
        <f>IF(OR(D4511="", F4511=""), "", F4511 * VLOOKUP(D4511, Products!A:E, 5, FALSE) * (1 - G4511))</f>
        <v>1834.65</v>
      </c>
      <c r="J4511" s="10"/>
    </row>
    <row r="4512" spans="1:10" ht="15.75" customHeight="1" x14ac:dyDescent="0.3">
      <c r="A4512" s="5" t="s">
        <v>5379</v>
      </c>
      <c r="B4512" s="11">
        <v>45731</v>
      </c>
      <c r="C4512" s="5" t="s">
        <v>393</v>
      </c>
      <c r="D4512" s="5" t="s">
        <v>200</v>
      </c>
      <c r="E4512" s="5" t="s">
        <v>21</v>
      </c>
      <c r="F4512" s="5">
        <v>3</v>
      </c>
      <c r="G4512" s="19">
        <v>0.15</v>
      </c>
      <c r="H4512" s="5" t="s">
        <v>697</v>
      </c>
      <c r="I4512" s="10">
        <f>IF(OR(D4512="", F4512=""), "", F4512 * VLOOKUP(D4512, Products!A:E, 5, FALSE) * (1 - G4512))</f>
        <v>2794.0859999999998</v>
      </c>
      <c r="J4512" s="10"/>
    </row>
    <row r="4513" spans="1:10" ht="15.75" customHeight="1" x14ac:dyDescent="0.3">
      <c r="A4513" s="5" t="s">
        <v>5380</v>
      </c>
      <c r="B4513" s="11">
        <v>45193</v>
      </c>
      <c r="C4513" s="5" t="s">
        <v>840</v>
      </c>
      <c r="D4513" s="5" t="s">
        <v>168</v>
      </c>
      <c r="E4513" s="5" t="s">
        <v>29</v>
      </c>
      <c r="F4513" s="5">
        <v>4</v>
      </c>
      <c r="G4513" s="19">
        <v>0.05</v>
      </c>
      <c r="H4513" s="5" t="s">
        <v>454</v>
      </c>
      <c r="I4513" s="10">
        <f>IF(OR(D4513="", F4513=""), "", F4513 * VLOOKUP(D4513, Products!A:E, 5, FALSE) * (1 - G4513))</f>
        <v>3859.8879999999999</v>
      </c>
      <c r="J4513" s="10"/>
    </row>
    <row r="4514" spans="1:10" ht="15.75" customHeight="1" x14ac:dyDescent="0.3">
      <c r="A4514" s="5" t="s">
        <v>5381</v>
      </c>
      <c r="B4514" s="11">
        <v>45271</v>
      </c>
      <c r="C4514" s="5" t="s">
        <v>393</v>
      </c>
      <c r="D4514" s="5" t="s">
        <v>272</v>
      </c>
      <c r="E4514" s="5" t="s">
        <v>29</v>
      </c>
      <c r="F4514" s="5">
        <v>5</v>
      </c>
      <c r="G4514" s="19">
        <v>0.15</v>
      </c>
      <c r="H4514" s="5" t="s">
        <v>776</v>
      </c>
      <c r="I4514" s="10">
        <f>IF(OR(D4514="", F4514=""), "", F4514 * VLOOKUP(D4514, Products!A:E, 5, FALSE) * (1 - G4514))</f>
        <v>4952.8224999999993</v>
      </c>
      <c r="J4514" s="10"/>
    </row>
    <row r="4515" spans="1:10" ht="15.75" customHeight="1" x14ac:dyDescent="0.3">
      <c r="A4515" s="5" t="s">
        <v>5382</v>
      </c>
      <c r="B4515" s="11">
        <v>45718</v>
      </c>
      <c r="C4515" s="5" t="s">
        <v>631</v>
      </c>
      <c r="D4515" s="5" t="s">
        <v>153</v>
      </c>
      <c r="E4515" s="5" t="s">
        <v>33</v>
      </c>
      <c r="F4515" s="5">
        <v>5</v>
      </c>
      <c r="G4515" s="19">
        <v>0.05</v>
      </c>
      <c r="H4515" s="5" t="s">
        <v>697</v>
      </c>
      <c r="I4515" s="10">
        <f>IF(OR(D4515="", F4515=""), "", F4515 * VLOOKUP(D4515, Products!A:E, 5, FALSE) * (1 - G4515))</f>
        <v>7065.1975000000002</v>
      </c>
      <c r="J4515" s="10"/>
    </row>
    <row r="4516" spans="1:10" ht="15.75" customHeight="1" x14ac:dyDescent="0.3">
      <c r="A4516" s="5" t="s">
        <v>5383</v>
      </c>
      <c r="B4516" s="11">
        <v>45811</v>
      </c>
      <c r="C4516" s="5" t="s">
        <v>474</v>
      </c>
      <c r="D4516" s="5" t="s">
        <v>43</v>
      </c>
      <c r="E4516" s="5" t="s">
        <v>21</v>
      </c>
      <c r="F4516" s="5">
        <v>2</v>
      </c>
      <c r="G4516" s="19">
        <v>0.15</v>
      </c>
      <c r="H4516" s="5" t="s">
        <v>697</v>
      </c>
      <c r="I4516" s="10">
        <f>IF(OR(D4516="", F4516=""), "", F4516 * VLOOKUP(D4516, Products!A:E, 5, FALSE) * (1 - G4516))</f>
        <v>2845.2730000000001</v>
      </c>
      <c r="J4516" s="10"/>
    </row>
    <row r="4517" spans="1:10" ht="15.75" customHeight="1" x14ac:dyDescent="0.3">
      <c r="A4517" s="5" t="s">
        <v>5384</v>
      </c>
      <c r="B4517" s="11">
        <v>45507</v>
      </c>
      <c r="C4517" s="5" t="s">
        <v>543</v>
      </c>
      <c r="D4517" s="5" t="s">
        <v>57</v>
      </c>
      <c r="E4517" s="5" t="s">
        <v>33</v>
      </c>
      <c r="F4517" s="5">
        <v>1</v>
      </c>
      <c r="G4517" s="19">
        <v>0.15</v>
      </c>
      <c r="H4517" s="5" t="s">
        <v>637</v>
      </c>
      <c r="I4517" s="10">
        <f>IF(OR(D4517="", F4517=""), "", F4517 * VLOOKUP(D4517, Products!A:E, 5, FALSE) * (1 - G4517))</f>
        <v>1186.787</v>
      </c>
      <c r="J4517" s="10"/>
    </row>
    <row r="4518" spans="1:10" ht="15.75" customHeight="1" x14ac:dyDescent="0.3">
      <c r="A4518" s="5" t="s">
        <v>5385</v>
      </c>
      <c r="B4518" s="11">
        <v>45430</v>
      </c>
      <c r="C4518" s="5" t="s">
        <v>815</v>
      </c>
      <c r="D4518" s="5" t="s">
        <v>188</v>
      </c>
      <c r="E4518" s="5" t="s">
        <v>33</v>
      </c>
      <c r="F4518" s="5">
        <v>3</v>
      </c>
      <c r="G4518" s="19">
        <v>0.15</v>
      </c>
      <c r="H4518" s="5" t="s">
        <v>697</v>
      </c>
      <c r="I4518" s="10">
        <f>IF(OR(D4518="", F4518=""), "", F4518 * VLOOKUP(D4518, Products!A:E, 5, FALSE) * (1 - G4518))</f>
        <v>3786.8774999999996</v>
      </c>
      <c r="J4518" s="10"/>
    </row>
    <row r="4519" spans="1:10" ht="15.75" customHeight="1" x14ac:dyDescent="0.3">
      <c r="A4519" s="5" t="s">
        <v>5386</v>
      </c>
      <c r="B4519" s="11">
        <v>45428</v>
      </c>
      <c r="C4519" s="5" t="s">
        <v>281</v>
      </c>
      <c r="D4519" s="5" t="s">
        <v>226</v>
      </c>
      <c r="E4519" s="5" t="s">
        <v>29</v>
      </c>
      <c r="F4519" s="5">
        <v>1</v>
      </c>
      <c r="G4519" s="19">
        <v>0.15</v>
      </c>
      <c r="H4519" s="5" t="s">
        <v>637</v>
      </c>
      <c r="I4519" s="10">
        <f>IF(OR(D4519="", F4519=""), "", F4519 * VLOOKUP(D4519, Products!A:E, 5, FALSE) * (1 - G4519))</f>
        <v>1276.241</v>
      </c>
      <c r="J4519" s="10"/>
    </row>
    <row r="4520" spans="1:10" ht="15.75" customHeight="1" x14ac:dyDescent="0.3">
      <c r="A4520" s="5" t="s">
        <v>5387</v>
      </c>
      <c r="B4520" s="11">
        <v>45467</v>
      </c>
      <c r="C4520" s="5" t="s">
        <v>680</v>
      </c>
      <c r="D4520" s="5" t="s">
        <v>57</v>
      </c>
      <c r="E4520" s="5" t="s">
        <v>33</v>
      </c>
      <c r="F4520" s="5">
        <v>5</v>
      </c>
      <c r="G4520" s="19">
        <v>0.1</v>
      </c>
      <c r="H4520" s="5" t="s">
        <v>454</v>
      </c>
      <c r="I4520" s="10">
        <f>IF(OR(D4520="", F4520=""), "", F4520 * VLOOKUP(D4520, Products!A:E, 5, FALSE) * (1 - G4520))</f>
        <v>6282.9900000000007</v>
      </c>
      <c r="J4520" s="10"/>
    </row>
    <row r="4521" spans="1:10" ht="15.75" customHeight="1" x14ac:dyDescent="0.3">
      <c r="A4521" s="5" t="s">
        <v>5388</v>
      </c>
      <c r="B4521" s="11">
        <v>45817</v>
      </c>
      <c r="C4521" s="5" t="s">
        <v>618</v>
      </c>
      <c r="D4521" s="5" t="s">
        <v>249</v>
      </c>
      <c r="E4521" s="5" t="s">
        <v>33</v>
      </c>
      <c r="F4521" s="5">
        <v>1</v>
      </c>
      <c r="G4521" s="19">
        <v>0.05</v>
      </c>
      <c r="H4521" s="5" t="s">
        <v>776</v>
      </c>
      <c r="I4521" s="10">
        <f>IF(OR(D4521="", F4521=""), "", F4521 * VLOOKUP(D4521, Products!A:E, 5, FALSE) * (1 - G4521))</f>
        <v>1658.3294999999998</v>
      </c>
      <c r="J4521" s="10"/>
    </row>
    <row r="4522" spans="1:10" ht="15.75" customHeight="1" x14ac:dyDescent="0.3">
      <c r="A4522" s="5" t="s">
        <v>5389</v>
      </c>
      <c r="B4522" s="11">
        <v>45455</v>
      </c>
      <c r="C4522" s="5" t="s">
        <v>758</v>
      </c>
      <c r="D4522" s="5" t="s">
        <v>285</v>
      </c>
      <c r="E4522" s="5" t="s">
        <v>25</v>
      </c>
      <c r="F4522" s="5">
        <v>3</v>
      </c>
      <c r="G4522" s="19">
        <v>0</v>
      </c>
      <c r="H4522" s="5" t="s">
        <v>776</v>
      </c>
      <c r="I4522" s="10">
        <f>IF(OR(D4522="", F4522=""), "", F4522 * VLOOKUP(D4522, Products!A:E, 5, FALSE) * (1 - G4522))</f>
        <v>1164.78</v>
      </c>
      <c r="J4522" s="10"/>
    </row>
    <row r="4523" spans="1:10" ht="15.75" customHeight="1" x14ac:dyDescent="0.3">
      <c r="A4523" s="5" t="s">
        <v>5390</v>
      </c>
      <c r="B4523" s="11">
        <v>45723</v>
      </c>
      <c r="C4523" s="5" t="s">
        <v>560</v>
      </c>
      <c r="D4523" s="5" t="s">
        <v>47</v>
      </c>
      <c r="E4523" s="5" t="s">
        <v>21</v>
      </c>
      <c r="F4523" s="5">
        <v>5</v>
      </c>
      <c r="G4523" s="19">
        <v>0.1</v>
      </c>
      <c r="H4523" s="5" t="s">
        <v>637</v>
      </c>
      <c r="I4523" s="10">
        <f>IF(OR(D4523="", F4523=""), "", F4523 * VLOOKUP(D4523, Products!A:E, 5, FALSE) * (1 - G4523))</f>
        <v>3684.42</v>
      </c>
      <c r="J4523" s="10"/>
    </row>
    <row r="4524" spans="1:10" ht="15.75" customHeight="1" x14ac:dyDescent="0.3">
      <c r="A4524" s="5" t="s">
        <v>5391</v>
      </c>
      <c r="B4524" s="11">
        <v>45752</v>
      </c>
      <c r="C4524" s="5" t="s">
        <v>458</v>
      </c>
      <c r="D4524" s="5" t="s">
        <v>122</v>
      </c>
      <c r="E4524" s="5" t="s">
        <v>25</v>
      </c>
      <c r="F4524" s="5">
        <v>2</v>
      </c>
      <c r="G4524" s="19">
        <v>0.05</v>
      </c>
      <c r="H4524" s="5" t="s">
        <v>454</v>
      </c>
      <c r="I4524" s="10">
        <f>IF(OR(D4524="", F4524=""), "", F4524 * VLOOKUP(D4524, Products!A:E, 5, FALSE) * (1 - G4524))</f>
        <v>3349.5479999999998</v>
      </c>
      <c r="J4524" s="10"/>
    </row>
    <row r="4525" spans="1:10" ht="15.75" customHeight="1" x14ac:dyDescent="0.3">
      <c r="A4525" s="5" t="s">
        <v>5392</v>
      </c>
      <c r="B4525" s="11">
        <v>45897</v>
      </c>
      <c r="C4525" s="5" t="s">
        <v>429</v>
      </c>
      <c r="D4525" s="5" t="s">
        <v>285</v>
      </c>
      <c r="E4525" s="5" t="s">
        <v>25</v>
      </c>
      <c r="F4525" s="5">
        <v>3</v>
      </c>
      <c r="G4525" s="19">
        <v>0</v>
      </c>
      <c r="H4525" s="5" t="s">
        <v>454</v>
      </c>
      <c r="I4525" s="10">
        <f>IF(OR(D4525="", F4525=""), "", F4525 * VLOOKUP(D4525, Products!A:E, 5, FALSE) * (1 - G4525))</f>
        <v>1164.78</v>
      </c>
      <c r="J4525" s="10"/>
    </row>
    <row r="4526" spans="1:10" ht="15.75" customHeight="1" x14ac:dyDescent="0.3">
      <c r="A4526" s="5" t="s">
        <v>5393</v>
      </c>
      <c r="B4526" s="11">
        <v>45406</v>
      </c>
      <c r="C4526" s="5" t="s">
        <v>833</v>
      </c>
      <c r="D4526" s="5" t="s">
        <v>70</v>
      </c>
      <c r="E4526" s="5" t="s">
        <v>33</v>
      </c>
      <c r="F4526" s="5">
        <v>4</v>
      </c>
      <c r="G4526" s="19">
        <v>0.05</v>
      </c>
      <c r="H4526" s="5" t="s">
        <v>776</v>
      </c>
      <c r="I4526" s="10">
        <f>IF(OR(D4526="", F4526=""), "", F4526 * VLOOKUP(D4526, Products!A:E, 5, FALSE) * (1 - G4526))</f>
        <v>468.12199999999996</v>
      </c>
      <c r="J4526" s="10"/>
    </row>
    <row r="4527" spans="1:10" ht="15.75" customHeight="1" x14ac:dyDescent="0.3">
      <c r="A4527" s="5" t="s">
        <v>5394</v>
      </c>
      <c r="B4527" s="11">
        <v>45366</v>
      </c>
      <c r="C4527" s="5" t="s">
        <v>304</v>
      </c>
      <c r="D4527" s="5" t="s">
        <v>47</v>
      </c>
      <c r="E4527" s="5" t="s">
        <v>21</v>
      </c>
      <c r="F4527" s="5">
        <v>3</v>
      </c>
      <c r="G4527" s="19">
        <v>0.15</v>
      </c>
      <c r="H4527" s="5" t="s">
        <v>454</v>
      </c>
      <c r="I4527" s="10">
        <f>IF(OR(D4527="", F4527=""), "", F4527 * VLOOKUP(D4527, Products!A:E, 5, FALSE) * (1 - G4527))</f>
        <v>2087.8379999999997</v>
      </c>
      <c r="J4527" s="10"/>
    </row>
    <row r="4528" spans="1:10" ht="15.75" customHeight="1" x14ac:dyDescent="0.3">
      <c r="A4528" s="5" t="s">
        <v>5395</v>
      </c>
      <c r="B4528" s="11">
        <v>45571</v>
      </c>
      <c r="C4528" s="5" t="s">
        <v>729</v>
      </c>
      <c r="D4528" s="5" t="s">
        <v>262</v>
      </c>
      <c r="E4528" s="5" t="s">
        <v>29</v>
      </c>
      <c r="F4528" s="5">
        <v>2</v>
      </c>
      <c r="G4528" s="19">
        <v>0.1</v>
      </c>
      <c r="H4528" s="5" t="s">
        <v>454</v>
      </c>
      <c r="I4528" s="10">
        <f>IF(OR(D4528="", F4528=""), "", F4528 * VLOOKUP(D4528, Products!A:E, 5, FALSE) * (1 - G4528))</f>
        <v>816.51600000000008</v>
      </c>
      <c r="J4528" s="10"/>
    </row>
    <row r="4529" spans="1:10" ht="15.75" customHeight="1" x14ac:dyDescent="0.3">
      <c r="A4529" s="5" t="s">
        <v>5396</v>
      </c>
      <c r="B4529" s="11">
        <v>45853</v>
      </c>
      <c r="C4529" s="5" t="s">
        <v>708</v>
      </c>
      <c r="D4529" s="5" t="s">
        <v>109</v>
      </c>
      <c r="E4529" s="5" t="s">
        <v>25</v>
      </c>
      <c r="F4529" s="5">
        <v>1</v>
      </c>
      <c r="G4529" s="19">
        <v>0.15</v>
      </c>
      <c r="H4529" s="5" t="s">
        <v>454</v>
      </c>
      <c r="I4529" s="10">
        <f>IF(OR(D4529="", F4529=""), "", F4529 * VLOOKUP(D4529, Products!A:E, 5, FALSE) * (1 - G4529))</f>
        <v>1579.9375</v>
      </c>
      <c r="J4529" s="10"/>
    </row>
    <row r="4530" spans="1:10" ht="15.75" customHeight="1" x14ac:dyDescent="0.3">
      <c r="A4530" s="5" t="s">
        <v>5397</v>
      </c>
      <c r="B4530" s="11">
        <v>45711</v>
      </c>
      <c r="C4530" s="5" t="s">
        <v>440</v>
      </c>
      <c r="D4530" s="5" t="s">
        <v>65</v>
      </c>
      <c r="E4530" s="5" t="s">
        <v>21</v>
      </c>
      <c r="F4530" s="5">
        <v>1</v>
      </c>
      <c r="G4530" s="19">
        <v>0</v>
      </c>
      <c r="H4530" s="5" t="s">
        <v>637</v>
      </c>
      <c r="I4530" s="10">
        <f>IF(OR(D4530="", F4530=""), "", F4530 * VLOOKUP(D4530, Products!A:E, 5, FALSE) * (1 - G4530))</f>
        <v>1474.12</v>
      </c>
      <c r="J4530" s="10"/>
    </row>
    <row r="4531" spans="1:10" ht="15.75" customHeight="1" x14ac:dyDescent="0.3">
      <c r="A4531" s="5" t="s">
        <v>5398</v>
      </c>
      <c r="B4531" s="11">
        <v>45808</v>
      </c>
      <c r="C4531" s="5" t="s">
        <v>876</v>
      </c>
      <c r="D4531" s="5" t="s">
        <v>269</v>
      </c>
      <c r="E4531" s="5" t="s">
        <v>25</v>
      </c>
      <c r="F4531" s="5">
        <v>5</v>
      </c>
      <c r="G4531" s="19">
        <v>0</v>
      </c>
      <c r="H4531" s="5" t="s">
        <v>697</v>
      </c>
      <c r="I4531" s="10">
        <f>IF(OR(D4531="", F4531=""), "", F4531 * VLOOKUP(D4531, Products!A:E, 5, FALSE) * (1 - G4531))</f>
        <v>9395.4</v>
      </c>
      <c r="J4531" s="10"/>
    </row>
    <row r="4532" spans="1:10" ht="15.75" customHeight="1" x14ac:dyDescent="0.3">
      <c r="A4532" s="5" t="s">
        <v>5399</v>
      </c>
      <c r="B4532" s="11">
        <v>45387</v>
      </c>
      <c r="C4532" s="5" t="s">
        <v>608</v>
      </c>
      <c r="D4532" s="5" t="s">
        <v>57</v>
      </c>
      <c r="E4532" s="5" t="s">
        <v>25</v>
      </c>
      <c r="F4532" s="5">
        <v>1</v>
      </c>
      <c r="G4532" s="19">
        <v>0.15</v>
      </c>
      <c r="H4532" s="5" t="s">
        <v>697</v>
      </c>
      <c r="I4532" s="10">
        <f>IF(OR(D4532="", F4532=""), "", F4532 * VLOOKUP(D4532, Products!A:E, 5, FALSE) * (1 - G4532))</f>
        <v>1186.787</v>
      </c>
      <c r="J4532" s="10"/>
    </row>
    <row r="4533" spans="1:10" ht="15.75" customHeight="1" x14ac:dyDescent="0.3">
      <c r="A4533" s="5" t="s">
        <v>5400</v>
      </c>
      <c r="B4533" s="11">
        <v>45826</v>
      </c>
      <c r="C4533" s="5" t="s">
        <v>462</v>
      </c>
      <c r="D4533" s="5" t="s">
        <v>267</v>
      </c>
      <c r="E4533" s="5" t="s">
        <v>25</v>
      </c>
      <c r="F4533" s="5">
        <v>3</v>
      </c>
      <c r="G4533" s="19">
        <v>0.1</v>
      </c>
      <c r="H4533" s="5" t="s">
        <v>697</v>
      </c>
      <c r="I4533" s="10">
        <f>IF(OR(D4533="", F4533=""), "", F4533 * VLOOKUP(D4533, Products!A:E, 5, FALSE) * (1 - G4533))</f>
        <v>3473.6849999999999</v>
      </c>
      <c r="J4533" s="10"/>
    </row>
    <row r="4534" spans="1:10" ht="15.75" customHeight="1" x14ac:dyDescent="0.3">
      <c r="A4534" s="5" t="s">
        <v>5401</v>
      </c>
      <c r="B4534" s="11">
        <v>45749</v>
      </c>
      <c r="C4534" s="5" t="s">
        <v>833</v>
      </c>
      <c r="D4534" s="5" t="s">
        <v>77</v>
      </c>
      <c r="E4534" s="5" t="s">
        <v>21</v>
      </c>
      <c r="F4534" s="5">
        <v>5</v>
      </c>
      <c r="G4534" s="19">
        <v>0.1</v>
      </c>
      <c r="H4534" s="5" t="s">
        <v>637</v>
      </c>
      <c r="I4534" s="10">
        <f>IF(OR(D4534="", F4534=""), "", F4534 * VLOOKUP(D4534, Products!A:E, 5, FALSE) * (1 - G4534))</f>
        <v>1118.5650000000001</v>
      </c>
      <c r="J4534" s="10"/>
    </row>
    <row r="4535" spans="1:10" ht="15.75" customHeight="1" x14ac:dyDescent="0.3">
      <c r="A4535" s="5" t="s">
        <v>5402</v>
      </c>
      <c r="B4535" s="11">
        <v>45641</v>
      </c>
      <c r="C4535" s="5" t="s">
        <v>674</v>
      </c>
      <c r="D4535" s="5" t="s">
        <v>61</v>
      </c>
      <c r="E4535" s="5" t="s">
        <v>21</v>
      </c>
      <c r="F4535" s="5">
        <v>4</v>
      </c>
      <c r="G4535" s="19">
        <v>0.15</v>
      </c>
      <c r="H4535" s="5" t="s">
        <v>454</v>
      </c>
      <c r="I4535" s="10">
        <f>IF(OR(D4535="", F4535=""), "", F4535 * VLOOKUP(D4535, Products!A:E, 5, FALSE) * (1 - G4535))</f>
        <v>1081.3700000000001</v>
      </c>
      <c r="J4535" s="10"/>
    </row>
    <row r="4536" spans="1:10" ht="15.75" customHeight="1" x14ac:dyDescent="0.3">
      <c r="A4536" s="5" t="s">
        <v>5403</v>
      </c>
      <c r="B4536" s="11">
        <v>45772</v>
      </c>
      <c r="C4536" s="5" t="s">
        <v>876</v>
      </c>
      <c r="D4536" s="5" t="s">
        <v>119</v>
      </c>
      <c r="E4536" s="5" t="s">
        <v>21</v>
      </c>
      <c r="F4536" s="5">
        <v>3</v>
      </c>
      <c r="G4536" s="19">
        <v>0</v>
      </c>
      <c r="H4536" s="5" t="s">
        <v>776</v>
      </c>
      <c r="I4536" s="10">
        <f>IF(OR(D4536="", F4536=""), "", F4536 * VLOOKUP(D4536, Products!A:E, 5, FALSE) * (1 - G4536))</f>
        <v>3239.67</v>
      </c>
      <c r="J4536" s="10"/>
    </row>
    <row r="4537" spans="1:10" ht="15.75" customHeight="1" x14ac:dyDescent="0.3">
      <c r="A4537" s="5" t="s">
        <v>5404</v>
      </c>
      <c r="B4537" s="11">
        <v>45546</v>
      </c>
      <c r="C4537" s="5" t="s">
        <v>149</v>
      </c>
      <c r="D4537" s="5" t="s">
        <v>200</v>
      </c>
      <c r="E4537" s="5" t="s">
        <v>25</v>
      </c>
      <c r="F4537" s="5">
        <v>1</v>
      </c>
      <c r="G4537" s="19">
        <v>0.05</v>
      </c>
      <c r="H4537" s="5" t="s">
        <v>454</v>
      </c>
      <c r="I4537" s="10">
        <f>IF(OR(D4537="", F4537=""), "", F4537 * VLOOKUP(D4537, Products!A:E, 5, FALSE) * (1 - G4537))</f>
        <v>1040.934</v>
      </c>
      <c r="J4537" s="10"/>
    </row>
    <row r="4538" spans="1:10" ht="15.75" customHeight="1" x14ac:dyDescent="0.3">
      <c r="A4538" s="5" t="s">
        <v>5405</v>
      </c>
      <c r="B4538" s="11">
        <v>45249</v>
      </c>
      <c r="C4538" s="5" t="s">
        <v>466</v>
      </c>
      <c r="D4538" s="5" t="s">
        <v>128</v>
      </c>
      <c r="E4538" s="5" t="s">
        <v>25</v>
      </c>
      <c r="F4538" s="5">
        <v>3</v>
      </c>
      <c r="G4538" s="19">
        <v>0</v>
      </c>
      <c r="H4538" s="5" t="s">
        <v>697</v>
      </c>
      <c r="I4538" s="10">
        <f>IF(OR(D4538="", F4538=""), "", F4538 * VLOOKUP(D4538, Products!A:E, 5, FALSE) * (1 - G4538))</f>
        <v>971.76</v>
      </c>
      <c r="J4538" s="10"/>
    </row>
    <row r="4539" spans="1:10" ht="15.75" customHeight="1" x14ac:dyDescent="0.3">
      <c r="A4539" s="5" t="s">
        <v>5406</v>
      </c>
      <c r="B4539" s="11">
        <v>45506</v>
      </c>
      <c r="C4539" s="5" t="s">
        <v>405</v>
      </c>
      <c r="D4539" s="5" t="s">
        <v>119</v>
      </c>
      <c r="E4539" s="5" t="s">
        <v>21</v>
      </c>
      <c r="F4539" s="5">
        <v>1</v>
      </c>
      <c r="G4539" s="19">
        <v>0.15</v>
      </c>
      <c r="H4539" s="5" t="s">
        <v>776</v>
      </c>
      <c r="I4539" s="10">
        <f>IF(OR(D4539="", F4539=""), "", F4539 * VLOOKUP(D4539, Products!A:E, 5, FALSE) * (1 - G4539))</f>
        <v>917.90650000000005</v>
      </c>
      <c r="J4539" s="10"/>
    </row>
    <row r="4540" spans="1:10" ht="15.75" customHeight="1" x14ac:dyDescent="0.3">
      <c r="A4540" s="5" t="s">
        <v>5407</v>
      </c>
      <c r="B4540" s="11">
        <v>45565</v>
      </c>
      <c r="C4540" s="5" t="s">
        <v>466</v>
      </c>
      <c r="D4540" s="5" t="s">
        <v>128</v>
      </c>
      <c r="E4540" s="5" t="s">
        <v>37</v>
      </c>
      <c r="F4540" s="5">
        <v>5</v>
      </c>
      <c r="G4540" s="19">
        <v>0.15</v>
      </c>
      <c r="H4540" s="5" t="s">
        <v>776</v>
      </c>
      <c r="I4540" s="10">
        <f>IF(OR(D4540="", F4540=""), "", F4540 * VLOOKUP(D4540, Products!A:E, 5, FALSE) * (1 - G4540))</f>
        <v>1376.66</v>
      </c>
      <c r="J4540" s="10"/>
    </row>
    <row r="4541" spans="1:10" ht="15.75" customHeight="1" x14ac:dyDescent="0.3">
      <c r="A4541" s="5" t="s">
        <v>5408</v>
      </c>
      <c r="B4541" s="11">
        <v>45885</v>
      </c>
      <c r="C4541" s="5" t="s">
        <v>397</v>
      </c>
      <c r="D4541" s="5" t="s">
        <v>140</v>
      </c>
      <c r="E4541" s="5" t="s">
        <v>33</v>
      </c>
      <c r="F4541" s="5">
        <v>2</v>
      </c>
      <c r="G4541" s="19">
        <v>0</v>
      </c>
      <c r="H4541" s="5" t="s">
        <v>637</v>
      </c>
      <c r="I4541" s="10">
        <f>IF(OR(D4541="", F4541=""), "", F4541 * VLOOKUP(D4541, Products!A:E, 5, FALSE) * (1 - G4541))</f>
        <v>51.14</v>
      </c>
      <c r="J4541" s="10"/>
    </row>
    <row r="4542" spans="1:10" ht="15.75" customHeight="1" x14ac:dyDescent="0.3">
      <c r="A4542" s="5" t="s">
        <v>5409</v>
      </c>
      <c r="B4542" s="11">
        <v>45645</v>
      </c>
      <c r="C4542" s="5" t="s">
        <v>159</v>
      </c>
      <c r="D4542" s="5" t="s">
        <v>265</v>
      </c>
      <c r="E4542" s="5" t="s">
        <v>21</v>
      </c>
      <c r="F4542" s="5">
        <v>2</v>
      </c>
      <c r="G4542" s="19">
        <v>0.05</v>
      </c>
      <c r="H4542" s="5" t="s">
        <v>776</v>
      </c>
      <c r="I4542" s="10">
        <f>IF(OR(D4542="", F4542=""), "", F4542 * VLOOKUP(D4542, Products!A:E, 5, FALSE) * (1 - G4542))</f>
        <v>1072.3979999999999</v>
      </c>
      <c r="J4542" s="10"/>
    </row>
    <row r="4543" spans="1:10" ht="15.75" customHeight="1" x14ac:dyDescent="0.3">
      <c r="A4543" s="5" t="s">
        <v>5410</v>
      </c>
      <c r="B4543" s="11">
        <v>45663</v>
      </c>
      <c r="C4543" s="5" t="s">
        <v>808</v>
      </c>
      <c r="D4543" s="5" t="s">
        <v>168</v>
      </c>
      <c r="E4543" s="5" t="s">
        <v>25</v>
      </c>
      <c r="F4543" s="5">
        <v>1</v>
      </c>
      <c r="G4543" s="19">
        <v>0.15</v>
      </c>
      <c r="H4543" s="5" t="s">
        <v>776</v>
      </c>
      <c r="I4543" s="10">
        <f>IF(OR(D4543="", F4543=""), "", F4543 * VLOOKUP(D4543, Products!A:E, 5, FALSE) * (1 - G4543))</f>
        <v>863.39599999999996</v>
      </c>
      <c r="J4543" s="10"/>
    </row>
    <row r="4544" spans="1:10" ht="15.75" customHeight="1" x14ac:dyDescent="0.3">
      <c r="A4544" s="5" t="s">
        <v>5411</v>
      </c>
      <c r="B4544" s="11">
        <v>45452</v>
      </c>
      <c r="C4544" s="5" t="s">
        <v>197</v>
      </c>
      <c r="D4544" s="5" t="s">
        <v>267</v>
      </c>
      <c r="E4544" s="5" t="s">
        <v>21</v>
      </c>
      <c r="F4544" s="5">
        <v>3</v>
      </c>
      <c r="G4544" s="19">
        <v>0</v>
      </c>
      <c r="H4544" s="5" t="s">
        <v>776</v>
      </c>
      <c r="I4544" s="10">
        <f>IF(OR(D4544="", F4544=""), "", F4544 * VLOOKUP(D4544, Products!A:E, 5, FALSE) * (1 - G4544))</f>
        <v>3859.6499999999996</v>
      </c>
      <c r="J4544" s="10"/>
    </row>
    <row r="4545" spans="1:10" ht="15.75" customHeight="1" x14ac:dyDescent="0.3">
      <c r="A4545" s="5" t="s">
        <v>5412</v>
      </c>
      <c r="B4545" s="11">
        <v>45227</v>
      </c>
      <c r="C4545" s="5" t="s">
        <v>365</v>
      </c>
      <c r="D4545" s="5" t="s">
        <v>122</v>
      </c>
      <c r="E4545" s="5" t="s">
        <v>29</v>
      </c>
      <c r="F4545" s="5">
        <v>4</v>
      </c>
      <c r="G4545" s="19">
        <v>0</v>
      </c>
      <c r="H4545" s="5" t="s">
        <v>697</v>
      </c>
      <c r="I4545" s="10">
        <f>IF(OR(D4545="", F4545=""), "", F4545 * VLOOKUP(D4545, Products!A:E, 5, FALSE) * (1 - G4545))</f>
        <v>7051.68</v>
      </c>
      <c r="J4545" s="10"/>
    </row>
    <row r="4546" spans="1:10" ht="15.75" customHeight="1" x14ac:dyDescent="0.3">
      <c r="A4546" s="5" t="s">
        <v>5413</v>
      </c>
      <c r="B4546" s="11">
        <v>45198</v>
      </c>
      <c r="C4546" s="5" t="s">
        <v>240</v>
      </c>
      <c r="D4546" s="5" t="s">
        <v>128</v>
      </c>
      <c r="E4546" s="5" t="s">
        <v>33</v>
      </c>
      <c r="F4546" s="5">
        <v>1</v>
      </c>
      <c r="G4546" s="19">
        <v>0.15</v>
      </c>
      <c r="H4546" s="5" t="s">
        <v>637</v>
      </c>
      <c r="I4546" s="10">
        <f>IF(OR(D4546="", F4546=""), "", F4546 * VLOOKUP(D4546, Products!A:E, 5, FALSE) * (1 - G4546))</f>
        <v>275.33199999999999</v>
      </c>
      <c r="J4546" s="10"/>
    </row>
    <row r="4547" spans="1:10" ht="15.75" customHeight="1" x14ac:dyDescent="0.3">
      <c r="A4547" s="5" t="s">
        <v>5414</v>
      </c>
      <c r="B4547" s="11">
        <v>45892</v>
      </c>
      <c r="C4547" s="5" t="s">
        <v>149</v>
      </c>
      <c r="D4547" s="5" t="s">
        <v>265</v>
      </c>
      <c r="E4547" s="5" t="s">
        <v>21</v>
      </c>
      <c r="F4547" s="5">
        <v>4</v>
      </c>
      <c r="G4547" s="19">
        <v>0.05</v>
      </c>
      <c r="H4547" s="5" t="s">
        <v>454</v>
      </c>
      <c r="I4547" s="10">
        <f>IF(OR(D4547="", F4547=""), "", F4547 * VLOOKUP(D4547, Products!A:E, 5, FALSE) * (1 - G4547))</f>
        <v>2144.7959999999998</v>
      </c>
      <c r="J4547" s="10"/>
    </row>
    <row r="4548" spans="1:10" ht="15.75" customHeight="1" x14ac:dyDescent="0.3">
      <c r="A4548" s="5" t="s">
        <v>5415</v>
      </c>
      <c r="B4548" s="11">
        <v>45806</v>
      </c>
      <c r="C4548" s="5" t="s">
        <v>800</v>
      </c>
      <c r="D4548" s="5" t="s">
        <v>262</v>
      </c>
      <c r="E4548" s="5" t="s">
        <v>37</v>
      </c>
      <c r="F4548" s="5">
        <v>1</v>
      </c>
      <c r="G4548" s="19">
        <v>0.1</v>
      </c>
      <c r="H4548" s="5" t="s">
        <v>776</v>
      </c>
      <c r="I4548" s="10">
        <f>IF(OR(D4548="", F4548=""), "", F4548 * VLOOKUP(D4548, Products!A:E, 5, FALSE) * (1 - G4548))</f>
        <v>408.25800000000004</v>
      </c>
      <c r="J4548" s="10"/>
    </row>
    <row r="4549" spans="1:10" ht="15.75" customHeight="1" x14ac:dyDescent="0.3">
      <c r="A4549" s="5" t="s">
        <v>5416</v>
      </c>
      <c r="B4549" s="11">
        <v>45304</v>
      </c>
      <c r="C4549" s="5" t="s">
        <v>711</v>
      </c>
      <c r="D4549" s="5" t="s">
        <v>226</v>
      </c>
      <c r="E4549" s="5" t="s">
        <v>29</v>
      </c>
      <c r="F4549" s="5">
        <v>4</v>
      </c>
      <c r="G4549" s="19">
        <v>0.1</v>
      </c>
      <c r="H4549" s="5" t="s">
        <v>454</v>
      </c>
      <c r="I4549" s="10">
        <f>IF(OR(D4549="", F4549=""), "", F4549 * VLOOKUP(D4549, Products!A:E, 5, FALSE) * (1 - G4549))</f>
        <v>5405.2560000000003</v>
      </c>
      <c r="J4549" s="10"/>
    </row>
    <row r="4550" spans="1:10" ht="15.75" customHeight="1" x14ac:dyDescent="0.3">
      <c r="A4550" s="5" t="s">
        <v>5417</v>
      </c>
      <c r="B4550" s="11">
        <v>45439</v>
      </c>
      <c r="C4550" s="5" t="s">
        <v>81</v>
      </c>
      <c r="D4550" s="5" t="s">
        <v>217</v>
      </c>
      <c r="E4550" s="5" t="s">
        <v>21</v>
      </c>
      <c r="F4550" s="5">
        <v>1</v>
      </c>
      <c r="G4550" s="19">
        <v>0.05</v>
      </c>
      <c r="H4550" s="5" t="s">
        <v>637</v>
      </c>
      <c r="I4550" s="10">
        <f>IF(OR(D4550="", F4550=""), "", F4550 * VLOOKUP(D4550, Products!A:E, 5, FALSE) * (1 - G4550))</f>
        <v>406.64749999999998</v>
      </c>
      <c r="J4550" s="10"/>
    </row>
    <row r="4551" spans="1:10" ht="15.75" customHeight="1" x14ac:dyDescent="0.3">
      <c r="A4551" s="5" t="s">
        <v>5418</v>
      </c>
      <c r="B4551" s="11">
        <v>45414</v>
      </c>
      <c r="C4551" s="5" t="s">
        <v>495</v>
      </c>
      <c r="D4551" s="5" t="s">
        <v>122</v>
      </c>
      <c r="E4551" s="5" t="s">
        <v>25</v>
      </c>
      <c r="F4551" s="5">
        <v>3</v>
      </c>
      <c r="G4551" s="19">
        <v>0.05</v>
      </c>
      <c r="H4551" s="5" t="s">
        <v>776</v>
      </c>
      <c r="I4551" s="10">
        <f>IF(OR(D4551="", F4551=""), "", F4551 * VLOOKUP(D4551, Products!A:E, 5, FALSE) * (1 - G4551))</f>
        <v>5024.3220000000001</v>
      </c>
      <c r="J4551" s="10"/>
    </row>
    <row r="4552" spans="1:10" ht="15.75" customHeight="1" x14ac:dyDescent="0.3">
      <c r="A4552" s="5" t="s">
        <v>5419</v>
      </c>
      <c r="B4552" s="11">
        <v>45264</v>
      </c>
      <c r="C4552" s="5" t="s">
        <v>106</v>
      </c>
      <c r="D4552" s="5" t="s">
        <v>65</v>
      </c>
      <c r="E4552" s="5" t="s">
        <v>33</v>
      </c>
      <c r="F4552" s="5">
        <v>2</v>
      </c>
      <c r="G4552" s="19">
        <v>0.15</v>
      </c>
      <c r="H4552" s="5" t="s">
        <v>776</v>
      </c>
      <c r="I4552" s="10">
        <f>IF(OR(D4552="", F4552=""), "", F4552 * VLOOKUP(D4552, Products!A:E, 5, FALSE) * (1 - G4552))</f>
        <v>2506.0039999999999</v>
      </c>
      <c r="J4552" s="10"/>
    </row>
    <row r="4553" spans="1:10" ht="15.75" customHeight="1" x14ac:dyDescent="0.3">
      <c r="A4553" s="5" t="s">
        <v>5420</v>
      </c>
      <c r="B4553" s="11">
        <v>45198</v>
      </c>
      <c r="C4553" s="5" t="s">
        <v>615</v>
      </c>
      <c r="D4553" s="5" t="s">
        <v>217</v>
      </c>
      <c r="E4553" s="5" t="s">
        <v>25</v>
      </c>
      <c r="F4553" s="5">
        <v>4</v>
      </c>
      <c r="G4553" s="19">
        <v>0</v>
      </c>
      <c r="H4553" s="5" t="s">
        <v>697</v>
      </c>
      <c r="I4553" s="10">
        <f>IF(OR(D4553="", F4553=""), "", F4553 * VLOOKUP(D4553, Products!A:E, 5, FALSE) * (1 - G4553))</f>
        <v>1712.2</v>
      </c>
      <c r="J4553" s="10"/>
    </row>
    <row r="4554" spans="1:10" ht="15.75" customHeight="1" x14ac:dyDescent="0.3">
      <c r="A4554" s="5" t="s">
        <v>5421</v>
      </c>
      <c r="B4554" s="11">
        <v>45286</v>
      </c>
      <c r="C4554" s="5" t="s">
        <v>611</v>
      </c>
      <c r="D4554" s="5" t="s">
        <v>285</v>
      </c>
      <c r="E4554" s="5" t="s">
        <v>21</v>
      </c>
      <c r="F4554" s="5">
        <v>4</v>
      </c>
      <c r="G4554" s="19">
        <v>0</v>
      </c>
      <c r="H4554" s="5" t="s">
        <v>637</v>
      </c>
      <c r="I4554" s="10">
        <f>IF(OR(D4554="", F4554=""), "", F4554 * VLOOKUP(D4554, Products!A:E, 5, FALSE) * (1 - G4554))</f>
        <v>1553.04</v>
      </c>
      <c r="J4554" s="10"/>
    </row>
    <row r="4555" spans="1:10" ht="15.75" customHeight="1" x14ac:dyDescent="0.3">
      <c r="A4555" s="5" t="s">
        <v>5422</v>
      </c>
      <c r="B4555" s="11">
        <v>45740</v>
      </c>
      <c r="C4555" s="5" t="s">
        <v>121</v>
      </c>
      <c r="D4555" s="5" t="s">
        <v>232</v>
      </c>
      <c r="E4555" s="5" t="s">
        <v>37</v>
      </c>
      <c r="F4555" s="5">
        <v>5</v>
      </c>
      <c r="G4555" s="19">
        <v>0</v>
      </c>
      <c r="H4555" s="5" t="s">
        <v>637</v>
      </c>
      <c r="I4555" s="10">
        <f>IF(OR(D4555="", F4555=""), "", F4555 * VLOOKUP(D4555, Products!A:E, 5, FALSE) * (1 - G4555))</f>
        <v>9763.25</v>
      </c>
      <c r="J4555" s="10"/>
    </row>
    <row r="4556" spans="1:10" ht="15.75" customHeight="1" x14ac:dyDescent="0.3">
      <c r="A4556" s="5" t="s">
        <v>5423</v>
      </c>
      <c r="B4556" s="11">
        <v>45746</v>
      </c>
      <c r="C4556" s="5" t="s">
        <v>308</v>
      </c>
      <c r="D4556" s="5" t="s">
        <v>61</v>
      </c>
      <c r="E4556" s="5" t="s">
        <v>25</v>
      </c>
      <c r="F4556" s="5">
        <v>2</v>
      </c>
      <c r="G4556" s="19">
        <v>0.15</v>
      </c>
      <c r="H4556" s="5" t="s">
        <v>454</v>
      </c>
      <c r="I4556" s="10">
        <f>IF(OR(D4556="", F4556=""), "", F4556 * VLOOKUP(D4556, Products!A:E, 5, FALSE) * (1 - G4556))</f>
        <v>540.68500000000006</v>
      </c>
      <c r="J4556" s="10"/>
    </row>
    <row r="4557" spans="1:10" ht="15.75" customHeight="1" x14ac:dyDescent="0.3">
      <c r="A4557" s="5" t="s">
        <v>5424</v>
      </c>
      <c r="B4557" s="11">
        <v>45622</v>
      </c>
      <c r="C4557" s="5" t="s">
        <v>624</v>
      </c>
      <c r="D4557" s="5" t="s">
        <v>280</v>
      </c>
      <c r="E4557" s="5" t="s">
        <v>33</v>
      </c>
      <c r="F4557" s="5">
        <v>1</v>
      </c>
      <c r="G4557" s="19">
        <v>0.05</v>
      </c>
      <c r="H4557" s="5" t="s">
        <v>637</v>
      </c>
      <c r="I4557" s="10">
        <f>IF(OR(D4557="", F4557=""), "", F4557 * VLOOKUP(D4557, Products!A:E, 5, FALSE) * (1 - G4557))</f>
        <v>1155.5419999999999</v>
      </c>
      <c r="J4557" s="10"/>
    </row>
    <row r="4558" spans="1:10" ht="15.75" customHeight="1" x14ac:dyDescent="0.3">
      <c r="A4558" s="5" t="s">
        <v>5425</v>
      </c>
      <c r="B4558" s="11">
        <v>45292</v>
      </c>
      <c r="C4558" s="5" t="s">
        <v>491</v>
      </c>
      <c r="D4558" s="5" t="s">
        <v>285</v>
      </c>
      <c r="E4558" s="5" t="s">
        <v>25</v>
      </c>
      <c r="F4558" s="5">
        <v>1</v>
      </c>
      <c r="G4558" s="19">
        <v>0.15</v>
      </c>
      <c r="H4558" s="5" t="s">
        <v>637</v>
      </c>
      <c r="I4558" s="10">
        <f>IF(OR(D4558="", F4558=""), "", F4558 * VLOOKUP(D4558, Products!A:E, 5, FALSE) * (1 - G4558))</f>
        <v>330.02099999999996</v>
      </c>
      <c r="J4558" s="10"/>
    </row>
    <row r="4559" spans="1:10" ht="15.75" customHeight="1" x14ac:dyDescent="0.3">
      <c r="A4559" s="5" t="s">
        <v>5426</v>
      </c>
      <c r="B4559" s="11">
        <v>45749</v>
      </c>
      <c r="C4559" s="5" t="s">
        <v>695</v>
      </c>
      <c r="D4559" s="5" t="s">
        <v>57</v>
      </c>
      <c r="E4559" s="5" t="s">
        <v>21</v>
      </c>
      <c r="F4559" s="5">
        <v>1</v>
      </c>
      <c r="G4559" s="19">
        <v>0.05</v>
      </c>
      <c r="H4559" s="5" t="s">
        <v>454</v>
      </c>
      <c r="I4559" s="10">
        <f>IF(OR(D4559="", F4559=""), "", F4559 * VLOOKUP(D4559, Products!A:E, 5, FALSE) * (1 - G4559))</f>
        <v>1326.4089999999999</v>
      </c>
      <c r="J4559" s="10"/>
    </row>
    <row r="4560" spans="1:10" ht="15.75" customHeight="1" x14ac:dyDescent="0.3">
      <c r="A4560" s="5" t="s">
        <v>5427</v>
      </c>
      <c r="B4560" s="11">
        <v>45402</v>
      </c>
      <c r="C4560" s="5" t="s">
        <v>683</v>
      </c>
      <c r="D4560" s="5" t="s">
        <v>65</v>
      </c>
      <c r="E4560" s="5" t="s">
        <v>21</v>
      </c>
      <c r="F4560" s="5">
        <v>5</v>
      </c>
      <c r="G4560" s="19">
        <v>0.1</v>
      </c>
      <c r="H4560" s="5" t="s">
        <v>454</v>
      </c>
      <c r="I4560" s="10">
        <f>IF(OR(D4560="", F4560=""), "", F4560 * VLOOKUP(D4560, Products!A:E, 5, FALSE) * (1 - G4560))</f>
        <v>6633.54</v>
      </c>
      <c r="J4560" s="10"/>
    </row>
    <row r="4561" spans="1:10" ht="15.75" customHeight="1" x14ac:dyDescent="0.3">
      <c r="A4561" s="5" t="s">
        <v>5428</v>
      </c>
      <c r="B4561" s="11">
        <v>45181</v>
      </c>
      <c r="C4561" s="5" t="s">
        <v>611</v>
      </c>
      <c r="D4561" s="5" t="s">
        <v>272</v>
      </c>
      <c r="E4561" s="5" t="s">
        <v>37</v>
      </c>
      <c r="F4561" s="5">
        <v>1</v>
      </c>
      <c r="G4561" s="19">
        <v>0</v>
      </c>
      <c r="H4561" s="5" t="s">
        <v>697</v>
      </c>
      <c r="I4561" s="10">
        <f>IF(OR(D4561="", F4561=""), "", F4561 * VLOOKUP(D4561, Products!A:E, 5, FALSE) * (1 - G4561))</f>
        <v>1165.3699999999999</v>
      </c>
      <c r="J4561" s="10"/>
    </row>
    <row r="4562" spans="1:10" ht="15.75" customHeight="1" x14ac:dyDescent="0.3">
      <c r="A4562" s="5" t="s">
        <v>5429</v>
      </c>
      <c r="B4562" s="11">
        <v>45508</v>
      </c>
      <c r="C4562" s="5" t="s">
        <v>770</v>
      </c>
      <c r="D4562" s="5" t="s">
        <v>256</v>
      </c>
      <c r="E4562" s="5" t="s">
        <v>29</v>
      </c>
      <c r="F4562" s="5">
        <v>3</v>
      </c>
      <c r="G4562" s="19">
        <v>0.05</v>
      </c>
      <c r="H4562" s="5" t="s">
        <v>697</v>
      </c>
      <c r="I4562" s="10">
        <f>IF(OR(D4562="", F4562=""), "", F4562 * VLOOKUP(D4562, Products!A:E, 5, FALSE) * (1 - G4562))</f>
        <v>4659.7784999999994</v>
      </c>
      <c r="J4562" s="10"/>
    </row>
    <row r="4563" spans="1:10" ht="15.75" customHeight="1" x14ac:dyDescent="0.3">
      <c r="A4563" s="5" t="s">
        <v>5430</v>
      </c>
      <c r="B4563" s="11">
        <v>45262</v>
      </c>
      <c r="C4563" s="5" t="s">
        <v>368</v>
      </c>
      <c r="D4563" s="5" t="s">
        <v>272</v>
      </c>
      <c r="E4563" s="5" t="s">
        <v>33</v>
      </c>
      <c r="F4563" s="5">
        <v>2</v>
      </c>
      <c r="G4563" s="19">
        <v>0.05</v>
      </c>
      <c r="H4563" s="5" t="s">
        <v>776</v>
      </c>
      <c r="I4563" s="10">
        <f>IF(OR(D4563="", F4563=""), "", F4563 * VLOOKUP(D4563, Products!A:E, 5, FALSE) * (1 - G4563))</f>
        <v>2214.2029999999995</v>
      </c>
      <c r="J4563" s="10"/>
    </row>
    <row r="4564" spans="1:10" ht="15.75" customHeight="1" x14ac:dyDescent="0.3">
      <c r="A4564" s="5" t="s">
        <v>5431</v>
      </c>
      <c r="B4564" s="11">
        <v>45193</v>
      </c>
      <c r="C4564" s="5" t="s">
        <v>543</v>
      </c>
      <c r="D4564" s="5" t="s">
        <v>237</v>
      </c>
      <c r="E4564" s="5" t="s">
        <v>37</v>
      </c>
      <c r="F4564" s="5">
        <v>1</v>
      </c>
      <c r="G4564" s="19">
        <v>0.15</v>
      </c>
      <c r="H4564" s="5" t="s">
        <v>637</v>
      </c>
      <c r="I4564" s="10">
        <f>IF(OR(D4564="", F4564=""), "", F4564 * VLOOKUP(D4564, Products!A:E, 5, FALSE) * (1 - G4564))</f>
        <v>311.89049999999997</v>
      </c>
      <c r="J4564" s="10"/>
    </row>
    <row r="4565" spans="1:10" ht="15.75" customHeight="1" x14ac:dyDescent="0.3">
      <c r="A4565" s="5" t="s">
        <v>5432</v>
      </c>
      <c r="B4565" s="11">
        <v>45849</v>
      </c>
      <c r="C4565" s="5" t="s">
        <v>635</v>
      </c>
      <c r="D4565" s="5" t="s">
        <v>70</v>
      </c>
      <c r="E4565" s="5" t="s">
        <v>29</v>
      </c>
      <c r="F4565" s="5">
        <v>4</v>
      </c>
      <c r="G4565" s="19">
        <v>0.1</v>
      </c>
      <c r="H4565" s="5" t="s">
        <v>637</v>
      </c>
      <c r="I4565" s="10">
        <f>IF(OR(D4565="", F4565=""), "", F4565 * VLOOKUP(D4565, Products!A:E, 5, FALSE) * (1 - G4565))</f>
        <v>443.48399999999998</v>
      </c>
      <c r="J4565" s="10"/>
    </row>
    <row r="4566" spans="1:10" ht="15.75" customHeight="1" x14ac:dyDescent="0.3">
      <c r="A4566" s="5" t="s">
        <v>5433</v>
      </c>
      <c r="B4566" s="11">
        <v>45810</v>
      </c>
      <c r="C4566" s="5" t="s">
        <v>602</v>
      </c>
      <c r="D4566" s="5" t="s">
        <v>54</v>
      </c>
      <c r="E4566" s="5" t="s">
        <v>33</v>
      </c>
      <c r="F4566" s="5">
        <v>1</v>
      </c>
      <c r="G4566" s="19">
        <v>0.15</v>
      </c>
      <c r="H4566" s="5" t="s">
        <v>637</v>
      </c>
      <c r="I4566" s="10">
        <f>IF(OR(D4566="", F4566=""), "", F4566 * VLOOKUP(D4566, Products!A:E, 5, FALSE) * (1 - G4566))</f>
        <v>1575.7045000000001</v>
      </c>
      <c r="J4566" s="10"/>
    </row>
    <row r="4567" spans="1:10" ht="15.75" customHeight="1" x14ac:dyDescent="0.3">
      <c r="A4567" s="5" t="s">
        <v>5434</v>
      </c>
      <c r="B4567" s="11">
        <v>45214</v>
      </c>
      <c r="C4567" s="5" t="s">
        <v>795</v>
      </c>
      <c r="D4567" s="5" t="s">
        <v>175</v>
      </c>
      <c r="E4567" s="5" t="s">
        <v>29</v>
      </c>
      <c r="F4567" s="5">
        <v>1</v>
      </c>
      <c r="G4567" s="19">
        <v>0.15</v>
      </c>
      <c r="H4567" s="5" t="s">
        <v>776</v>
      </c>
      <c r="I4567" s="10">
        <f>IF(OR(D4567="", F4567=""), "", F4567 * VLOOKUP(D4567, Products!A:E, 5, FALSE) * (1 - G4567))</f>
        <v>1081.3955000000001</v>
      </c>
      <c r="J4567" s="10"/>
    </row>
    <row r="4568" spans="1:10" ht="15.75" customHeight="1" x14ac:dyDescent="0.3">
      <c r="A4568" s="5" t="s">
        <v>5435</v>
      </c>
      <c r="B4568" s="11">
        <v>45407</v>
      </c>
      <c r="C4568" s="5" t="s">
        <v>401</v>
      </c>
      <c r="D4568" s="5" t="s">
        <v>193</v>
      </c>
      <c r="E4568" s="5" t="s">
        <v>37</v>
      </c>
      <c r="F4568" s="5">
        <v>3</v>
      </c>
      <c r="G4568" s="19">
        <v>0.05</v>
      </c>
      <c r="H4568" s="5" t="s">
        <v>776</v>
      </c>
      <c r="I4568" s="10">
        <f>IF(OR(D4568="", F4568=""), "", F4568 * VLOOKUP(D4568, Products!A:E, 5, FALSE) * (1 - G4568))</f>
        <v>83.333999999999989</v>
      </c>
      <c r="J4568" s="10"/>
    </row>
    <row r="4569" spans="1:10" ht="15.75" customHeight="1" x14ac:dyDescent="0.3">
      <c r="A4569" s="5" t="s">
        <v>5436</v>
      </c>
      <c r="B4569" s="11">
        <v>45259</v>
      </c>
      <c r="C4569" s="5" t="s">
        <v>477</v>
      </c>
      <c r="D4569" s="5" t="s">
        <v>200</v>
      </c>
      <c r="E4569" s="5" t="s">
        <v>21</v>
      </c>
      <c r="F4569" s="5">
        <v>1</v>
      </c>
      <c r="G4569" s="19">
        <v>0.15</v>
      </c>
      <c r="H4569" s="5" t="s">
        <v>454</v>
      </c>
      <c r="I4569" s="10">
        <f>IF(OR(D4569="", F4569=""), "", F4569 * VLOOKUP(D4569, Products!A:E, 5, FALSE) * (1 - G4569))</f>
        <v>931.36199999999997</v>
      </c>
      <c r="J4569" s="10"/>
    </row>
    <row r="4570" spans="1:10" ht="15.75" customHeight="1" x14ac:dyDescent="0.3">
      <c r="A4570" s="5" t="s">
        <v>5437</v>
      </c>
      <c r="B4570" s="11">
        <v>45696</v>
      </c>
      <c r="C4570" s="5" t="s">
        <v>300</v>
      </c>
      <c r="D4570" s="5" t="s">
        <v>95</v>
      </c>
      <c r="E4570" s="5" t="s">
        <v>33</v>
      </c>
      <c r="F4570" s="5">
        <v>1</v>
      </c>
      <c r="G4570" s="19">
        <v>0</v>
      </c>
      <c r="H4570" s="5" t="s">
        <v>637</v>
      </c>
      <c r="I4570" s="10">
        <f>IF(OR(D4570="", F4570=""), "", F4570 * VLOOKUP(D4570, Products!A:E, 5, FALSE) * (1 - G4570))</f>
        <v>1342.75</v>
      </c>
      <c r="J4570" s="10"/>
    </row>
    <row r="4571" spans="1:10" ht="15.75" customHeight="1" x14ac:dyDescent="0.3">
      <c r="A4571" s="5" t="s">
        <v>5438</v>
      </c>
      <c r="B4571" s="11">
        <v>45833</v>
      </c>
      <c r="C4571" s="5" t="s">
        <v>81</v>
      </c>
      <c r="D4571" s="5" t="s">
        <v>134</v>
      </c>
      <c r="E4571" s="5" t="s">
        <v>25</v>
      </c>
      <c r="F4571" s="5">
        <v>2</v>
      </c>
      <c r="G4571" s="19">
        <v>0.1</v>
      </c>
      <c r="H4571" s="5" t="s">
        <v>776</v>
      </c>
      <c r="I4571" s="10">
        <f>IF(OR(D4571="", F4571=""), "", F4571 * VLOOKUP(D4571, Products!A:E, 5, FALSE) * (1 - G4571))</f>
        <v>2209.0320000000002</v>
      </c>
      <c r="J4571" s="10"/>
    </row>
    <row r="4572" spans="1:10" ht="15.75" customHeight="1" x14ac:dyDescent="0.3">
      <c r="A4572" s="5" t="s">
        <v>5439</v>
      </c>
      <c r="B4572" s="11">
        <v>45504</v>
      </c>
      <c r="C4572" s="5" t="s">
        <v>770</v>
      </c>
      <c r="D4572" s="5" t="s">
        <v>57</v>
      </c>
      <c r="E4572" s="5" t="s">
        <v>37</v>
      </c>
      <c r="F4572" s="5">
        <v>3</v>
      </c>
      <c r="G4572" s="19">
        <v>0.05</v>
      </c>
      <c r="H4572" s="5" t="s">
        <v>454</v>
      </c>
      <c r="I4572" s="10">
        <f>IF(OR(D4572="", F4572=""), "", F4572 * VLOOKUP(D4572, Products!A:E, 5, FALSE) * (1 - G4572))</f>
        <v>3979.2269999999999</v>
      </c>
      <c r="J4572" s="10"/>
    </row>
    <row r="4573" spans="1:10" ht="15.75" customHeight="1" x14ac:dyDescent="0.3">
      <c r="A4573" s="5" t="s">
        <v>5440</v>
      </c>
      <c r="B4573" s="11">
        <v>45252</v>
      </c>
      <c r="C4573" s="5" t="s">
        <v>368</v>
      </c>
      <c r="D4573" s="5" t="s">
        <v>188</v>
      </c>
      <c r="E4573" s="5" t="s">
        <v>21</v>
      </c>
      <c r="F4573" s="5">
        <v>5</v>
      </c>
      <c r="G4573" s="19">
        <v>0.05</v>
      </c>
      <c r="H4573" s="5" t="s">
        <v>697</v>
      </c>
      <c r="I4573" s="10">
        <f>IF(OR(D4573="", F4573=""), "", F4573 * VLOOKUP(D4573, Products!A:E, 5, FALSE) * (1 - G4573))</f>
        <v>7053.9874999999993</v>
      </c>
      <c r="J4573" s="10"/>
    </row>
    <row r="4574" spans="1:10" ht="15.75" customHeight="1" x14ac:dyDescent="0.3">
      <c r="A4574" s="5" t="s">
        <v>5441</v>
      </c>
      <c r="B4574" s="11">
        <v>45692</v>
      </c>
      <c r="C4574" s="5" t="s">
        <v>443</v>
      </c>
      <c r="D4574" s="5" t="s">
        <v>291</v>
      </c>
      <c r="E4574" s="5" t="s">
        <v>37</v>
      </c>
      <c r="F4574" s="5">
        <v>3</v>
      </c>
      <c r="G4574" s="19">
        <v>0</v>
      </c>
      <c r="H4574" s="5" t="s">
        <v>697</v>
      </c>
      <c r="I4574" s="10">
        <f>IF(OR(D4574="", F4574=""), "", F4574 * VLOOKUP(D4574, Products!A:E, 5, FALSE) * (1 - G4574))</f>
        <v>3133.92</v>
      </c>
      <c r="J4574" s="10"/>
    </row>
    <row r="4575" spans="1:10" ht="15.75" customHeight="1" x14ac:dyDescent="0.3">
      <c r="A4575" s="5" t="s">
        <v>5442</v>
      </c>
      <c r="B4575" s="11">
        <v>45632</v>
      </c>
      <c r="C4575" s="5" t="s">
        <v>113</v>
      </c>
      <c r="D4575" s="5" t="s">
        <v>61</v>
      </c>
      <c r="E4575" s="5" t="s">
        <v>21</v>
      </c>
      <c r="F4575" s="5">
        <v>3</v>
      </c>
      <c r="G4575" s="19">
        <v>0</v>
      </c>
      <c r="H4575" s="5" t="s">
        <v>637</v>
      </c>
      <c r="I4575" s="10">
        <f>IF(OR(D4575="", F4575=""), "", F4575 * VLOOKUP(D4575, Products!A:E, 5, FALSE) * (1 - G4575))</f>
        <v>954.15000000000009</v>
      </c>
      <c r="J4575" s="10"/>
    </row>
    <row r="4576" spans="1:10" ht="15.75" customHeight="1" x14ac:dyDescent="0.3">
      <c r="A4576" s="5" t="s">
        <v>5443</v>
      </c>
      <c r="B4576" s="11">
        <v>45707</v>
      </c>
      <c r="C4576" s="5" t="s">
        <v>727</v>
      </c>
      <c r="D4576" s="5" t="s">
        <v>291</v>
      </c>
      <c r="E4576" s="5" t="s">
        <v>21</v>
      </c>
      <c r="F4576" s="5">
        <v>1</v>
      </c>
      <c r="G4576" s="19">
        <v>0.1</v>
      </c>
      <c r="H4576" s="5" t="s">
        <v>697</v>
      </c>
      <c r="I4576" s="10">
        <f>IF(OR(D4576="", F4576=""), "", F4576 * VLOOKUP(D4576, Products!A:E, 5, FALSE) * (1 - G4576))</f>
        <v>940.17600000000016</v>
      </c>
      <c r="J4576" s="10"/>
    </row>
    <row r="4577" spans="1:10" ht="15.75" customHeight="1" x14ac:dyDescent="0.3">
      <c r="A4577" s="5" t="s">
        <v>5444</v>
      </c>
      <c r="B4577" s="11">
        <v>45245</v>
      </c>
      <c r="C4577" s="5" t="s">
        <v>149</v>
      </c>
      <c r="D4577" s="5" t="s">
        <v>70</v>
      </c>
      <c r="E4577" s="5" t="s">
        <v>25</v>
      </c>
      <c r="F4577" s="5">
        <v>1</v>
      </c>
      <c r="G4577" s="19">
        <v>0.1</v>
      </c>
      <c r="H4577" s="5" t="s">
        <v>776</v>
      </c>
      <c r="I4577" s="10">
        <f>IF(OR(D4577="", F4577=""), "", F4577 * VLOOKUP(D4577, Products!A:E, 5, FALSE) * (1 - G4577))</f>
        <v>110.871</v>
      </c>
      <c r="J4577" s="10"/>
    </row>
    <row r="4578" spans="1:10" ht="15.75" customHeight="1" x14ac:dyDescent="0.3">
      <c r="A4578" s="5" t="s">
        <v>5445</v>
      </c>
      <c r="B4578" s="11">
        <v>45694</v>
      </c>
      <c r="C4578" s="5" t="s">
        <v>528</v>
      </c>
      <c r="D4578" s="5" t="s">
        <v>200</v>
      </c>
      <c r="E4578" s="5" t="s">
        <v>33</v>
      </c>
      <c r="F4578" s="5">
        <v>3</v>
      </c>
      <c r="G4578" s="19">
        <v>0.15</v>
      </c>
      <c r="H4578" s="5" t="s">
        <v>454</v>
      </c>
      <c r="I4578" s="10">
        <f>IF(OR(D4578="", F4578=""), "", F4578 * VLOOKUP(D4578, Products!A:E, 5, FALSE) * (1 - G4578))</f>
        <v>2794.0859999999998</v>
      </c>
      <c r="J4578" s="10"/>
    </row>
    <row r="4579" spans="1:10" ht="15.75" customHeight="1" x14ac:dyDescent="0.3">
      <c r="A4579" s="5" t="s">
        <v>5446</v>
      </c>
      <c r="B4579" s="11">
        <v>45554</v>
      </c>
      <c r="C4579" s="5" t="s">
        <v>554</v>
      </c>
      <c r="D4579" s="5" t="s">
        <v>265</v>
      </c>
      <c r="E4579" s="5" t="s">
        <v>25</v>
      </c>
      <c r="F4579" s="5">
        <v>2</v>
      </c>
      <c r="G4579" s="19">
        <v>0.1</v>
      </c>
      <c r="H4579" s="5" t="s">
        <v>697</v>
      </c>
      <c r="I4579" s="10">
        <f>IF(OR(D4579="", F4579=""), "", F4579 * VLOOKUP(D4579, Products!A:E, 5, FALSE) * (1 - G4579))</f>
        <v>1015.9559999999999</v>
      </c>
      <c r="J4579" s="10"/>
    </row>
    <row r="4580" spans="1:10" ht="15.75" customHeight="1" x14ac:dyDescent="0.3">
      <c r="A4580" s="5" t="s">
        <v>5447</v>
      </c>
      <c r="B4580" s="11">
        <v>45594</v>
      </c>
      <c r="C4580" s="5" t="s">
        <v>466</v>
      </c>
      <c r="D4580" s="5" t="s">
        <v>232</v>
      </c>
      <c r="E4580" s="5" t="s">
        <v>37</v>
      </c>
      <c r="F4580" s="5">
        <v>1</v>
      </c>
      <c r="G4580" s="19">
        <v>0</v>
      </c>
      <c r="H4580" s="5" t="s">
        <v>776</v>
      </c>
      <c r="I4580" s="10">
        <f>IF(OR(D4580="", F4580=""), "", F4580 * VLOOKUP(D4580, Products!A:E, 5, FALSE) * (1 - G4580))</f>
        <v>1952.65</v>
      </c>
      <c r="J4580" s="10"/>
    </row>
    <row r="4581" spans="1:10" ht="15.75" customHeight="1" x14ac:dyDescent="0.3">
      <c r="A4581" s="5" t="s">
        <v>5448</v>
      </c>
      <c r="B4581" s="11">
        <v>45745</v>
      </c>
      <c r="C4581" s="5" t="s">
        <v>481</v>
      </c>
      <c r="D4581" s="5" t="s">
        <v>122</v>
      </c>
      <c r="E4581" s="5" t="s">
        <v>21</v>
      </c>
      <c r="F4581" s="5">
        <v>1</v>
      </c>
      <c r="G4581" s="19">
        <v>0.1</v>
      </c>
      <c r="H4581" s="5" t="s">
        <v>637</v>
      </c>
      <c r="I4581" s="10">
        <f>IF(OR(D4581="", F4581=""), "", F4581 * VLOOKUP(D4581, Products!A:E, 5, FALSE) * (1 - G4581))</f>
        <v>1586.6280000000002</v>
      </c>
      <c r="J4581" s="10"/>
    </row>
    <row r="4582" spans="1:10" ht="15.75" customHeight="1" x14ac:dyDescent="0.3">
      <c r="A4582" s="5" t="s">
        <v>5449</v>
      </c>
      <c r="B4582" s="11">
        <v>45847</v>
      </c>
      <c r="C4582" s="5" t="s">
        <v>567</v>
      </c>
      <c r="D4582" s="5" t="s">
        <v>180</v>
      </c>
      <c r="E4582" s="5" t="s">
        <v>29</v>
      </c>
      <c r="F4582" s="5">
        <v>2</v>
      </c>
      <c r="G4582" s="19">
        <v>0.15</v>
      </c>
      <c r="H4582" s="5" t="s">
        <v>637</v>
      </c>
      <c r="I4582" s="10">
        <f>IF(OR(D4582="", F4582=""), "", F4582 * VLOOKUP(D4582, Products!A:E, 5, FALSE) * (1 - G4582))</f>
        <v>1145.4259999999999</v>
      </c>
      <c r="J4582" s="10"/>
    </row>
    <row r="4583" spans="1:10" ht="15.75" customHeight="1" x14ac:dyDescent="0.3">
      <c r="A4583" s="5" t="s">
        <v>5450</v>
      </c>
      <c r="B4583" s="11">
        <v>45840</v>
      </c>
      <c r="C4583" s="5" t="s">
        <v>261</v>
      </c>
      <c r="D4583" s="5" t="s">
        <v>193</v>
      </c>
      <c r="E4583" s="5" t="s">
        <v>29</v>
      </c>
      <c r="F4583" s="5">
        <v>4</v>
      </c>
      <c r="G4583" s="19">
        <v>0.05</v>
      </c>
      <c r="H4583" s="5" t="s">
        <v>454</v>
      </c>
      <c r="I4583" s="10">
        <f>IF(OR(D4583="", F4583=""), "", F4583 * VLOOKUP(D4583, Products!A:E, 5, FALSE) * (1 - G4583))</f>
        <v>111.11199999999999</v>
      </c>
      <c r="J4583" s="10"/>
    </row>
    <row r="4584" spans="1:10" ht="15.75" customHeight="1" x14ac:dyDescent="0.3">
      <c r="A4584" s="5" t="s">
        <v>5451</v>
      </c>
      <c r="B4584" s="11">
        <v>45454</v>
      </c>
      <c r="C4584" s="5" t="s">
        <v>477</v>
      </c>
      <c r="D4584" s="5" t="s">
        <v>43</v>
      </c>
      <c r="E4584" s="5" t="s">
        <v>21</v>
      </c>
      <c r="F4584" s="5">
        <v>2</v>
      </c>
      <c r="G4584" s="19">
        <v>0</v>
      </c>
      <c r="H4584" s="5" t="s">
        <v>637</v>
      </c>
      <c r="I4584" s="10">
        <f>IF(OR(D4584="", F4584=""), "", F4584 * VLOOKUP(D4584, Products!A:E, 5, FALSE) * (1 - G4584))</f>
        <v>3347.38</v>
      </c>
      <c r="J4584" s="10"/>
    </row>
    <row r="4585" spans="1:10" ht="15.75" customHeight="1" x14ac:dyDescent="0.3">
      <c r="A4585" s="5" t="s">
        <v>5452</v>
      </c>
      <c r="B4585" s="11">
        <v>45557</v>
      </c>
      <c r="C4585" s="5" t="s">
        <v>634</v>
      </c>
      <c r="D4585" s="5" t="s">
        <v>217</v>
      </c>
      <c r="E4585" s="5" t="s">
        <v>29</v>
      </c>
      <c r="F4585" s="5">
        <v>1</v>
      </c>
      <c r="G4585" s="19">
        <v>0.05</v>
      </c>
      <c r="H4585" s="5" t="s">
        <v>697</v>
      </c>
      <c r="I4585" s="10">
        <f>IF(OR(D4585="", F4585=""), "", F4585 * VLOOKUP(D4585, Products!A:E, 5, FALSE) * (1 - G4585))</f>
        <v>406.64749999999998</v>
      </c>
      <c r="J4585" s="10"/>
    </row>
    <row r="4586" spans="1:10" ht="15.75" customHeight="1" x14ac:dyDescent="0.3">
      <c r="A4586" s="5" t="s">
        <v>5453</v>
      </c>
      <c r="B4586" s="11">
        <v>45460</v>
      </c>
      <c r="C4586" s="5" t="s">
        <v>722</v>
      </c>
      <c r="D4586" s="5" t="s">
        <v>74</v>
      </c>
      <c r="E4586" s="5" t="s">
        <v>29</v>
      </c>
      <c r="F4586" s="5">
        <v>5</v>
      </c>
      <c r="G4586" s="19">
        <v>0.15</v>
      </c>
      <c r="H4586" s="5" t="s">
        <v>776</v>
      </c>
      <c r="I4586" s="10">
        <f>IF(OR(D4586="", F4586=""), "", F4586 * VLOOKUP(D4586, Products!A:E, 5, FALSE) * (1 - G4586))</f>
        <v>5075.0099999999993</v>
      </c>
      <c r="J4586" s="10"/>
    </row>
    <row r="4587" spans="1:10" ht="15.75" customHeight="1" x14ac:dyDescent="0.3">
      <c r="A4587" s="5" t="s">
        <v>5454</v>
      </c>
      <c r="B4587" s="11">
        <v>45668</v>
      </c>
      <c r="C4587" s="5" t="s">
        <v>495</v>
      </c>
      <c r="D4587" s="5" t="s">
        <v>119</v>
      </c>
      <c r="E4587" s="5" t="s">
        <v>29</v>
      </c>
      <c r="F4587" s="5">
        <v>3</v>
      </c>
      <c r="G4587" s="19">
        <v>0.05</v>
      </c>
      <c r="H4587" s="5" t="s">
        <v>637</v>
      </c>
      <c r="I4587" s="10">
        <f>IF(OR(D4587="", F4587=""), "", F4587 * VLOOKUP(D4587, Products!A:E, 5, FALSE) * (1 - G4587))</f>
        <v>3077.6864999999998</v>
      </c>
      <c r="J4587" s="10"/>
    </row>
    <row r="4588" spans="1:10" ht="15.75" customHeight="1" x14ac:dyDescent="0.3">
      <c r="A4588" s="5" t="s">
        <v>5455</v>
      </c>
      <c r="B4588" s="11">
        <v>45798</v>
      </c>
      <c r="C4588" s="5" t="s">
        <v>758</v>
      </c>
      <c r="D4588" s="5" t="s">
        <v>249</v>
      </c>
      <c r="E4588" s="5" t="s">
        <v>21</v>
      </c>
      <c r="F4588" s="5">
        <v>5</v>
      </c>
      <c r="G4588" s="19">
        <v>0.15</v>
      </c>
      <c r="H4588" s="5" t="s">
        <v>697</v>
      </c>
      <c r="I4588" s="10">
        <f>IF(OR(D4588="", F4588=""), "", F4588 * VLOOKUP(D4588, Products!A:E, 5, FALSE) * (1 - G4588))</f>
        <v>7418.8424999999988</v>
      </c>
      <c r="J4588" s="10"/>
    </row>
    <row r="4589" spans="1:10" ht="15.75" customHeight="1" x14ac:dyDescent="0.3">
      <c r="A4589" s="5" t="s">
        <v>5456</v>
      </c>
      <c r="B4589" s="11">
        <v>45476</v>
      </c>
      <c r="C4589" s="5" t="s">
        <v>387</v>
      </c>
      <c r="D4589" s="5" t="s">
        <v>232</v>
      </c>
      <c r="E4589" s="5" t="s">
        <v>33</v>
      </c>
      <c r="F4589" s="5">
        <v>1</v>
      </c>
      <c r="G4589" s="19">
        <v>0.05</v>
      </c>
      <c r="H4589" s="5" t="s">
        <v>454</v>
      </c>
      <c r="I4589" s="10">
        <f>IF(OR(D4589="", F4589=""), "", F4589 * VLOOKUP(D4589, Products!A:E, 5, FALSE) * (1 - G4589))</f>
        <v>1855.0174999999999</v>
      </c>
      <c r="J4589" s="10"/>
    </row>
    <row r="4590" spans="1:10" ht="15.75" customHeight="1" x14ac:dyDescent="0.3">
      <c r="A4590" s="5" t="s">
        <v>5457</v>
      </c>
      <c r="B4590" s="11">
        <v>45705</v>
      </c>
      <c r="C4590" s="5" t="s">
        <v>447</v>
      </c>
      <c r="D4590" s="5" t="s">
        <v>267</v>
      </c>
      <c r="E4590" s="5" t="s">
        <v>33</v>
      </c>
      <c r="F4590" s="5">
        <v>3</v>
      </c>
      <c r="G4590" s="19">
        <v>0.1</v>
      </c>
      <c r="H4590" s="5" t="s">
        <v>637</v>
      </c>
      <c r="I4590" s="10">
        <f>IF(OR(D4590="", F4590=""), "", F4590 * VLOOKUP(D4590, Products!A:E, 5, FALSE) * (1 - G4590))</f>
        <v>3473.6849999999999</v>
      </c>
      <c r="J4590" s="10"/>
    </row>
    <row r="4591" spans="1:10" ht="15.75" customHeight="1" x14ac:dyDescent="0.3">
      <c r="A4591" s="5" t="s">
        <v>5458</v>
      </c>
      <c r="B4591" s="11">
        <v>45801</v>
      </c>
      <c r="C4591" s="5" t="s">
        <v>872</v>
      </c>
      <c r="D4591" s="5" t="s">
        <v>232</v>
      </c>
      <c r="E4591" s="5" t="s">
        <v>33</v>
      </c>
      <c r="F4591" s="5">
        <v>4</v>
      </c>
      <c r="G4591" s="19">
        <v>0.05</v>
      </c>
      <c r="H4591" s="5" t="s">
        <v>776</v>
      </c>
      <c r="I4591" s="10">
        <f>IF(OR(D4591="", F4591=""), "", F4591 * VLOOKUP(D4591, Products!A:E, 5, FALSE) * (1 - G4591))</f>
        <v>7420.07</v>
      </c>
      <c r="J4591" s="10"/>
    </row>
    <row r="4592" spans="1:10" ht="15.75" customHeight="1" x14ac:dyDescent="0.3">
      <c r="A4592" s="5" t="s">
        <v>5459</v>
      </c>
      <c r="B4592" s="11">
        <v>45754</v>
      </c>
      <c r="C4592" s="5" t="s">
        <v>511</v>
      </c>
      <c r="D4592" s="5" t="s">
        <v>280</v>
      </c>
      <c r="E4592" s="5" t="s">
        <v>21</v>
      </c>
      <c r="F4592" s="5">
        <v>4</v>
      </c>
      <c r="G4592" s="19">
        <v>0</v>
      </c>
      <c r="H4592" s="5" t="s">
        <v>776</v>
      </c>
      <c r="I4592" s="10">
        <f>IF(OR(D4592="", F4592=""), "", F4592 * VLOOKUP(D4592, Products!A:E, 5, FALSE) * (1 - G4592))</f>
        <v>4865.4399999999996</v>
      </c>
      <c r="J4592" s="10"/>
    </row>
    <row r="4593" spans="1:10" ht="15.75" customHeight="1" x14ac:dyDescent="0.3">
      <c r="A4593" s="5" t="s">
        <v>5460</v>
      </c>
      <c r="B4593" s="11">
        <v>45831</v>
      </c>
      <c r="C4593" s="5" t="s">
        <v>604</v>
      </c>
      <c r="D4593" s="5" t="s">
        <v>262</v>
      </c>
      <c r="E4593" s="5" t="s">
        <v>25</v>
      </c>
      <c r="F4593" s="5">
        <v>1</v>
      </c>
      <c r="G4593" s="19">
        <v>0.15</v>
      </c>
      <c r="H4593" s="5" t="s">
        <v>776</v>
      </c>
      <c r="I4593" s="10">
        <f>IF(OR(D4593="", F4593=""), "", F4593 * VLOOKUP(D4593, Products!A:E, 5, FALSE) * (1 - G4593))</f>
        <v>385.577</v>
      </c>
      <c r="J4593" s="10"/>
    </row>
    <row r="4594" spans="1:10" ht="15.75" customHeight="1" x14ac:dyDescent="0.3">
      <c r="A4594" s="5" t="s">
        <v>5461</v>
      </c>
      <c r="B4594" s="11">
        <v>45861</v>
      </c>
      <c r="C4594" s="5" t="s">
        <v>515</v>
      </c>
      <c r="D4594" s="5" t="s">
        <v>237</v>
      </c>
      <c r="E4594" s="5" t="s">
        <v>33</v>
      </c>
      <c r="F4594" s="5">
        <v>3</v>
      </c>
      <c r="G4594" s="19">
        <v>0.15</v>
      </c>
      <c r="H4594" s="5" t="s">
        <v>697</v>
      </c>
      <c r="I4594" s="10">
        <f>IF(OR(D4594="", F4594=""), "", F4594 * VLOOKUP(D4594, Products!A:E, 5, FALSE) * (1 - G4594))</f>
        <v>935.67149999999992</v>
      </c>
      <c r="J4594" s="10"/>
    </row>
    <row r="4595" spans="1:10" ht="15.75" customHeight="1" x14ac:dyDescent="0.3">
      <c r="A4595" s="5" t="s">
        <v>5462</v>
      </c>
      <c r="B4595" s="11">
        <v>45666</v>
      </c>
      <c r="C4595" s="5" t="s">
        <v>624</v>
      </c>
      <c r="D4595" s="5" t="s">
        <v>188</v>
      </c>
      <c r="E4595" s="5" t="s">
        <v>21</v>
      </c>
      <c r="F4595" s="5">
        <v>2</v>
      </c>
      <c r="G4595" s="19">
        <v>0</v>
      </c>
      <c r="H4595" s="5" t="s">
        <v>637</v>
      </c>
      <c r="I4595" s="10">
        <f>IF(OR(D4595="", F4595=""), "", F4595 * VLOOKUP(D4595, Products!A:E, 5, FALSE) * (1 - G4595))</f>
        <v>2970.1</v>
      </c>
      <c r="J4595" s="10"/>
    </row>
    <row r="4596" spans="1:10" ht="15.75" customHeight="1" x14ac:dyDescent="0.3">
      <c r="A4596" s="5" t="s">
        <v>5463</v>
      </c>
      <c r="B4596" s="11">
        <v>45732</v>
      </c>
      <c r="C4596" s="5" t="s">
        <v>474</v>
      </c>
      <c r="D4596" s="5" t="s">
        <v>57</v>
      </c>
      <c r="E4596" s="5" t="s">
        <v>29</v>
      </c>
      <c r="F4596" s="5">
        <v>2</v>
      </c>
      <c r="G4596" s="19">
        <v>0</v>
      </c>
      <c r="H4596" s="5" t="s">
        <v>697</v>
      </c>
      <c r="I4596" s="10">
        <f>IF(OR(D4596="", F4596=""), "", F4596 * VLOOKUP(D4596, Products!A:E, 5, FALSE) * (1 - G4596))</f>
        <v>2792.44</v>
      </c>
      <c r="J4596" s="10"/>
    </row>
    <row r="4597" spans="1:10" ht="15.75" customHeight="1" x14ac:dyDescent="0.3">
      <c r="A4597" s="5" t="s">
        <v>5464</v>
      </c>
      <c r="B4597" s="11">
        <v>45663</v>
      </c>
      <c r="C4597" s="5" t="s">
        <v>590</v>
      </c>
      <c r="D4597" s="5" t="s">
        <v>119</v>
      </c>
      <c r="E4597" s="5" t="s">
        <v>29</v>
      </c>
      <c r="F4597" s="5">
        <v>1</v>
      </c>
      <c r="G4597" s="19">
        <v>0.1</v>
      </c>
      <c r="H4597" s="5" t="s">
        <v>454</v>
      </c>
      <c r="I4597" s="10">
        <f>IF(OR(D4597="", F4597=""), "", F4597 * VLOOKUP(D4597, Products!A:E, 5, FALSE) * (1 - G4597))</f>
        <v>971.90100000000007</v>
      </c>
      <c r="J4597" s="10"/>
    </row>
    <row r="4598" spans="1:10" ht="15.75" customHeight="1" x14ac:dyDescent="0.3">
      <c r="A4598" s="5" t="s">
        <v>5465</v>
      </c>
      <c r="B4598" s="11">
        <v>45798</v>
      </c>
      <c r="C4598" s="5" t="s">
        <v>815</v>
      </c>
      <c r="D4598" s="5" t="s">
        <v>82</v>
      </c>
      <c r="E4598" s="5" t="s">
        <v>33</v>
      </c>
      <c r="F4598" s="5">
        <v>2</v>
      </c>
      <c r="G4598" s="19">
        <v>0.15</v>
      </c>
      <c r="H4598" s="5" t="s">
        <v>776</v>
      </c>
      <c r="I4598" s="10">
        <f>IF(OR(D4598="", F4598=""), "", F4598 * VLOOKUP(D4598, Products!A:E, 5, FALSE) * (1 - G4598))</f>
        <v>2028.2529999999997</v>
      </c>
      <c r="J4598" s="10"/>
    </row>
    <row r="4599" spans="1:10" ht="15.75" customHeight="1" x14ac:dyDescent="0.3">
      <c r="A4599" s="5" t="s">
        <v>5466</v>
      </c>
      <c r="B4599" s="11">
        <v>45832</v>
      </c>
      <c r="C4599" s="5" t="s">
        <v>317</v>
      </c>
      <c r="D4599" s="5" t="s">
        <v>115</v>
      </c>
      <c r="E4599" s="5" t="s">
        <v>37</v>
      </c>
      <c r="F4599" s="5">
        <v>2</v>
      </c>
      <c r="G4599" s="19">
        <v>0.1</v>
      </c>
      <c r="H4599" s="5" t="s">
        <v>454</v>
      </c>
      <c r="I4599" s="10">
        <f>IF(OR(D4599="", F4599=""), "", F4599 * VLOOKUP(D4599, Products!A:E, 5, FALSE) * (1 - G4599))</f>
        <v>2242.998</v>
      </c>
      <c r="J4599" s="10"/>
    </row>
    <row r="4600" spans="1:10" ht="15.75" customHeight="1" x14ac:dyDescent="0.3">
      <c r="A4600" s="5" t="s">
        <v>5467</v>
      </c>
      <c r="B4600" s="11">
        <v>45366</v>
      </c>
      <c r="C4600" s="5" t="s">
        <v>872</v>
      </c>
      <c r="D4600" s="5" t="s">
        <v>61</v>
      </c>
      <c r="E4600" s="5" t="s">
        <v>33</v>
      </c>
      <c r="F4600" s="5">
        <v>5</v>
      </c>
      <c r="G4600" s="19">
        <v>0.15</v>
      </c>
      <c r="H4600" s="5" t="s">
        <v>697</v>
      </c>
      <c r="I4600" s="10">
        <f>IF(OR(D4600="", F4600=""), "", F4600 * VLOOKUP(D4600, Products!A:E, 5, FALSE) * (1 - G4600))</f>
        <v>1351.7124999999999</v>
      </c>
      <c r="J4600" s="10"/>
    </row>
    <row r="4601" spans="1:10" ht="15.75" customHeight="1" x14ac:dyDescent="0.3">
      <c r="A4601" s="5" t="s">
        <v>5468</v>
      </c>
      <c r="B4601" s="11">
        <v>45645</v>
      </c>
      <c r="C4601" s="5" t="s">
        <v>597</v>
      </c>
      <c r="D4601" s="5" t="s">
        <v>134</v>
      </c>
      <c r="E4601" s="5" t="s">
        <v>25</v>
      </c>
      <c r="F4601" s="5">
        <v>5</v>
      </c>
      <c r="G4601" s="19">
        <v>0.1</v>
      </c>
      <c r="H4601" s="5" t="s">
        <v>776</v>
      </c>
      <c r="I4601" s="10">
        <f>IF(OR(D4601="", F4601=""), "", F4601 * VLOOKUP(D4601, Products!A:E, 5, FALSE) * (1 - G4601))</f>
        <v>5522.58</v>
      </c>
      <c r="J4601" s="10"/>
    </row>
    <row r="4602" spans="1:10" ht="15.75" customHeight="1" x14ac:dyDescent="0.3">
      <c r="A4602" s="5" t="s">
        <v>5469</v>
      </c>
      <c r="B4602" s="11">
        <v>45807</v>
      </c>
      <c r="C4602" s="5" t="s">
        <v>593</v>
      </c>
      <c r="D4602" s="5" t="s">
        <v>285</v>
      </c>
      <c r="E4602" s="5" t="s">
        <v>33</v>
      </c>
      <c r="F4602" s="5">
        <v>4</v>
      </c>
      <c r="G4602" s="19">
        <v>0.1</v>
      </c>
      <c r="H4602" s="5" t="s">
        <v>697</v>
      </c>
      <c r="I4602" s="10">
        <f>IF(OR(D4602="", F4602=""), "", F4602 * VLOOKUP(D4602, Products!A:E, 5, FALSE) * (1 - G4602))</f>
        <v>1397.7360000000001</v>
      </c>
      <c r="J4602" s="10"/>
    </row>
    <row r="4603" spans="1:10" ht="15.75" customHeight="1" x14ac:dyDescent="0.3">
      <c r="A4603" s="5" t="s">
        <v>5470</v>
      </c>
      <c r="B4603" s="11">
        <v>45374</v>
      </c>
      <c r="C4603" s="5" t="s">
        <v>81</v>
      </c>
      <c r="D4603" s="5" t="s">
        <v>50</v>
      </c>
      <c r="E4603" s="5" t="s">
        <v>33</v>
      </c>
      <c r="F4603" s="5">
        <v>4</v>
      </c>
      <c r="G4603" s="19">
        <v>0.05</v>
      </c>
      <c r="H4603" s="5" t="s">
        <v>697</v>
      </c>
      <c r="I4603" s="10">
        <f>IF(OR(D4603="", F4603=""), "", F4603 * VLOOKUP(D4603, Products!A:E, 5, FALSE) * (1 - G4603))</f>
        <v>1282.9939999999999</v>
      </c>
      <c r="J4603" s="10"/>
    </row>
    <row r="4604" spans="1:10" ht="15.75" customHeight="1" x14ac:dyDescent="0.3">
      <c r="A4604" s="5" t="s">
        <v>5471</v>
      </c>
      <c r="B4604" s="11">
        <v>45261</v>
      </c>
      <c r="C4604" s="5" t="s">
        <v>620</v>
      </c>
      <c r="D4604" s="5" t="s">
        <v>153</v>
      </c>
      <c r="E4604" s="5" t="s">
        <v>21</v>
      </c>
      <c r="F4604" s="5">
        <v>2</v>
      </c>
      <c r="G4604" s="19">
        <v>0.1</v>
      </c>
      <c r="H4604" s="5" t="s">
        <v>697</v>
      </c>
      <c r="I4604" s="10">
        <f>IF(OR(D4604="", F4604=""), "", F4604 * VLOOKUP(D4604, Products!A:E, 5, FALSE) * (1 - G4604))</f>
        <v>2677.3380000000002</v>
      </c>
      <c r="J4604" s="10"/>
    </row>
    <row r="4605" spans="1:10" ht="15.75" customHeight="1" x14ac:dyDescent="0.3">
      <c r="A4605" s="5" t="s">
        <v>5472</v>
      </c>
      <c r="B4605" s="11">
        <v>45703</v>
      </c>
      <c r="C4605" s="5" t="s">
        <v>837</v>
      </c>
      <c r="D4605" s="5" t="s">
        <v>65</v>
      </c>
      <c r="E4605" s="5" t="s">
        <v>37</v>
      </c>
      <c r="F4605" s="5">
        <v>4</v>
      </c>
      <c r="G4605" s="19">
        <v>0.15</v>
      </c>
      <c r="H4605" s="5" t="s">
        <v>637</v>
      </c>
      <c r="I4605" s="10">
        <f>IF(OR(D4605="", F4605=""), "", F4605 * VLOOKUP(D4605, Products!A:E, 5, FALSE) * (1 - G4605))</f>
        <v>5012.0079999999998</v>
      </c>
      <c r="J4605" s="10"/>
    </row>
    <row r="4606" spans="1:10" ht="15.75" customHeight="1" x14ac:dyDescent="0.3">
      <c r="A4606" s="5" t="s">
        <v>5473</v>
      </c>
      <c r="B4606" s="11">
        <v>45573</v>
      </c>
      <c r="C4606" s="5" t="s">
        <v>805</v>
      </c>
      <c r="D4606" s="5" t="s">
        <v>200</v>
      </c>
      <c r="E4606" s="5" t="s">
        <v>25</v>
      </c>
      <c r="F4606" s="5">
        <v>3</v>
      </c>
      <c r="G4606" s="19">
        <v>0.05</v>
      </c>
      <c r="H4606" s="5" t="s">
        <v>697</v>
      </c>
      <c r="I4606" s="10">
        <f>IF(OR(D4606="", F4606=""), "", F4606 * VLOOKUP(D4606, Products!A:E, 5, FALSE) * (1 - G4606))</f>
        <v>3122.8019999999997</v>
      </c>
      <c r="J4606" s="10"/>
    </row>
    <row r="4607" spans="1:10" ht="15.75" customHeight="1" x14ac:dyDescent="0.3">
      <c r="A4607" s="5" t="s">
        <v>5474</v>
      </c>
      <c r="B4607" s="11">
        <v>45741</v>
      </c>
      <c r="C4607" s="5" t="s">
        <v>669</v>
      </c>
      <c r="D4607" s="5" t="s">
        <v>267</v>
      </c>
      <c r="E4607" s="5" t="s">
        <v>33</v>
      </c>
      <c r="F4607" s="5">
        <v>5</v>
      </c>
      <c r="G4607" s="19">
        <v>0.15</v>
      </c>
      <c r="H4607" s="5" t="s">
        <v>776</v>
      </c>
      <c r="I4607" s="10">
        <f>IF(OR(D4607="", F4607=""), "", F4607 * VLOOKUP(D4607, Products!A:E, 5, FALSE) * (1 - G4607))</f>
        <v>5467.8374999999996</v>
      </c>
      <c r="J4607" s="10"/>
    </row>
    <row r="4608" spans="1:10" ht="15.75" customHeight="1" x14ac:dyDescent="0.3">
      <c r="A4608" s="5" t="s">
        <v>5475</v>
      </c>
      <c r="B4608" s="11">
        <v>45623</v>
      </c>
      <c r="C4608" s="5" t="s">
        <v>557</v>
      </c>
      <c r="D4608" s="5" t="s">
        <v>265</v>
      </c>
      <c r="E4608" s="5" t="s">
        <v>21</v>
      </c>
      <c r="F4608" s="5">
        <v>3</v>
      </c>
      <c r="G4608" s="19">
        <v>0.15</v>
      </c>
      <c r="H4608" s="5" t="s">
        <v>697</v>
      </c>
      <c r="I4608" s="10">
        <f>IF(OR(D4608="", F4608=""), "", F4608 * VLOOKUP(D4608, Products!A:E, 5, FALSE) * (1 - G4608))</f>
        <v>1439.2709999999997</v>
      </c>
      <c r="J4608" s="10"/>
    </row>
    <row r="4609" spans="1:10" ht="15.75" customHeight="1" x14ac:dyDescent="0.3">
      <c r="A4609" s="5" t="s">
        <v>5476</v>
      </c>
      <c r="B4609" s="11">
        <v>45792</v>
      </c>
      <c r="C4609" s="5" t="s">
        <v>334</v>
      </c>
      <c r="D4609" s="5" t="s">
        <v>67</v>
      </c>
      <c r="E4609" s="5" t="s">
        <v>21</v>
      </c>
      <c r="F4609" s="5">
        <v>3</v>
      </c>
      <c r="G4609" s="19">
        <v>0.1</v>
      </c>
      <c r="H4609" s="5" t="s">
        <v>697</v>
      </c>
      <c r="I4609" s="10">
        <f>IF(OR(D4609="", F4609=""), "", F4609 * VLOOKUP(D4609, Products!A:E, 5, FALSE) * (1 - G4609))</f>
        <v>296.40600000000006</v>
      </c>
      <c r="J4609" s="10"/>
    </row>
    <row r="4610" spans="1:10" ht="15.75" customHeight="1" x14ac:dyDescent="0.3">
      <c r="A4610" s="5" t="s">
        <v>5477</v>
      </c>
      <c r="B4610" s="11">
        <v>45643</v>
      </c>
      <c r="C4610" s="5" t="s">
        <v>416</v>
      </c>
      <c r="D4610" s="5" t="s">
        <v>74</v>
      </c>
      <c r="E4610" s="5" t="s">
        <v>21</v>
      </c>
      <c r="F4610" s="5">
        <v>3</v>
      </c>
      <c r="G4610" s="19">
        <v>0</v>
      </c>
      <c r="H4610" s="5" t="s">
        <v>697</v>
      </c>
      <c r="I4610" s="10">
        <f>IF(OR(D4610="", F4610=""), "", F4610 * VLOOKUP(D4610, Products!A:E, 5, FALSE) * (1 - G4610))</f>
        <v>3582.3599999999997</v>
      </c>
      <c r="J4610" s="10"/>
    </row>
    <row r="4611" spans="1:10" ht="15.75" customHeight="1" x14ac:dyDescent="0.3">
      <c r="A4611" s="5" t="s">
        <v>5478</v>
      </c>
      <c r="B4611" s="11">
        <v>45471</v>
      </c>
      <c r="C4611" s="5" t="s">
        <v>618</v>
      </c>
      <c r="D4611" s="5" t="s">
        <v>217</v>
      </c>
      <c r="E4611" s="5" t="s">
        <v>25</v>
      </c>
      <c r="F4611" s="5">
        <v>5</v>
      </c>
      <c r="G4611" s="19">
        <v>0.15</v>
      </c>
      <c r="H4611" s="5" t="s">
        <v>776</v>
      </c>
      <c r="I4611" s="10">
        <f>IF(OR(D4611="", F4611=""), "", F4611 * VLOOKUP(D4611, Products!A:E, 5, FALSE) * (1 - G4611))</f>
        <v>1819.2124999999999</v>
      </c>
      <c r="J4611" s="10"/>
    </row>
    <row r="4612" spans="1:10" ht="15.75" customHeight="1" x14ac:dyDescent="0.3">
      <c r="A4612" s="5" t="s">
        <v>5479</v>
      </c>
      <c r="B4612" s="11">
        <v>45893</v>
      </c>
      <c r="C4612" s="5" t="s">
        <v>481</v>
      </c>
      <c r="D4612" s="5" t="s">
        <v>65</v>
      </c>
      <c r="E4612" s="5" t="s">
        <v>37</v>
      </c>
      <c r="F4612" s="5">
        <v>4</v>
      </c>
      <c r="G4612" s="19">
        <v>0.15</v>
      </c>
      <c r="H4612" s="5" t="s">
        <v>454</v>
      </c>
      <c r="I4612" s="10">
        <f>IF(OR(D4612="", F4612=""), "", F4612 * VLOOKUP(D4612, Products!A:E, 5, FALSE) * (1 - G4612))</f>
        <v>5012.0079999999998</v>
      </c>
      <c r="J4612" s="10"/>
    </row>
    <row r="4613" spans="1:10" ht="15.75" customHeight="1" x14ac:dyDescent="0.3">
      <c r="A4613" s="5" t="s">
        <v>5480</v>
      </c>
      <c r="B4613" s="11">
        <v>45707</v>
      </c>
      <c r="C4613" s="5" t="s">
        <v>876</v>
      </c>
      <c r="D4613" s="5" t="s">
        <v>200</v>
      </c>
      <c r="E4613" s="5" t="s">
        <v>21</v>
      </c>
      <c r="F4613" s="5">
        <v>3</v>
      </c>
      <c r="G4613" s="19">
        <v>0.05</v>
      </c>
      <c r="H4613" s="5" t="s">
        <v>454</v>
      </c>
      <c r="I4613" s="10">
        <f>IF(OR(D4613="", F4613=""), "", F4613 * VLOOKUP(D4613, Products!A:E, 5, FALSE) * (1 - G4613))</f>
        <v>3122.8019999999997</v>
      </c>
      <c r="J4613" s="10"/>
    </row>
    <row r="4614" spans="1:10" ht="15.75" customHeight="1" x14ac:dyDescent="0.3">
      <c r="A4614" s="5" t="s">
        <v>5481</v>
      </c>
      <c r="B4614" s="11">
        <v>45297</v>
      </c>
      <c r="C4614" s="5" t="s">
        <v>560</v>
      </c>
      <c r="D4614" s="5" t="s">
        <v>50</v>
      </c>
      <c r="E4614" s="5" t="s">
        <v>33</v>
      </c>
      <c r="F4614" s="5">
        <v>1</v>
      </c>
      <c r="G4614" s="19">
        <v>0.15</v>
      </c>
      <c r="H4614" s="5" t="s">
        <v>637</v>
      </c>
      <c r="I4614" s="10">
        <f>IF(OR(D4614="", F4614=""), "", F4614 * VLOOKUP(D4614, Products!A:E, 5, FALSE) * (1 - G4614))</f>
        <v>286.9855</v>
      </c>
      <c r="J4614" s="10"/>
    </row>
    <row r="4615" spans="1:10" ht="15.75" customHeight="1" x14ac:dyDescent="0.3">
      <c r="A4615" s="5" t="s">
        <v>5482</v>
      </c>
      <c r="B4615" s="11">
        <v>45564</v>
      </c>
      <c r="C4615" s="5" t="s">
        <v>638</v>
      </c>
      <c r="D4615" s="5" t="s">
        <v>269</v>
      </c>
      <c r="E4615" s="5" t="s">
        <v>29</v>
      </c>
      <c r="F4615" s="5">
        <v>3</v>
      </c>
      <c r="G4615" s="19">
        <v>0.1</v>
      </c>
      <c r="H4615" s="5" t="s">
        <v>697</v>
      </c>
      <c r="I4615" s="10">
        <f>IF(OR(D4615="", F4615=""), "", F4615 * VLOOKUP(D4615, Products!A:E, 5, FALSE) * (1 - G4615))</f>
        <v>5073.5159999999996</v>
      </c>
      <c r="J4615" s="10"/>
    </row>
    <row r="4616" spans="1:10" ht="15.75" customHeight="1" x14ac:dyDescent="0.3">
      <c r="A4616" s="5" t="s">
        <v>5483</v>
      </c>
      <c r="B4616" s="11">
        <v>45279</v>
      </c>
      <c r="C4616" s="5" t="s">
        <v>583</v>
      </c>
      <c r="D4616" s="5" t="s">
        <v>256</v>
      </c>
      <c r="E4616" s="5" t="s">
        <v>21</v>
      </c>
      <c r="F4616" s="5">
        <v>5</v>
      </c>
      <c r="G4616" s="19">
        <v>0</v>
      </c>
      <c r="H4616" s="5" t="s">
        <v>697</v>
      </c>
      <c r="I4616" s="10">
        <f>IF(OR(D4616="", F4616=""), "", F4616 * VLOOKUP(D4616, Products!A:E, 5, FALSE) * (1 - G4616))</f>
        <v>8175.05</v>
      </c>
      <c r="J4616" s="10"/>
    </row>
    <row r="4617" spans="1:10" ht="15.75" customHeight="1" x14ac:dyDescent="0.3">
      <c r="A4617" s="5" t="s">
        <v>5484</v>
      </c>
      <c r="B4617" s="11">
        <v>45246</v>
      </c>
      <c r="C4617" s="5" t="s">
        <v>665</v>
      </c>
      <c r="D4617" s="5" t="s">
        <v>103</v>
      </c>
      <c r="E4617" s="5" t="s">
        <v>29</v>
      </c>
      <c r="F4617" s="5">
        <v>2</v>
      </c>
      <c r="G4617" s="19">
        <v>0.05</v>
      </c>
      <c r="H4617" s="5" t="s">
        <v>637</v>
      </c>
      <c r="I4617" s="10">
        <f>IF(OR(D4617="", F4617=""), "", F4617 * VLOOKUP(D4617, Products!A:E, 5, FALSE) * (1 - G4617))</f>
        <v>513.8549999999999</v>
      </c>
      <c r="J4617" s="10"/>
    </row>
    <row r="4618" spans="1:10" ht="15.75" customHeight="1" x14ac:dyDescent="0.3">
      <c r="A4618" s="5" t="s">
        <v>5485</v>
      </c>
      <c r="B4618" s="11">
        <v>45184</v>
      </c>
      <c r="C4618" s="5" t="s">
        <v>365</v>
      </c>
      <c r="D4618" s="5" t="s">
        <v>82</v>
      </c>
      <c r="E4618" s="5" t="s">
        <v>33</v>
      </c>
      <c r="F4618" s="5">
        <v>2</v>
      </c>
      <c r="G4618" s="19">
        <v>0.15</v>
      </c>
      <c r="H4618" s="5" t="s">
        <v>697</v>
      </c>
      <c r="I4618" s="10">
        <f>IF(OR(D4618="", F4618=""), "", F4618 * VLOOKUP(D4618, Products!A:E, 5, FALSE) * (1 - G4618))</f>
        <v>2028.2529999999997</v>
      </c>
      <c r="J4618" s="10"/>
    </row>
    <row r="4619" spans="1:10" ht="15.75" customHeight="1" x14ac:dyDescent="0.3">
      <c r="A4619" s="5" t="s">
        <v>5486</v>
      </c>
      <c r="B4619" s="11">
        <v>45852</v>
      </c>
      <c r="C4619" s="5" t="s">
        <v>338</v>
      </c>
      <c r="D4619" s="5" t="s">
        <v>269</v>
      </c>
      <c r="E4619" s="5" t="s">
        <v>21</v>
      </c>
      <c r="F4619" s="5">
        <v>2</v>
      </c>
      <c r="G4619" s="19">
        <v>0.05</v>
      </c>
      <c r="H4619" s="5" t="s">
        <v>697</v>
      </c>
      <c r="I4619" s="10">
        <f>IF(OR(D4619="", F4619=""), "", F4619 * VLOOKUP(D4619, Products!A:E, 5, FALSE) * (1 - G4619))</f>
        <v>3570.2519999999995</v>
      </c>
      <c r="J4619" s="10"/>
    </row>
    <row r="4620" spans="1:10" ht="15.75" customHeight="1" x14ac:dyDescent="0.3">
      <c r="A4620" s="5" t="s">
        <v>5487</v>
      </c>
      <c r="B4620" s="11">
        <v>45698</v>
      </c>
      <c r="C4620" s="5" t="s">
        <v>624</v>
      </c>
      <c r="D4620" s="5" t="s">
        <v>54</v>
      </c>
      <c r="E4620" s="5" t="s">
        <v>21</v>
      </c>
      <c r="F4620" s="5">
        <v>1</v>
      </c>
      <c r="G4620" s="19">
        <v>0</v>
      </c>
      <c r="H4620" s="5" t="s">
        <v>637</v>
      </c>
      <c r="I4620" s="10">
        <f>IF(OR(D4620="", F4620=""), "", F4620 * VLOOKUP(D4620, Products!A:E, 5, FALSE) * (1 - G4620))</f>
        <v>1853.77</v>
      </c>
      <c r="J4620" s="10"/>
    </row>
    <row r="4621" spans="1:10" ht="15.75" customHeight="1" x14ac:dyDescent="0.3">
      <c r="A4621" s="5" t="s">
        <v>5488</v>
      </c>
      <c r="B4621" s="11">
        <v>45344</v>
      </c>
      <c r="C4621" s="5" t="s">
        <v>522</v>
      </c>
      <c r="D4621" s="5" t="s">
        <v>175</v>
      </c>
      <c r="E4621" s="5" t="s">
        <v>33</v>
      </c>
      <c r="F4621" s="5">
        <v>4</v>
      </c>
      <c r="G4621" s="19">
        <v>0</v>
      </c>
      <c r="H4621" s="5" t="s">
        <v>637</v>
      </c>
      <c r="I4621" s="10">
        <f>IF(OR(D4621="", F4621=""), "", F4621 * VLOOKUP(D4621, Products!A:E, 5, FALSE) * (1 - G4621))</f>
        <v>5088.92</v>
      </c>
      <c r="J4621" s="10"/>
    </row>
    <row r="4622" spans="1:10" ht="15.75" customHeight="1" x14ac:dyDescent="0.3">
      <c r="A4622" s="5" t="s">
        <v>5489</v>
      </c>
      <c r="B4622" s="11">
        <v>45245</v>
      </c>
      <c r="C4622" s="5" t="s">
        <v>240</v>
      </c>
      <c r="D4622" s="5" t="s">
        <v>50</v>
      </c>
      <c r="E4622" s="5" t="s">
        <v>33</v>
      </c>
      <c r="F4622" s="5">
        <v>2</v>
      </c>
      <c r="G4622" s="19">
        <v>0</v>
      </c>
      <c r="H4622" s="5" t="s">
        <v>454</v>
      </c>
      <c r="I4622" s="10">
        <f>IF(OR(D4622="", F4622=""), "", F4622 * VLOOKUP(D4622, Products!A:E, 5, FALSE) * (1 - G4622))</f>
        <v>675.26</v>
      </c>
      <c r="J4622" s="10"/>
    </row>
    <row r="4623" spans="1:10" ht="15.75" customHeight="1" x14ac:dyDescent="0.3">
      <c r="A4623" s="5" t="s">
        <v>5490</v>
      </c>
      <c r="B4623" s="11">
        <v>45249</v>
      </c>
      <c r="C4623" s="5" t="s">
        <v>312</v>
      </c>
      <c r="D4623" s="5" t="s">
        <v>147</v>
      </c>
      <c r="E4623" s="5" t="s">
        <v>37</v>
      </c>
      <c r="F4623" s="5">
        <v>5</v>
      </c>
      <c r="G4623" s="19">
        <v>0.1</v>
      </c>
      <c r="H4623" s="5" t="s">
        <v>776</v>
      </c>
      <c r="I4623" s="10">
        <f>IF(OR(D4623="", F4623=""), "", F4623 * VLOOKUP(D4623, Products!A:E, 5, FALSE) * (1 - G4623))</f>
        <v>8453.1149999999998</v>
      </c>
      <c r="J4623" s="10"/>
    </row>
    <row r="4624" spans="1:10" ht="15.75" customHeight="1" x14ac:dyDescent="0.3">
      <c r="A4624" s="5" t="s">
        <v>5491</v>
      </c>
      <c r="B4624" s="11">
        <v>45810</v>
      </c>
      <c r="C4624" s="5" t="s">
        <v>443</v>
      </c>
      <c r="D4624" s="5" t="s">
        <v>89</v>
      </c>
      <c r="E4624" s="5" t="s">
        <v>29</v>
      </c>
      <c r="F4624" s="5">
        <v>5</v>
      </c>
      <c r="G4624" s="19">
        <v>0.15</v>
      </c>
      <c r="H4624" s="5" t="s">
        <v>697</v>
      </c>
      <c r="I4624" s="10">
        <f>IF(OR(D4624="", F4624=""), "", F4624 * VLOOKUP(D4624, Products!A:E, 5, FALSE) * (1 - G4624))</f>
        <v>4822.8999999999996</v>
      </c>
      <c r="J4624" s="10"/>
    </row>
    <row r="4625" spans="1:10" ht="15.75" customHeight="1" x14ac:dyDescent="0.3">
      <c r="A4625" s="5" t="s">
        <v>5492</v>
      </c>
      <c r="B4625" s="11">
        <v>45844</v>
      </c>
      <c r="C4625" s="5" t="s">
        <v>129</v>
      </c>
      <c r="D4625" s="5" t="s">
        <v>119</v>
      </c>
      <c r="E4625" s="5" t="s">
        <v>29</v>
      </c>
      <c r="F4625" s="5">
        <v>2</v>
      </c>
      <c r="G4625" s="19">
        <v>0</v>
      </c>
      <c r="H4625" s="5" t="s">
        <v>637</v>
      </c>
      <c r="I4625" s="10">
        <f>IF(OR(D4625="", F4625=""), "", F4625 * VLOOKUP(D4625, Products!A:E, 5, FALSE) * (1 - G4625))</f>
        <v>2159.7800000000002</v>
      </c>
      <c r="J4625" s="10"/>
    </row>
    <row r="4626" spans="1:10" ht="15.75" customHeight="1" x14ac:dyDescent="0.3">
      <c r="A4626" s="5" t="s">
        <v>5493</v>
      </c>
      <c r="B4626" s="11">
        <v>45403</v>
      </c>
      <c r="C4626" s="5" t="s">
        <v>711</v>
      </c>
      <c r="D4626" s="5" t="s">
        <v>256</v>
      </c>
      <c r="E4626" s="5" t="s">
        <v>21</v>
      </c>
      <c r="F4626" s="5">
        <v>2</v>
      </c>
      <c r="G4626" s="19">
        <v>0.05</v>
      </c>
      <c r="H4626" s="5" t="s">
        <v>697</v>
      </c>
      <c r="I4626" s="10">
        <f>IF(OR(D4626="", F4626=""), "", F4626 * VLOOKUP(D4626, Products!A:E, 5, FALSE) * (1 - G4626))</f>
        <v>3106.5189999999998</v>
      </c>
      <c r="J4626" s="10"/>
    </row>
    <row r="4627" spans="1:10" ht="15.75" customHeight="1" x14ac:dyDescent="0.3">
      <c r="A4627" s="5" t="s">
        <v>5494</v>
      </c>
      <c r="B4627" s="11">
        <v>45345</v>
      </c>
      <c r="C4627" s="5" t="s">
        <v>121</v>
      </c>
      <c r="D4627" s="5" t="s">
        <v>285</v>
      </c>
      <c r="E4627" s="5" t="s">
        <v>25</v>
      </c>
      <c r="F4627" s="5">
        <v>4</v>
      </c>
      <c r="G4627" s="19">
        <v>0</v>
      </c>
      <c r="H4627" s="5" t="s">
        <v>776</v>
      </c>
      <c r="I4627" s="10">
        <f>IF(OR(D4627="", F4627=""), "", F4627 * VLOOKUP(D4627, Products!A:E, 5, FALSE) * (1 - G4627))</f>
        <v>1553.04</v>
      </c>
      <c r="J4627" s="10"/>
    </row>
    <row r="4628" spans="1:10" ht="15.75" customHeight="1" x14ac:dyDescent="0.3">
      <c r="A4628" s="5" t="s">
        <v>5495</v>
      </c>
      <c r="B4628" s="11">
        <v>45825</v>
      </c>
      <c r="C4628" s="5" t="s">
        <v>425</v>
      </c>
      <c r="D4628" s="5" t="s">
        <v>162</v>
      </c>
      <c r="E4628" s="5" t="s">
        <v>25</v>
      </c>
      <c r="F4628" s="5">
        <v>4</v>
      </c>
      <c r="G4628" s="19">
        <v>0.1</v>
      </c>
      <c r="H4628" s="5" t="s">
        <v>637</v>
      </c>
      <c r="I4628" s="10">
        <f>IF(OR(D4628="", F4628=""), "", F4628 * VLOOKUP(D4628, Products!A:E, 5, FALSE) * (1 - G4628))</f>
        <v>1544.94</v>
      </c>
      <c r="J4628" s="10"/>
    </row>
    <row r="4629" spans="1:10" ht="15.75" customHeight="1" x14ac:dyDescent="0.3">
      <c r="A4629" s="5" t="s">
        <v>5496</v>
      </c>
      <c r="B4629" s="11">
        <v>45753</v>
      </c>
      <c r="C4629" s="5" t="s">
        <v>191</v>
      </c>
      <c r="D4629" s="5" t="s">
        <v>115</v>
      </c>
      <c r="E4629" s="5" t="s">
        <v>21</v>
      </c>
      <c r="F4629" s="5">
        <v>4</v>
      </c>
      <c r="G4629" s="19">
        <v>0</v>
      </c>
      <c r="H4629" s="5" t="s">
        <v>776</v>
      </c>
      <c r="I4629" s="10">
        <f>IF(OR(D4629="", F4629=""), "", F4629 * VLOOKUP(D4629, Products!A:E, 5, FALSE) * (1 - G4629))</f>
        <v>4984.4399999999996</v>
      </c>
      <c r="J4629" s="10"/>
    </row>
    <row r="4630" spans="1:10" ht="15.75" customHeight="1" x14ac:dyDescent="0.3">
      <c r="A4630" s="5" t="s">
        <v>5497</v>
      </c>
      <c r="B4630" s="11">
        <v>45839</v>
      </c>
      <c r="C4630" s="5" t="s">
        <v>597</v>
      </c>
      <c r="D4630" s="5" t="s">
        <v>206</v>
      </c>
      <c r="E4630" s="5" t="s">
        <v>33</v>
      </c>
      <c r="F4630" s="5">
        <v>1</v>
      </c>
      <c r="G4630" s="19">
        <v>0.05</v>
      </c>
      <c r="H4630" s="5" t="s">
        <v>776</v>
      </c>
      <c r="I4630" s="10">
        <f>IF(OR(D4630="", F4630=""), "", F4630 * VLOOKUP(D4630, Products!A:E, 5, FALSE) * (1 - G4630))</f>
        <v>289.47449999999998</v>
      </c>
      <c r="J4630" s="10"/>
    </row>
    <row r="4631" spans="1:10" ht="15.75" customHeight="1" x14ac:dyDescent="0.3">
      <c r="A4631" s="5" t="s">
        <v>5498</v>
      </c>
      <c r="B4631" s="11">
        <v>45258</v>
      </c>
      <c r="C4631" s="5" t="s">
        <v>550</v>
      </c>
      <c r="D4631" s="5" t="s">
        <v>153</v>
      </c>
      <c r="E4631" s="5" t="s">
        <v>25</v>
      </c>
      <c r="F4631" s="5">
        <v>4</v>
      </c>
      <c r="G4631" s="19">
        <v>0</v>
      </c>
      <c r="H4631" s="5" t="s">
        <v>454</v>
      </c>
      <c r="I4631" s="10">
        <f>IF(OR(D4631="", F4631=""), "", F4631 * VLOOKUP(D4631, Products!A:E, 5, FALSE) * (1 - G4631))</f>
        <v>5949.64</v>
      </c>
      <c r="J4631" s="10"/>
    </row>
    <row r="4632" spans="1:10" ht="15.75" customHeight="1" x14ac:dyDescent="0.3">
      <c r="A4632" s="5" t="s">
        <v>5499</v>
      </c>
      <c r="B4632" s="11">
        <v>45497</v>
      </c>
      <c r="C4632" s="5" t="s">
        <v>800</v>
      </c>
      <c r="D4632" s="5" t="s">
        <v>74</v>
      </c>
      <c r="E4632" s="5" t="s">
        <v>21</v>
      </c>
      <c r="F4632" s="5">
        <v>1</v>
      </c>
      <c r="G4632" s="19">
        <v>0.1</v>
      </c>
      <c r="H4632" s="5" t="s">
        <v>697</v>
      </c>
      <c r="I4632" s="10">
        <f>IF(OR(D4632="", F4632=""), "", F4632 * VLOOKUP(D4632, Products!A:E, 5, FALSE) * (1 - G4632))</f>
        <v>1074.7079999999999</v>
      </c>
      <c r="J4632" s="10"/>
    </row>
    <row r="4633" spans="1:10" ht="15.75" customHeight="1" x14ac:dyDescent="0.3">
      <c r="A4633" s="5" t="s">
        <v>5500</v>
      </c>
      <c r="B4633" s="11">
        <v>45290</v>
      </c>
      <c r="C4633" s="5" t="s">
        <v>365</v>
      </c>
      <c r="D4633" s="5" t="s">
        <v>119</v>
      </c>
      <c r="E4633" s="5" t="s">
        <v>25</v>
      </c>
      <c r="F4633" s="5">
        <v>4</v>
      </c>
      <c r="G4633" s="19">
        <v>0.15</v>
      </c>
      <c r="H4633" s="5" t="s">
        <v>697</v>
      </c>
      <c r="I4633" s="10">
        <f>IF(OR(D4633="", F4633=""), "", F4633 * VLOOKUP(D4633, Products!A:E, 5, FALSE) * (1 - G4633))</f>
        <v>3671.6260000000002</v>
      </c>
      <c r="J4633" s="10"/>
    </row>
    <row r="4634" spans="1:10" ht="15.75" customHeight="1" x14ac:dyDescent="0.3">
      <c r="A4634" s="5" t="s">
        <v>5501</v>
      </c>
      <c r="B4634" s="11">
        <v>45697</v>
      </c>
      <c r="C4634" s="5" t="s">
        <v>409</v>
      </c>
      <c r="D4634" s="5" t="s">
        <v>267</v>
      </c>
      <c r="E4634" s="5" t="s">
        <v>29</v>
      </c>
      <c r="F4634" s="5">
        <v>4</v>
      </c>
      <c r="G4634" s="19">
        <v>0.05</v>
      </c>
      <c r="H4634" s="5" t="s">
        <v>776</v>
      </c>
      <c r="I4634" s="10">
        <f>IF(OR(D4634="", F4634=""), "", F4634 * VLOOKUP(D4634, Products!A:E, 5, FALSE) * (1 - G4634))</f>
        <v>4888.8899999999994</v>
      </c>
      <c r="J4634" s="10"/>
    </row>
    <row r="4635" spans="1:10" ht="15.75" customHeight="1" x14ac:dyDescent="0.3">
      <c r="A4635" s="5" t="s">
        <v>5502</v>
      </c>
      <c r="B4635" s="11">
        <v>45495</v>
      </c>
      <c r="C4635" s="5" t="s">
        <v>586</v>
      </c>
      <c r="D4635" s="5" t="s">
        <v>89</v>
      </c>
      <c r="E4635" s="5" t="s">
        <v>25</v>
      </c>
      <c r="F4635" s="5">
        <v>5</v>
      </c>
      <c r="G4635" s="19">
        <v>0.1</v>
      </c>
      <c r="H4635" s="5" t="s">
        <v>637</v>
      </c>
      <c r="I4635" s="10">
        <f>IF(OR(D4635="", F4635=""), "", F4635 * VLOOKUP(D4635, Products!A:E, 5, FALSE) * (1 - G4635))</f>
        <v>5106.6000000000004</v>
      </c>
      <c r="J4635" s="10"/>
    </row>
    <row r="4636" spans="1:10" ht="15.75" customHeight="1" x14ac:dyDescent="0.3">
      <c r="A4636" s="5" t="s">
        <v>5503</v>
      </c>
      <c r="B4636" s="11">
        <v>45673</v>
      </c>
      <c r="C4636" s="5" t="s">
        <v>579</v>
      </c>
      <c r="D4636" s="5" t="s">
        <v>232</v>
      </c>
      <c r="E4636" s="5" t="s">
        <v>25</v>
      </c>
      <c r="F4636" s="5">
        <v>5</v>
      </c>
      <c r="G4636" s="19">
        <v>0</v>
      </c>
      <c r="H4636" s="5" t="s">
        <v>697</v>
      </c>
      <c r="I4636" s="10">
        <f>IF(OR(D4636="", F4636=""), "", F4636 * VLOOKUP(D4636, Products!A:E, 5, FALSE) * (1 - G4636))</f>
        <v>9763.25</v>
      </c>
      <c r="J4636" s="10"/>
    </row>
    <row r="4637" spans="1:10" ht="15.75" customHeight="1" x14ac:dyDescent="0.3">
      <c r="A4637" s="5" t="s">
        <v>5504</v>
      </c>
      <c r="B4637" s="11">
        <v>45522</v>
      </c>
      <c r="C4637" s="5" t="s">
        <v>699</v>
      </c>
      <c r="D4637" s="5" t="s">
        <v>285</v>
      </c>
      <c r="E4637" s="5" t="s">
        <v>21</v>
      </c>
      <c r="F4637" s="5">
        <v>4</v>
      </c>
      <c r="G4637" s="19">
        <v>0.1</v>
      </c>
      <c r="H4637" s="5" t="s">
        <v>454</v>
      </c>
      <c r="I4637" s="10">
        <f>IF(OR(D4637="", F4637=""), "", F4637 * VLOOKUP(D4637, Products!A:E, 5, FALSE) * (1 - G4637))</f>
        <v>1397.7360000000001</v>
      </c>
      <c r="J4637" s="10"/>
    </row>
    <row r="4638" spans="1:10" ht="15.75" customHeight="1" x14ac:dyDescent="0.3">
      <c r="A4638" s="5" t="s">
        <v>5505</v>
      </c>
      <c r="B4638" s="11">
        <v>45510</v>
      </c>
      <c r="C4638" s="5" t="s">
        <v>171</v>
      </c>
      <c r="D4638" s="5" t="s">
        <v>109</v>
      </c>
      <c r="E4638" s="5" t="s">
        <v>25</v>
      </c>
      <c r="F4638" s="5">
        <v>3</v>
      </c>
      <c r="G4638" s="19">
        <v>0.1</v>
      </c>
      <c r="H4638" s="5" t="s">
        <v>776</v>
      </c>
      <c r="I4638" s="10">
        <f>IF(OR(D4638="", F4638=""), "", F4638 * VLOOKUP(D4638, Products!A:E, 5, FALSE) * (1 - G4638))</f>
        <v>5018.625</v>
      </c>
      <c r="J4638" s="10"/>
    </row>
    <row r="4639" spans="1:10" ht="15.75" customHeight="1" x14ac:dyDescent="0.3">
      <c r="A4639" s="5" t="s">
        <v>5506</v>
      </c>
      <c r="B4639" s="11">
        <v>45757</v>
      </c>
      <c r="C4639" s="5" t="s">
        <v>808</v>
      </c>
      <c r="D4639" s="5" t="s">
        <v>221</v>
      </c>
      <c r="E4639" s="5" t="s">
        <v>37</v>
      </c>
      <c r="F4639" s="5">
        <v>2</v>
      </c>
      <c r="G4639" s="19">
        <v>0.05</v>
      </c>
      <c r="H4639" s="5" t="s">
        <v>697</v>
      </c>
      <c r="I4639" s="10">
        <f>IF(OR(D4639="", F4639=""), "", F4639 * VLOOKUP(D4639, Products!A:E, 5, FALSE) * (1 - G4639))</f>
        <v>2968.6170000000002</v>
      </c>
      <c r="J4639" s="10"/>
    </row>
    <row r="4640" spans="1:10" ht="15.75" customHeight="1" x14ac:dyDescent="0.3">
      <c r="A4640" s="5" t="s">
        <v>5507</v>
      </c>
      <c r="B4640" s="11">
        <v>45373</v>
      </c>
      <c r="C4640" s="5" t="s">
        <v>608</v>
      </c>
      <c r="D4640" s="5" t="s">
        <v>77</v>
      </c>
      <c r="E4640" s="5" t="s">
        <v>25</v>
      </c>
      <c r="F4640" s="5">
        <v>4</v>
      </c>
      <c r="G4640" s="19">
        <v>0.05</v>
      </c>
      <c r="H4640" s="5" t="s">
        <v>776</v>
      </c>
      <c r="I4640" s="10">
        <f>IF(OR(D4640="", F4640=""), "", F4640 * VLOOKUP(D4640, Products!A:E, 5, FALSE) * (1 - G4640))</f>
        <v>944.56599999999992</v>
      </c>
      <c r="J4640" s="10"/>
    </row>
    <row r="4641" spans="1:10" ht="15.75" customHeight="1" x14ac:dyDescent="0.3">
      <c r="A4641" s="5" t="s">
        <v>5508</v>
      </c>
      <c r="B4641" s="11">
        <v>45406</v>
      </c>
      <c r="C4641" s="5" t="s">
        <v>312</v>
      </c>
      <c r="D4641" s="5" t="s">
        <v>269</v>
      </c>
      <c r="E4641" s="5" t="s">
        <v>37</v>
      </c>
      <c r="F4641" s="5">
        <v>1</v>
      </c>
      <c r="G4641" s="19">
        <v>0.15</v>
      </c>
      <c r="H4641" s="5" t="s">
        <v>697</v>
      </c>
      <c r="I4641" s="10">
        <f>IF(OR(D4641="", F4641=""), "", F4641 * VLOOKUP(D4641, Products!A:E, 5, FALSE) * (1 - G4641))</f>
        <v>1597.2179999999998</v>
      </c>
      <c r="J4641" s="10"/>
    </row>
    <row r="4642" spans="1:10" ht="15.75" customHeight="1" x14ac:dyDescent="0.3">
      <c r="A4642" s="5" t="s">
        <v>5509</v>
      </c>
      <c r="B4642" s="11">
        <v>45440</v>
      </c>
      <c r="C4642" s="5" t="s">
        <v>503</v>
      </c>
      <c r="D4642" s="5" t="s">
        <v>243</v>
      </c>
      <c r="E4642" s="5" t="s">
        <v>21</v>
      </c>
      <c r="F4642" s="5">
        <v>3</v>
      </c>
      <c r="G4642" s="19">
        <v>0.15</v>
      </c>
      <c r="H4642" s="5" t="s">
        <v>776</v>
      </c>
      <c r="I4642" s="10">
        <f>IF(OR(D4642="", F4642=""), "", F4642 * VLOOKUP(D4642, Products!A:E, 5, FALSE) * (1 - G4642))</f>
        <v>1379.3970000000002</v>
      </c>
      <c r="J4642" s="10"/>
    </row>
    <row r="4643" spans="1:10" ht="15.75" customHeight="1" x14ac:dyDescent="0.3">
      <c r="A4643" s="5" t="s">
        <v>5510</v>
      </c>
      <c r="B4643" s="11">
        <v>45631</v>
      </c>
      <c r="C4643" s="5" t="s">
        <v>274</v>
      </c>
      <c r="D4643" s="5" t="s">
        <v>168</v>
      </c>
      <c r="E4643" s="5" t="s">
        <v>33</v>
      </c>
      <c r="F4643" s="5">
        <v>4</v>
      </c>
      <c r="G4643" s="19">
        <v>0.15</v>
      </c>
      <c r="H4643" s="5" t="s">
        <v>637</v>
      </c>
      <c r="I4643" s="10">
        <f>IF(OR(D4643="", F4643=""), "", F4643 * VLOOKUP(D4643, Products!A:E, 5, FALSE) * (1 - G4643))</f>
        <v>3453.5839999999998</v>
      </c>
      <c r="J4643" s="10"/>
    </row>
    <row r="4644" spans="1:10" ht="15.75" customHeight="1" x14ac:dyDescent="0.3">
      <c r="A4644" s="5" t="s">
        <v>5511</v>
      </c>
      <c r="B4644" s="11">
        <v>45890</v>
      </c>
      <c r="C4644" s="5" t="s">
        <v>766</v>
      </c>
      <c r="D4644" s="5" t="s">
        <v>276</v>
      </c>
      <c r="E4644" s="5" t="s">
        <v>29</v>
      </c>
      <c r="F4644" s="5">
        <v>2</v>
      </c>
      <c r="G4644" s="19">
        <v>0.15</v>
      </c>
      <c r="H4644" s="5" t="s">
        <v>697</v>
      </c>
      <c r="I4644" s="10">
        <f>IF(OR(D4644="", F4644=""), "", F4644 * VLOOKUP(D4644, Products!A:E, 5, FALSE) * (1 - G4644))</f>
        <v>2035.2060000000001</v>
      </c>
      <c r="J4644" s="10"/>
    </row>
    <row r="4645" spans="1:10" ht="15.75" customHeight="1" x14ac:dyDescent="0.3">
      <c r="A4645" s="5" t="s">
        <v>5512</v>
      </c>
      <c r="B4645" s="11">
        <v>45415</v>
      </c>
      <c r="C4645" s="5" t="s">
        <v>635</v>
      </c>
      <c r="D4645" s="5" t="s">
        <v>57</v>
      </c>
      <c r="E4645" s="5" t="s">
        <v>29</v>
      </c>
      <c r="F4645" s="5">
        <v>3</v>
      </c>
      <c r="G4645" s="19">
        <v>0.05</v>
      </c>
      <c r="H4645" s="5" t="s">
        <v>637</v>
      </c>
      <c r="I4645" s="10">
        <f>IF(OR(D4645="", F4645=""), "", F4645 * VLOOKUP(D4645, Products!A:E, 5, FALSE) * (1 - G4645))</f>
        <v>3979.2269999999999</v>
      </c>
      <c r="J4645" s="10"/>
    </row>
    <row r="4646" spans="1:10" ht="15.75" customHeight="1" x14ac:dyDescent="0.3">
      <c r="A4646" s="5" t="s">
        <v>5513</v>
      </c>
      <c r="B4646" s="11">
        <v>45616</v>
      </c>
      <c r="C4646" s="5" t="s">
        <v>420</v>
      </c>
      <c r="D4646" s="5" t="s">
        <v>54</v>
      </c>
      <c r="E4646" s="5" t="s">
        <v>37</v>
      </c>
      <c r="F4646" s="5">
        <v>5</v>
      </c>
      <c r="G4646" s="19">
        <v>0.1</v>
      </c>
      <c r="H4646" s="5" t="s">
        <v>776</v>
      </c>
      <c r="I4646" s="10">
        <f>IF(OR(D4646="", F4646=""), "", F4646 * VLOOKUP(D4646, Products!A:E, 5, FALSE) * (1 - G4646))</f>
        <v>8341.9650000000001</v>
      </c>
      <c r="J4646" s="10"/>
    </row>
    <row r="4647" spans="1:10" ht="15.75" customHeight="1" x14ac:dyDescent="0.3">
      <c r="A4647" s="5" t="s">
        <v>5514</v>
      </c>
      <c r="B4647" s="11">
        <v>45758</v>
      </c>
      <c r="C4647" s="5" t="s">
        <v>597</v>
      </c>
      <c r="D4647" s="5" t="s">
        <v>243</v>
      </c>
      <c r="E4647" s="5" t="s">
        <v>21</v>
      </c>
      <c r="F4647" s="5">
        <v>5</v>
      </c>
      <c r="G4647" s="19">
        <v>0.15</v>
      </c>
      <c r="H4647" s="5" t="s">
        <v>454</v>
      </c>
      <c r="I4647" s="10">
        <f>IF(OR(D4647="", F4647=""), "", F4647 * VLOOKUP(D4647, Products!A:E, 5, FALSE) * (1 - G4647))</f>
        <v>2298.9950000000003</v>
      </c>
      <c r="J4647" s="10"/>
    </row>
    <row r="4648" spans="1:10" ht="15.75" customHeight="1" x14ac:dyDescent="0.3">
      <c r="A4648" s="5" t="s">
        <v>5515</v>
      </c>
      <c r="B4648" s="11">
        <v>45632</v>
      </c>
      <c r="C4648" s="5" t="s">
        <v>16</v>
      </c>
      <c r="D4648" s="5" t="s">
        <v>74</v>
      </c>
      <c r="E4648" s="5" t="s">
        <v>33</v>
      </c>
      <c r="F4648" s="5">
        <v>4</v>
      </c>
      <c r="G4648" s="19">
        <v>0.1</v>
      </c>
      <c r="H4648" s="5" t="s">
        <v>637</v>
      </c>
      <c r="I4648" s="10">
        <f>IF(OR(D4648="", F4648=""), "", F4648 * VLOOKUP(D4648, Products!A:E, 5, FALSE) * (1 - G4648))</f>
        <v>4298.8319999999994</v>
      </c>
      <c r="J4648" s="10"/>
    </row>
    <row r="4649" spans="1:10" ht="15.75" customHeight="1" x14ac:dyDescent="0.3">
      <c r="A4649" s="5" t="s">
        <v>5516</v>
      </c>
      <c r="B4649" s="11">
        <v>45183</v>
      </c>
      <c r="C4649" s="5" t="s">
        <v>106</v>
      </c>
      <c r="D4649" s="5" t="s">
        <v>217</v>
      </c>
      <c r="E4649" s="5" t="s">
        <v>25</v>
      </c>
      <c r="F4649" s="5">
        <v>1</v>
      </c>
      <c r="G4649" s="19">
        <v>0</v>
      </c>
      <c r="H4649" s="5" t="s">
        <v>776</v>
      </c>
      <c r="I4649" s="10">
        <f>IF(OR(D4649="", F4649=""), "", F4649 * VLOOKUP(D4649, Products!A:E, 5, FALSE) * (1 - G4649))</f>
        <v>428.05</v>
      </c>
      <c r="J4649" s="10"/>
    </row>
    <row r="4650" spans="1:10" ht="15.75" customHeight="1" x14ac:dyDescent="0.3">
      <c r="A4650" s="5" t="s">
        <v>5517</v>
      </c>
      <c r="B4650" s="11">
        <v>45538</v>
      </c>
      <c r="C4650" s="5" t="s">
        <v>699</v>
      </c>
      <c r="D4650" s="5" t="s">
        <v>57</v>
      </c>
      <c r="E4650" s="5" t="s">
        <v>25</v>
      </c>
      <c r="F4650" s="5">
        <v>5</v>
      </c>
      <c r="G4650" s="19">
        <v>0</v>
      </c>
      <c r="H4650" s="5" t="s">
        <v>697</v>
      </c>
      <c r="I4650" s="10">
        <f>IF(OR(D4650="", F4650=""), "", F4650 * VLOOKUP(D4650, Products!A:E, 5, FALSE) * (1 - G4650))</f>
        <v>6981.1</v>
      </c>
      <c r="J4650" s="10"/>
    </row>
    <row r="4651" spans="1:10" ht="15.75" customHeight="1" x14ac:dyDescent="0.3">
      <c r="A4651" s="5" t="s">
        <v>5518</v>
      </c>
      <c r="B4651" s="11">
        <v>45561</v>
      </c>
      <c r="C4651" s="5" t="s">
        <v>342</v>
      </c>
      <c r="D4651" s="5" t="s">
        <v>212</v>
      </c>
      <c r="E4651" s="5" t="s">
        <v>21</v>
      </c>
      <c r="F4651" s="5">
        <v>3</v>
      </c>
      <c r="G4651" s="19">
        <v>0.1</v>
      </c>
      <c r="H4651" s="5" t="s">
        <v>697</v>
      </c>
      <c r="I4651" s="10">
        <f>IF(OR(D4651="", F4651=""), "", F4651 * VLOOKUP(D4651, Products!A:E, 5, FALSE) * (1 - G4651))</f>
        <v>4857.2190000000001</v>
      </c>
      <c r="J4651" s="10"/>
    </row>
    <row r="4652" spans="1:10" ht="15.75" customHeight="1" x14ac:dyDescent="0.3">
      <c r="A4652" s="5" t="s">
        <v>5519</v>
      </c>
      <c r="B4652" s="11">
        <v>45606</v>
      </c>
      <c r="C4652" s="5" t="s">
        <v>744</v>
      </c>
      <c r="D4652" s="5" t="s">
        <v>217</v>
      </c>
      <c r="E4652" s="5" t="s">
        <v>21</v>
      </c>
      <c r="F4652" s="5">
        <v>3</v>
      </c>
      <c r="G4652" s="19">
        <v>0.1</v>
      </c>
      <c r="H4652" s="5" t="s">
        <v>776</v>
      </c>
      <c r="I4652" s="10">
        <f>IF(OR(D4652="", F4652=""), "", F4652 * VLOOKUP(D4652, Products!A:E, 5, FALSE) * (1 - G4652))</f>
        <v>1155.7350000000001</v>
      </c>
      <c r="J4652" s="10"/>
    </row>
    <row r="4653" spans="1:10" ht="15.75" customHeight="1" x14ac:dyDescent="0.3">
      <c r="A4653" s="5" t="s">
        <v>5520</v>
      </c>
      <c r="B4653" s="11">
        <v>45508</v>
      </c>
      <c r="C4653" s="5" t="s">
        <v>715</v>
      </c>
      <c r="D4653" s="5" t="s">
        <v>193</v>
      </c>
      <c r="E4653" s="5" t="s">
        <v>25</v>
      </c>
      <c r="F4653" s="5">
        <v>2</v>
      </c>
      <c r="G4653" s="19">
        <v>0.05</v>
      </c>
      <c r="H4653" s="5" t="s">
        <v>454</v>
      </c>
      <c r="I4653" s="10">
        <f>IF(OR(D4653="", F4653=""), "", F4653 * VLOOKUP(D4653, Products!A:E, 5, FALSE) * (1 - G4653))</f>
        <v>55.555999999999997</v>
      </c>
      <c r="J4653" s="10"/>
    </row>
    <row r="4654" spans="1:10" ht="15.75" customHeight="1" x14ac:dyDescent="0.3">
      <c r="A4654" s="5" t="s">
        <v>5521</v>
      </c>
      <c r="B4654" s="11">
        <v>45358</v>
      </c>
      <c r="C4654" s="5" t="s">
        <v>350</v>
      </c>
      <c r="D4654" s="5" t="s">
        <v>122</v>
      </c>
      <c r="E4654" s="5" t="s">
        <v>25</v>
      </c>
      <c r="F4654" s="5">
        <v>2</v>
      </c>
      <c r="G4654" s="19">
        <v>0.05</v>
      </c>
      <c r="H4654" s="5" t="s">
        <v>776</v>
      </c>
      <c r="I4654" s="10">
        <f>IF(OR(D4654="", F4654=""), "", F4654 * VLOOKUP(D4654, Products!A:E, 5, FALSE) * (1 - G4654))</f>
        <v>3349.5479999999998</v>
      </c>
      <c r="J4654" s="10"/>
    </row>
    <row r="4655" spans="1:10" ht="15.75" customHeight="1" x14ac:dyDescent="0.3">
      <c r="A4655" s="5" t="s">
        <v>5522</v>
      </c>
      <c r="B4655" s="11">
        <v>45478</v>
      </c>
      <c r="C4655" s="5" t="s">
        <v>322</v>
      </c>
      <c r="D4655" s="5" t="s">
        <v>180</v>
      </c>
      <c r="E4655" s="5" t="s">
        <v>25</v>
      </c>
      <c r="F4655" s="5">
        <v>3</v>
      </c>
      <c r="G4655" s="19">
        <v>0</v>
      </c>
      <c r="H4655" s="5" t="s">
        <v>776</v>
      </c>
      <c r="I4655" s="10">
        <f>IF(OR(D4655="", F4655=""), "", F4655 * VLOOKUP(D4655, Products!A:E, 5, FALSE) * (1 - G4655))</f>
        <v>2021.34</v>
      </c>
      <c r="J4655" s="10"/>
    </row>
    <row r="4656" spans="1:10" ht="15.75" customHeight="1" x14ac:dyDescent="0.3">
      <c r="A4656" s="5" t="s">
        <v>5523</v>
      </c>
      <c r="B4656" s="11">
        <v>45470</v>
      </c>
      <c r="C4656" s="5" t="s">
        <v>308</v>
      </c>
      <c r="D4656" s="5" t="s">
        <v>265</v>
      </c>
      <c r="E4656" s="5" t="s">
        <v>29</v>
      </c>
      <c r="F4656" s="5">
        <v>3</v>
      </c>
      <c r="G4656" s="19">
        <v>0.1</v>
      </c>
      <c r="H4656" s="5" t="s">
        <v>776</v>
      </c>
      <c r="I4656" s="10">
        <f>IF(OR(D4656="", F4656=""), "", F4656 * VLOOKUP(D4656, Products!A:E, 5, FALSE) * (1 - G4656))</f>
        <v>1523.9339999999997</v>
      </c>
      <c r="J4656" s="10"/>
    </row>
    <row r="4657" spans="1:10" ht="15.75" customHeight="1" x14ac:dyDescent="0.3">
      <c r="A4657" s="5" t="s">
        <v>5524</v>
      </c>
      <c r="B4657" s="11">
        <v>45803</v>
      </c>
      <c r="C4657" s="5" t="s">
        <v>250</v>
      </c>
      <c r="D4657" s="5" t="s">
        <v>237</v>
      </c>
      <c r="E4657" s="5" t="s">
        <v>37</v>
      </c>
      <c r="F4657" s="5">
        <v>2</v>
      </c>
      <c r="G4657" s="19">
        <v>0.1</v>
      </c>
      <c r="H4657" s="5" t="s">
        <v>454</v>
      </c>
      <c r="I4657" s="10">
        <f>IF(OR(D4657="", F4657=""), "", F4657 * VLOOKUP(D4657, Products!A:E, 5, FALSE) * (1 - G4657))</f>
        <v>660.47400000000005</v>
      </c>
      <c r="J4657" s="10"/>
    </row>
    <row r="4658" spans="1:10" ht="15.75" customHeight="1" x14ac:dyDescent="0.3">
      <c r="A4658" s="5" t="s">
        <v>5525</v>
      </c>
      <c r="B4658" s="11">
        <v>45295</v>
      </c>
      <c r="C4658" s="5" t="s">
        <v>484</v>
      </c>
      <c r="D4658" s="5" t="s">
        <v>77</v>
      </c>
      <c r="E4658" s="5" t="s">
        <v>21</v>
      </c>
      <c r="F4658" s="5">
        <v>2</v>
      </c>
      <c r="G4658" s="19">
        <v>0.15</v>
      </c>
      <c r="H4658" s="5" t="s">
        <v>454</v>
      </c>
      <c r="I4658" s="10">
        <f>IF(OR(D4658="", F4658=""), "", F4658 * VLOOKUP(D4658, Products!A:E, 5, FALSE) * (1 - G4658))</f>
        <v>422.56899999999996</v>
      </c>
      <c r="J4658" s="10"/>
    </row>
    <row r="4659" spans="1:10" ht="15.75" customHeight="1" x14ac:dyDescent="0.3">
      <c r="A4659" s="5" t="s">
        <v>5526</v>
      </c>
      <c r="B4659" s="11">
        <v>45832</v>
      </c>
      <c r="C4659" s="5" t="s">
        <v>805</v>
      </c>
      <c r="D4659" s="5" t="s">
        <v>115</v>
      </c>
      <c r="E4659" s="5" t="s">
        <v>25</v>
      </c>
      <c r="F4659" s="5">
        <v>5</v>
      </c>
      <c r="G4659" s="19">
        <v>0.05</v>
      </c>
      <c r="H4659" s="5" t="s">
        <v>697</v>
      </c>
      <c r="I4659" s="10">
        <f>IF(OR(D4659="", F4659=""), "", F4659 * VLOOKUP(D4659, Products!A:E, 5, FALSE) * (1 - G4659))</f>
        <v>5919.0224999999991</v>
      </c>
      <c r="J4659" s="10"/>
    </row>
    <row r="4660" spans="1:10" ht="15.75" customHeight="1" x14ac:dyDescent="0.3">
      <c r="A4660" s="5" t="s">
        <v>5527</v>
      </c>
      <c r="B4660" s="11">
        <v>45215</v>
      </c>
      <c r="C4660" s="5" t="s">
        <v>350</v>
      </c>
      <c r="D4660" s="5" t="s">
        <v>122</v>
      </c>
      <c r="E4660" s="5" t="s">
        <v>25</v>
      </c>
      <c r="F4660" s="5">
        <v>3</v>
      </c>
      <c r="G4660" s="19">
        <v>0.05</v>
      </c>
      <c r="H4660" s="5" t="s">
        <v>637</v>
      </c>
      <c r="I4660" s="10">
        <f>IF(OR(D4660="", F4660=""), "", F4660 * VLOOKUP(D4660, Products!A:E, 5, FALSE) * (1 - G4660))</f>
        <v>5024.3220000000001</v>
      </c>
      <c r="J4660" s="10"/>
    </row>
    <row r="4661" spans="1:10" ht="15.75" customHeight="1" x14ac:dyDescent="0.3">
      <c r="A4661" s="5" t="s">
        <v>5528</v>
      </c>
      <c r="B4661" s="11">
        <v>45462</v>
      </c>
      <c r="C4661" s="5" t="s">
        <v>317</v>
      </c>
      <c r="D4661" s="5" t="s">
        <v>200</v>
      </c>
      <c r="E4661" s="5" t="s">
        <v>37</v>
      </c>
      <c r="F4661" s="5">
        <v>4</v>
      </c>
      <c r="G4661" s="19">
        <v>0.05</v>
      </c>
      <c r="H4661" s="5" t="s">
        <v>776</v>
      </c>
      <c r="I4661" s="10">
        <f>IF(OR(D4661="", F4661=""), "", F4661 * VLOOKUP(D4661, Products!A:E, 5, FALSE) * (1 - G4661))</f>
        <v>4163.7359999999999</v>
      </c>
      <c r="J4661" s="10"/>
    </row>
    <row r="4662" spans="1:10" ht="15.75" customHeight="1" x14ac:dyDescent="0.3">
      <c r="A4662" s="5" t="s">
        <v>5529</v>
      </c>
      <c r="B4662" s="11">
        <v>45364</v>
      </c>
      <c r="C4662" s="5" t="s">
        <v>674</v>
      </c>
      <c r="D4662" s="5" t="s">
        <v>217</v>
      </c>
      <c r="E4662" s="5" t="s">
        <v>21</v>
      </c>
      <c r="F4662" s="5">
        <v>3</v>
      </c>
      <c r="G4662" s="19">
        <v>0.05</v>
      </c>
      <c r="H4662" s="5" t="s">
        <v>776</v>
      </c>
      <c r="I4662" s="10">
        <f>IF(OR(D4662="", F4662=""), "", F4662 * VLOOKUP(D4662, Products!A:E, 5, FALSE) * (1 - G4662))</f>
        <v>1219.9425000000001</v>
      </c>
      <c r="J4662" s="10"/>
    </row>
    <row r="4663" spans="1:10" ht="15.75" customHeight="1" x14ac:dyDescent="0.3">
      <c r="A4663" s="5" t="s">
        <v>5530</v>
      </c>
      <c r="B4663" s="11">
        <v>45768</v>
      </c>
      <c r="C4663" s="5" t="s">
        <v>274</v>
      </c>
      <c r="D4663" s="5" t="s">
        <v>175</v>
      </c>
      <c r="E4663" s="5" t="s">
        <v>29</v>
      </c>
      <c r="F4663" s="5">
        <v>3</v>
      </c>
      <c r="G4663" s="19">
        <v>0</v>
      </c>
      <c r="H4663" s="5" t="s">
        <v>697</v>
      </c>
      <c r="I4663" s="10">
        <f>IF(OR(D4663="", F4663=""), "", F4663 * VLOOKUP(D4663, Products!A:E, 5, FALSE) * (1 - G4663))</f>
        <v>3816.69</v>
      </c>
      <c r="J4663" s="10"/>
    </row>
    <row r="4664" spans="1:10" ht="15.75" customHeight="1" x14ac:dyDescent="0.3">
      <c r="A4664" s="5" t="s">
        <v>5531</v>
      </c>
      <c r="B4664" s="11">
        <v>45246</v>
      </c>
      <c r="C4664" s="5" t="s">
        <v>711</v>
      </c>
      <c r="D4664" s="5" t="s">
        <v>67</v>
      </c>
      <c r="E4664" s="5" t="s">
        <v>21</v>
      </c>
      <c r="F4664" s="5">
        <v>4</v>
      </c>
      <c r="G4664" s="19">
        <v>0.1</v>
      </c>
      <c r="H4664" s="5" t="s">
        <v>637</v>
      </c>
      <c r="I4664" s="10">
        <f>IF(OR(D4664="", F4664=""), "", F4664 * VLOOKUP(D4664, Products!A:E, 5, FALSE) * (1 - G4664))</f>
        <v>395.20800000000003</v>
      </c>
      <c r="J4664" s="10"/>
    </row>
    <row r="4665" spans="1:10" ht="15.75" customHeight="1" x14ac:dyDescent="0.3">
      <c r="A4665" s="5" t="s">
        <v>5532</v>
      </c>
      <c r="B4665" s="11">
        <v>45825</v>
      </c>
      <c r="C4665" s="5" t="s">
        <v>470</v>
      </c>
      <c r="D4665" s="5" t="s">
        <v>217</v>
      </c>
      <c r="E4665" s="5" t="s">
        <v>37</v>
      </c>
      <c r="F4665" s="5">
        <v>5</v>
      </c>
      <c r="G4665" s="19">
        <v>0.05</v>
      </c>
      <c r="H4665" s="5" t="s">
        <v>776</v>
      </c>
      <c r="I4665" s="10">
        <f>IF(OR(D4665="", F4665=""), "", F4665 * VLOOKUP(D4665, Products!A:E, 5, FALSE) * (1 - G4665))</f>
        <v>2033.2375</v>
      </c>
      <c r="J4665" s="10"/>
    </row>
    <row r="4666" spans="1:10" ht="15.75" customHeight="1" x14ac:dyDescent="0.3">
      <c r="A4666" s="5" t="s">
        <v>5533</v>
      </c>
      <c r="B4666" s="11">
        <v>45449</v>
      </c>
      <c r="C4666" s="5" t="s">
        <v>255</v>
      </c>
      <c r="D4666" s="5" t="s">
        <v>180</v>
      </c>
      <c r="E4666" s="5" t="s">
        <v>25</v>
      </c>
      <c r="F4666" s="5">
        <v>2</v>
      </c>
      <c r="G4666" s="19">
        <v>0.15</v>
      </c>
      <c r="H4666" s="5" t="s">
        <v>637</v>
      </c>
      <c r="I4666" s="10">
        <f>IF(OR(D4666="", F4666=""), "", F4666 * VLOOKUP(D4666, Products!A:E, 5, FALSE) * (1 - G4666))</f>
        <v>1145.4259999999999</v>
      </c>
      <c r="J4666" s="10"/>
    </row>
    <row r="4667" spans="1:10" ht="15.75" customHeight="1" x14ac:dyDescent="0.3">
      <c r="A4667" s="5" t="s">
        <v>5534</v>
      </c>
      <c r="B4667" s="11">
        <v>45322</v>
      </c>
      <c r="C4667" s="5" t="s">
        <v>353</v>
      </c>
      <c r="D4667" s="5" t="s">
        <v>243</v>
      </c>
      <c r="E4667" s="5" t="s">
        <v>21</v>
      </c>
      <c r="F4667" s="5">
        <v>4</v>
      </c>
      <c r="G4667" s="19">
        <v>0.15</v>
      </c>
      <c r="H4667" s="5" t="s">
        <v>454</v>
      </c>
      <c r="I4667" s="10">
        <f>IF(OR(D4667="", F4667=""), "", F4667 * VLOOKUP(D4667, Products!A:E, 5, FALSE) * (1 - G4667))</f>
        <v>1839.1960000000001</v>
      </c>
      <c r="J4667" s="10"/>
    </row>
    <row r="4668" spans="1:10" ht="15.75" customHeight="1" x14ac:dyDescent="0.3">
      <c r="A4668" s="5" t="s">
        <v>5535</v>
      </c>
      <c r="B4668" s="11">
        <v>45897</v>
      </c>
      <c r="C4668" s="5" t="s">
        <v>718</v>
      </c>
      <c r="D4668" s="5" t="s">
        <v>162</v>
      </c>
      <c r="E4668" s="5" t="s">
        <v>29</v>
      </c>
      <c r="F4668" s="5">
        <v>3</v>
      </c>
      <c r="G4668" s="19">
        <v>0.05</v>
      </c>
      <c r="H4668" s="5" t="s">
        <v>776</v>
      </c>
      <c r="I4668" s="10">
        <f>IF(OR(D4668="", F4668=""), "", F4668 * VLOOKUP(D4668, Products!A:E, 5, FALSE) * (1 - G4668))</f>
        <v>1223.0774999999999</v>
      </c>
      <c r="J4668" s="10"/>
    </row>
    <row r="4669" spans="1:10" ht="15.75" customHeight="1" x14ac:dyDescent="0.3">
      <c r="A4669" s="5" t="s">
        <v>5536</v>
      </c>
      <c r="B4669" s="11">
        <v>45270</v>
      </c>
      <c r="C4669" s="5" t="s">
        <v>91</v>
      </c>
      <c r="D4669" s="5" t="s">
        <v>180</v>
      </c>
      <c r="E4669" s="5" t="s">
        <v>33</v>
      </c>
      <c r="F4669" s="5">
        <v>2</v>
      </c>
      <c r="G4669" s="19">
        <v>0.1</v>
      </c>
      <c r="H4669" s="5" t="s">
        <v>776</v>
      </c>
      <c r="I4669" s="10">
        <f>IF(OR(D4669="", F4669=""), "", F4669 * VLOOKUP(D4669, Products!A:E, 5, FALSE) * (1 - G4669))</f>
        <v>1212.8040000000001</v>
      </c>
      <c r="J4669" s="10"/>
    </row>
    <row r="4670" spans="1:10" ht="15.75" customHeight="1" x14ac:dyDescent="0.3">
      <c r="A4670" s="5" t="s">
        <v>5537</v>
      </c>
      <c r="B4670" s="11">
        <v>45715</v>
      </c>
      <c r="C4670" s="5" t="s">
        <v>699</v>
      </c>
      <c r="D4670" s="5" t="s">
        <v>269</v>
      </c>
      <c r="E4670" s="5" t="s">
        <v>25</v>
      </c>
      <c r="F4670" s="5">
        <v>4</v>
      </c>
      <c r="G4670" s="19">
        <v>0.1</v>
      </c>
      <c r="H4670" s="5" t="s">
        <v>776</v>
      </c>
      <c r="I4670" s="10">
        <f>IF(OR(D4670="", F4670=""), "", F4670 * VLOOKUP(D4670, Products!A:E, 5, FALSE) * (1 - G4670))</f>
        <v>6764.6880000000001</v>
      </c>
      <c r="J4670" s="10"/>
    </row>
    <row r="4671" spans="1:10" ht="15.75" customHeight="1" x14ac:dyDescent="0.3">
      <c r="A4671" s="5" t="s">
        <v>5538</v>
      </c>
      <c r="B4671" s="11">
        <v>45348</v>
      </c>
      <c r="C4671" s="5" t="s">
        <v>718</v>
      </c>
      <c r="D4671" s="5" t="s">
        <v>74</v>
      </c>
      <c r="E4671" s="5" t="s">
        <v>25</v>
      </c>
      <c r="F4671" s="5">
        <v>2</v>
      </c>
      <c r="G4671" s="19">
        <v>0.15</v>
      </c>
      <c r="H4671" s="5" t="s">
        <v>637</v>
      </c>
      <c r="I4671" s="10">
        <f>IF(OR(D4671="", F4671=""), "", F4671 * VLOOKUP(D4671, Products!A:E, 5, FALSE) * (1 - G4671))</f>
        <v>2030.0039999999997</v>
      </c>
      <c r="J4671" s="10"/>
    </row>
    <row r="4672" spans="1:10" ht="15.75" customHeight="1" x14ac:dyDescent="0.3">
      <c r="A4672" s="5" t="s">
        <v>5539</v>
      </c>
      <c r="B4672" s="11">
        <v>45803</v>
      </c>
      <c r="C4672" s="5" t="s">
        <v>191</v>
      </c>
      <c r="D4672" s="5" t="s">
        <v>272</v>
      </c>
      <c r="E4672" s="5" t="s">
        <v>25</v>
      </c>
      <c r="F4672" s="5">
        <v>1</v>
      </c>
      <c r="G4672" s="19">
        <v>0.15</v>
      </c>
      <c r="H4672" s="5" t="s">
        <v>454</v>
      </c>
      <c r="I4672" s="10">
        <f>IF(OR(D4672="", F4672=""), "", F4672 * VLOOKUP(D4672, Products!A:E, 5, FALSE) * (1 - G4672))</f>
        <v>990.56449999999984</v>
      </c>
      <c r="J4672" s="10"/>
    </row>
    <row r="4673" spans="1:10" ht="15.75" customHeight="1" x14ac:dyDescent="0.3">
      <c r="A4673" s="5" t="s">
        <v>5540</v>
      </c>
      <c r="B4673" s="11">
        <v>45506</v>
      </c>
      <c r="C4673" s="5" t="s">
        <v>389</v>
      </c>
      <c r="D4673" s="5" t="s">
        <v>280</v>
      </c>
      <c r="E4673" s="5" t="s">
        <v>33</v>
      </c>
      <c r="F4673" s="5">
        <v>2</v>
      </c>
      <c r="G4673" s="19">
        <v>0.15</v>
      </c>
      <c r="H4673" s="5" t="s">
        <v>454</v>
      </c>
      <c r="I4673" s="10">
        <f>IF(OR(D4673="", F4673=""), "", F4673 * VLOOKUP(D4673, Products!A:E, 5, FALSE) * (1 - G4673))</f>
        <v>2067.8119999999999</v>
      </c>
      <c r="J4673" s="10"/>
    </row>
    <row r="4674" spans="1:10" ht="15.75" customHeight="1" x14ac:dyDescent="0.3">
      <c r="A4674" s="5" t="s">
        <v>5541</v>
      </c>
      <c r="B4674" s="11">
        <v>45718</v>
      </c>
      <c r="C4674" s="5" t="s">
        <v>618</v>
      </c>
      <c r="D4674" s="5" t="s">
        <v>47</v>
      </c>
      <c r="E4674" s="5" t="s">
        <v>29</v>
      </c>
      <c r="F4674" s="5">
        <v>2</v>
      </c>
      <c r="G4674" s="19">
        <v>0.15</v>
      </c>
      <c r="H4674" s="5" t="s">
        <v>454</v>
      </c>
      <c r="I4674" s="10">
        <f>IF(OR(D4674="", F4674=""), "", F4674 * VLOOKUP(D4674, Products!A:E, 5, FALSE) * (1 - G4674))</f>
        <v>1391.8920000000001</v>
      </c>
      <c r="J4674" s="10"/>
    </row>
    <row r="4675" spans="1:10" ht="15.75" customHeight="1" x14ac:dyDescent="0.3">
      <c r="A4675" s="5" t="s">
        <v>5542</v>
      </c>
      <c r="B4675" s="11">
        <v>45481</v>
      </c>
      <c r="C4675" s="5" t="s">
        <v>536</v>
      </c>
      <c r="D4675" s="5" t="s">
        <v>140</v>
      </c>
      <c r="E4675" s="5" t="s">
        <v>21</v>
      </c>
      <c r="F4675" s="5">
        <v>2</v>
      </c>
      <c r="G4675" s="19">
        <v>0</v>
      </c>
      <c r="H4675" s="5" t="s">
        <v>637</v>
      </c>
      <c r="I4675" s="10">
        <f>IF(OR(D4675="", F4675=""), "", F4675 * VLOOKUP(D4675, Products!A:E, 5, FALSE) * (1 - G4675))</f>
        <v>51.14</v>
      </c>
      <c r="J4675" s="10"/>
    </row>
    <row r="4676" spans="1:10" ht="15.75" customHeight="1" x14ac:dyDescent="0.3">
      <c r="A4676" s="5" t="s">
        <v>5543</v>
      </c>
      <c r="B4676" s="11">
        <v>45242</v>
      </c>
      <c r="C4676" s="5" t="s">
        <v>255</v>
      </c>
      <c r="D4676" s="5" t="s">
        <v>115</v>
      </c>
      <c r="E4676" s="5" t="s">
        <v>33</v>
      </c>
      <c r="F4676" s="5">
        <v>2</v>
      </c>
      <c r="G4676" s="19">
        <v>0</v>
      </c>
      <c r="H4676" s="5" t="s">
        <v>776</v>
      </c>
      <c r="I4676" s="10">
        <f>IF(OR(D4676="", F4676=""), "", F4676 * VLOOKUP(D4676, Products!A:E, 5, FALSE) * (1 - G4676))</f>
        <v>2492.2199999999998</v>
      </c>
      <c r="J4676" s="10"/>
    </row>
    <row r="4677" spans="1:10" ht="15.75" customHeight="1" x14ac:dyDescent="0.3">
      <c r="A4677" s="5" t="s">
        <v>5544</v>
      </c>
      <c r="B4677" s="11">
        <v>45255</v>
      </c>
      <c r="C4677" s="5" t="s">
        <v>705</v>
      </c>
      <c r="D4677" s="5" t="s">
        <v>128</v>
      </c>
      <c r="E4677" s="5" t="s">
        <v>37</v>
      </c>
      <c r="F4677" s="5">
        <v>2</v>
      </c>
      <c r="G4677" s="19">
        <v>0.1</v>
      </c>
      <c r="H4677" s="5" t="s">
        <v>454</v>
      </c>
      <c r="I4677" s="10">
        <f>IF(OR(D4677="", F4677=""), "", F4677 * VLOOKUP(D4677, Products!A:E, 5, FALSE) * (1 - G4677))</f>
        <v>583.05600000000004</v>
      </c>
      <c r="J4677" s="10"/>
    </row>
    <row r="4678" spans="1:10" ht="15.75" customHeight="1" x14ac:dyDescent="0.3">
      <c r="A4678" s="5" t="s">
        <v>5545</v>
      </c>
      <c r="B4678" s="11">
        <v>45809</v>
      </c>
      <c r="C4678" s="5" t="s">
        <v>292</v>
      </c>
      <c r="D4678" s="5" t="s">
        <v>82</v>
      </c>
      <c r="E4678" s="5" t="s">
        <v>29</v>
      </c>
      <c r="F4678" s="5">
        <v>1</v>
      </c>
      <c r="G4678" s="19">
        <v>0.05</v>
      </c>
      <c r="H4678" s="5" t="s">
        <v>697</v>
      </c>
      <c r="I4678" s="10">
        <f>IF(OR(D4678="", F4678=""), "", F4678 * VLOOKUP(D4678, Products!A:E, 5, FALSE) * (1 - G4678))</f>
        <v>1133.4354999999998</v>
      </c>
      <c r="J4678" s="10"/>
    </row>
    <row r="4679" spans="1:10" ht="15.75" customHeight="1" x14ac:dyDescent="0.3">
      <c r="A4679" s="5" t="s">
        <v>5546</v>
      </c>
      <c r="B4679" s="11">
        <v>45666</v>
      </c>
      <c r="C4679" s="5" t="s">
        <v>815</v>
      </c>
      <c r="D4679" s="5" t="s">
        <v>65</v>
      </c>
      <c r="E4679" s="5" t="s">
        <v>21</v>
      </c>
      <c r="F4679" s="5">
        <v>1</v>
      </c>
      <c r="G4679" s="19">
        <v>0.1</v>
      </c>
      <c r="H4679" s="5" t="s">
        <v>697</v>
      </c>
      <c r="I4679" s="10">
        <f>IF(OR(D4679="", F4679=""), "", F4679 * VLOOKUP(D4679, Products!A:E, 5, FALSE) * (1 - G4679))</f>
        <v>1326.7079999999999</v>
      </c>
      <c r="J4679" s="10"/>
    </row>
    <row r="4680" spans="1:10" ht="15.75" customHeight="1" x14ac:dyDescent="0.3">
      <c r="A4680" s="5" t="s">
        <v>5547</v>
      </c>
      <c r="B4680" s="11">
        <v>45792</v>
      </c>
      <c r="C4680" s="5" t="s">
        <v>484</v>
      </c>
      <c r="D4680" s="5" t="s">
        <v>134</v>
      </c>
      <c r="E4680" s="5" t="s">
        <v>29</v>
      </c>
      <c r="F4680" s="5">
        <v>1</v>
      </c>
      <c r="G4680" s="19">
        <v>0.1</v>
      </c>
      <c r="H4680" s="5" t="s">
        <v>776</v>
      </c>
      <c r="I4680" s="10">
        <f>IF(OR(D4680="", F4680=""), "", F4680 * VLOOKUP(D4680, Products!A:E, 5, FALSE) * (1 - G4680))</f>
        <v>1104.5160000000001</v>
      </c>
      <c r="J4680" s="10"/>
    </row>
    <row r="4681" spans="1:10" ht="15.75" customHeight="1" x14ac:dyDescent="0.3">
      <c r="A4681" s="5" t="s">
        <v>5548</v>
      </c>
      <c r="B4681" s="11">
        <v>45863</v>
      </c>
      <c r="C4681" s="5" t="s">
        <v>429</v>
      </c>
      <c r="D4681" s="5" t="s">
        <v>65</v>
      </c>
      <c r="E4681" s="5" t="s">
        <v>25</v>
      </c>
      <c r="F4681" s="5">
        <v>2</v>
      </c>
      <c r="G4681" s="19">
        <v>0</v>
      </c>
      <c r="H4681" s="5" t="s">
        <v>776</v>
      </c>
      <c r="I4681" s="10">
        <f>IF(OR(D4681="", F4681=""), "", F4681 * VLOOKUP(D4681, Products!A:E, 5, FALSE) * (1 - G4681))</f>
        <v>2948.24</v>
      </c>
      <c r="J4681" s="10"/>
    </row>
    <row r="4682" spans="1:10" ht="15.75" customHeight="1" x14ac:dyDescent="0.3">
      <c r="A4682" s="5" t="s">
        <v>5549</v>
      </c>
      <c r="B4682" s="11">
        <v>45681</v>
      </c>
      <c r="C4682" s="5" t="s">
        <v>455</v>
      </c>
      <c r="D4682" s="5" t="s">
        <v>43</v>
      </c>
      <c r="E4682" s="5" t="s">
        <v>25</v>
      </c>
      <c r="F4682" s="5">
        <v>1</v>
      </c>
      <c r="G4682" s="19">
        <v>0.15</v>
      </c>
      <c r="H4682" s="5" t="s">
        <v>637</v>
      </c>
      <c r="I4682" s="10">
        <f>IF(OR(D4682="", F4682=""), "", F4682 * VLOOKUP(D4682, Products!A:E, 5, FALSE) * (1 - G4682))</f>
        <v>1422.6365000000001</v>
      </c>
      <c r="J4682" s="10"/>
    </row>
    <row r="4683" spans="1:10" ht="15.75" customHeight="1" x14ac:dyDescent="0.3">
      <c r="A4683" s="5" t="s">
        <v>5550</v>
      </c>
      <c r="B4683" s="11">
        <v>45841</v>
      </c>
      <c r="C4683" s="5" t="s">
        <v>722</v>
      </c>
      <c r="D4683" s="5" t="s">
        <v>276</v>
      </c>
      <c r="E4683" s="5" t="s">
        <v>33</v>
      </c>
      <c r="F4683" s="5">
        <v>2</v>
      </c>
      <c r="G4683" s="19">
        <v>0.1</v>
      </c>
      <c r="H4683" s="5" t="s">
        <v>637</v>
      </c>
      <c r="I4683" s="10">
        <f>IF(OR(D4683="", F4683=""), "", F4683 * VLOOKUP(D4683, Products!A:E, 5, FALSE) * (1 - G4683))</f>
        <v>2154.924</v>
      </c>
      <c r="J4683" s="10"/>
    </row>
    <row r="4684" spans="1:10" ht="15.75" customHeight="1" x14ac:dyDescent="0.3">
      <c r="A4684" s="5" t="s">
        <v>5551</v>
      </c>
      <c r="B4684" s="11">
        <v>45471</v>
      </c>
      <c r="C4684" s="5" t="s">
        <v>729</v>
      </c>
      <c r="D4684" s="5" t="s">
        <v>61</v>
      </c>
      <c r="E4684" s="5" t="s">
        <v>25</v>
      </c>
      <c r="F4684" s="5">
        <v>3</v>
      </c>
      <c r="G4684" s="19">
        <v>0.1</v>
      </c>
      <c r="H4684" s="5" t="s">
        <v>697</v>
      </c>
      <c r="I4684" s="10">
        <f>IF(OR(D4684="", F4684=""), "", F4684 * VLOOKUP(D4684, Products!A:E, 5, FALSE) * (1 - G4684))</f>
        <v>858.73500000000013</v>
      </c>
      <c r="J4684" s="10"/>
    </row>
    <row r="4685" spans="1:10" ht="15.75" customHeight="1" x14ac:dyDescent="0.3">
      <c r="A4685" s="5" t="s">
        <v>5552</v>
      </c>
      <c r="B4685" s="11">
        <v>45245</v>
      </c>
      <c r="C4685" s="5" t="s">
        <v>308</v>
      </c>
      <c r="D4685" s="5" t="s">
        <v>61</v>
      </c>
      <c r="E4685" s="5" t="s">
        <v>21</v>
      </c>
      <c r="F4685" s="5">
        <v>5</v>
      </c>
      <c r="G4685" s="19">
        <v>0.05</v>
      </c>
      <c r="H4685" s="5" t="s">
        <v>454</v>
      </c>
      <c r="I4685" s="10">
        <f>IF(OR(D4685="", F4685=""), "", F4685 * VLOOKUP(D4685, Products!A:E, 5, FALSE) * (1 - G4685))</f>
        <v>1510.7375</v>
      </c>
      <c r="J4685" s="10"/>
    </row>
    <row r="4686" spans="1:10" ht="15.75" customHeight="1" x14ac:dyDescent="0.3">
      <c r="A4686" s="5" t="s">
        <v>5553</v>
      </c>
      <c r="B4686" s="11">
        <v>45796</v>
      </c>
      <c r="C4686" s="5" t="s">
        <v>750</v>
      </c>
      <c r="D4686" s="5" t="s">
        <v>77</v>
      </c>
      <c r="E4686" s="5" t="s">
        <v>29</v>
      </c>
      <c r="F4686" s="5">
        <v>5</v>
      </c>
      <c r="G4686" s="19">
        <v>0</v>
      </c>
      <c r="H4686" s="5" t="s">
        <v>697</v>
      </c>
      <c r="I4686" s="10">
        <f>IF(OR(D4686="", F4686=""), "", F4686 * VLOOKUP(D4686, Products!A:E, 5, FALSE) * (1 - G4686))</f>
        <v>1242.8499999999999</v>
      </c>
      <c r="J4686" s="10"/>
    </row>
    <row r="4687" spans="1:10" ht="15.75" customHeight="1" x14ac:dyDescent="0.3">
      <c r="A4687" s="5" t="s">
        <v>5554</v>
      </c>
      <c r="B4687" s="11">
        <v>45568</v>
      </c>
      <c r="C4687" s="5" t="s">
        <v>842</v>
      </c>
      <c r="D4687" s="5" t="s">
        <v>70</v>
      </c>
      <c r="E4687" s="5" t="s">
        <v>21</v>
      </c>
      <c r="F4687" s="5">
        <v>3</v>
      </c>
      <c r="G4687" s="19">
        <v>0.15</v>
      </c>
      <c r="H4687" s="5" t="s">
        <v>637</v>
      </c>
      <c r="I4687" s="10">
        <f>IF(OR(D4687="", F4687=""), "", F4687 * VLOOKUP(D4687, Products!A:E, 5, FALSE) * (1 - G4687))</f>
        <v>314.1345</v>
      </c>
      <c r="J4687" s="10"/>
    </row>
    <row r="4688" spans="1:10" ht="15.75" customHeight="1" x14ac:dyDescent="0.3">
      <c r="A4688" s="5" t="s">
        <v>5555</v>
      </c>
      <c r="B4688" s="11">
        <v>45515</v>
      </c>
      <c r="C4688" s="5" t="s">
        <v>144</v>
      </c>
      <c r="D4688" s="5" t="s">
        <v>206</v>
      </c>
      <c r="E4688" s="5" t="s">
        <v>33</v>
      </c>
      <c r="F4688" s="5">
        <v>4</v>
      </c>
      <c r="G4688" s="19">
        <v>0.15</v>
      </c>
      <c r="H4688" s="5" t="s">
        <v>697</v>
      </c>
      <c r="I4688" s="10">
        <f>IF(OR(D4688="", F4688=""), "", F4688 * VLOOKUP(D4688, Products!A:E, 5, FALSE) * (1 - G4688))</f>
        <v>1036.0139999999999</v>
      </c>
      <c r="J4688" s="10"/>
    </row>
    <row r="4689" spans="1:10" ht="15.75" customHeight="1" x14ac:dyDescent="0.3">
      <c r="A4689" s="5" t="s">
        <v>5556</v>
      </c>
      <c r="B4689" s="11">
        <v>45876</v>
      </c>
      <c r="C4689" s="5" t="s">
        <v>365</v>
      </c>
      <c r="D4689" s="5" t="s">
        <v>276</v>
      </c>
      <c r="E4689" s="5" t="s">
        <v>25</v>
      </c>
      <c r="F4689" s="5">
        <v>2</v>
      </c>
      <c r="G4689" s="19">
        <v>0.15</v>
      </c>
      <c r="H4689" s="5" t="s">
        <v>454</v>
      </c>
      <c r="I4689" s="10">
        <f>IF(OR(D4689="", F4689=""), "", F4689 * VLOOKUP(D4689, Products!A:E, 5, FALSE) * (1 - G4689))</f>
        <v>2035.2060000000001</v>
      </c>
      <c r="J4689" s="10"/>
    </row>
    <row r="4690" spans="1:10" ht="15.75" customHeight="1" x14ac:dyDescent="0.3">
      <c r="A4690" s="5" t="s">
        <v>5557</v>
      </c>
      <c r="B4690" s="11">
        <v>45191</v>
      </c>
      <c r="C4690" s="5" t="s">
        <v>223</v>
      </c>
      <c r="D4690" s="5" t="s">
        <v>147</v>
      </c>
      <c r="E4690" s="5" t="s">
        <v>29</v>
      </c>
      <c r="F4690" s="5">
        <v>5</v>
      </c>
      <c r="G4690" s="19">
        <v>0</v>
      </c>
      <c r="H4690" s="5" t="s">
        <v>697</v>
      </c>
      <c r="I4690" s="10">
        <f>IF(OR(D4690="", F4690=""), "", F4690 * VLOOKUP(D4690, Products!A:E, 5, FALSE) * (1 - G4690))</f>
        <v>9392.35</v>
      </c>
      <c r="J4690" s="10"/>
    </row>
    <row r="4691" spans="1:10" ht="15.75" customHeight="1" x14ac:dyDescent="0.3">
      <c r="A4691" s="5" t="s">
        <v>5558</v>
      </c>
      <c r="B4691" s="11">
        <v>45489</v>
      </c>
      <c r="C4691" s="5" t="s">
        <v>495</v>
      </c>
      <c r="D4691" s="5" t="s">
        <v>65</v>
      </c>
      <c r="E4691" s="5" t="s">
        <v>33</v>
      </c>
      <c r="F4691" s="5">
        <v>5</v>
      </c>
      <c r="G4691" s="19">
        <v>0.1</v>
      </c>
      <c r="H4691" s="5" t="s">
        <v>637</v>
      </c>
      <c r="I4691" s="10">
        <f>IF(OR(D4691="", F4691=""), "", F4691 * VLOOKUP(D4691, Products!A:E, 5, FALSE) * (1 - G4691))</f>
        <v>6633.54</v>
      </c>
      <c r="J4691" s="10"/>
    </row>
    <row r="4692" spans="1:10" ht="15.75" customHeight="1" x14ac:dyDescent="0.3">
      <c r="A4692" s="5" t="s">
        <v>5559</v>
      </c>
      <c r="B4692" s="11">
        <v>45207</v>
      </c>
      <c r="C4692" s="5" t="s">
        <v>433</v>
      </c>
      <c r="D4692" s="5" t="s">
        <v>74</v>
      </c>
      <c r="E4692" s="5" t="s">
        <v>21</v>
      </c>
      <c r="F4692" s="5">
        <v>5</v>
      </c>
      <c r="G4692" s="19">
        <v>0.1</v>
      </c>
      <c r="H4692" s="5" t="s">
        <v>454</v>
      </c>
      <c r="I4692" s="10">
        <f>IF(OR(D4692="", F4692=""), "", F4692 * VLOOKUP(D4692, Products!A:E, 5, FALSE) * (1 - G4692))</f>
        <v>5373.54</v>
      </c>
      <c r="J4692" s="10"/>
    </row>
    <row r="4693" spans="1:10" ht="15.75" customHeight="1" x14ac:dyDescent="0.3">
      <c r="A4693" s="5" t="s">
        <v>5560</v>
      </c>
      <c r="B4693" s="11">
        <v>45826</v>
      </c>
      <c r="C4693" s="5" t="s">
        <v>842</v>
      </c>
      <c r="D4693" s="5" t="s">
        <v>291</v>
      </c>
      <c r="E4693" s="5" t="s">
        <v>37</v>
      </c>
      <c r="F4693" s="5">
        <v>5</v>
      </c>
      <c r="G4693" s="19">
        <v>0.05</v>
      </c>
      <c r="H4693" s="5" t="s">
        <v>697</v>
      </c>
      <c r="I4693" s="10">
        <f>IF(OR(D4693="", F4693=""), "", F4693 * VLOOKUP(D4693, Products!A:E, 5, FALSE) * (1 - G4693))</f>
        <v>4962.0400000000009</v>
      </c>
      <c r="J4693" s="10"/>
    </row>
    <row r="4694" spans="1:10" ht="15.75" customHeight="1" x14ac:dyDescent="0.3">
      <c r="A4694" s="5" t="s">
        <v>5561</v>
      </c>
      <c r="B4694" s="11">
        <v>45536</v>
      </c>
      <c r="C4694" s="5" t="s">
        <v>876</v>
      </c>
      <c r="D4694" s="5" t="s">
        <v>122</v>
      </c>
      <c r="E4694" s="5" t="s">
        <v>29</v>
      </c>
      <c r="F4694" s="5">
        <v>4</v>
      </c>
      <c r="G4694" s="19">
        <v>0.15</v>
      </c>
      <c r="H4694" s="5" t="s">
        <v>697</v>
      </c>
      <c r="I4694" s="10">
        <f>IF(OR(D4694="", F4694=""), "", F4694 * VLOOKUP(D4694, Products!A:E, 5, FALSE) * (1 - G4694))</f>
        <v>5993.9279999999999</v>
      </c>
      <c r="J4694" s="10"/>
    </row>
    <row r="4695" spans="1:10" ht="15.75" customHeight="1" x14ac:dyDescent="0.3">
      <c r="A4695" s="5" t="s">
        <v>5562</v>
      </c>
      <c r="B4695" s="11">
        <v>45357</v>
      </c>
      <c r="C4695" s="5" t="s">
        <v>554</v>
      </c>
      <c r="D4695" s="5" t="s">
        <v>200</v>
      </c>
      <c r="E4695" s="5" t="s">
        <v>25</v>
      </c>
      <c r="F4695" s="5">
        <v>1</v>
      </c>
      <c r="G4695" s="19">
        <v>0.1</v>
      </c>
      <c r="H4695" s="5" t="s">
        <v>637</v>
      </c>
      <c r="I4695" s="10">
        <f>IF(OR(D4695="", F4695=""), "", F4695 * VLOOKUP(D4695, Products!A:E, 5, FALSE) * (1 - G4695))</f>
        <v>986.14800000000002</v>
      </c>
      <c r="J4695" s="10"/>
    </row>
    <row r="4696" spans="1:10" ht="15.75" customHeight="1" x14ac:dyDescent="0.3">
      <c r="A4696" s="5" t="s">
        <v>5563</v>
      </c>
      <c r="B4696" s="11">
        <v>45503</v>
      </c>
      <c r="C4696" s="5" t="s">
        <v>624</v>
      </c>
      <c r="D4696" s="5" t="s">
        <v>67</v>
      </c>
      <c r="E4696" s="5" t="s">
        <v>25</v>
      </c>
      <c r="F4696" s="5">
        <v>5</v>
      </c>
      <c r="G4696" s="19">
        <v>0.05</v>
      </c>
      <c r="H4696" s="5" t="s">
        <v>454</v>
      </c>
      <c r="I4696" s="10">
        <f>IF(OR(D4696="", F4696=""), "", F4696 * VLOOKUP(D4696, Products!A:E, 5, FALSE) * (1 - G4696))</f>
        <v>521.45499999999993</v>
      </c>
      <c r="J4696" s="10"/>
    </row>
    <row r="4697" spans="1:10" ht="15.75" customHeight="1" x14ac:dyDescent="0.3">
      <c r="A4697" s="5" t="s">
        <v>5564</v>
      </c>
      <c r="B4697" s="11">
        <v>45235</v>
      </c>
      <c r="C4697" s="5" t="s">
        <v>462</v>
      </c>
      <c r="D4697" s="5" t="s">
        <v>221</v>
      </c>
      <c r="E4697" s="5" t="s">
        <v>25</v>
      </c>
      <c r="F4697" s="5">
        <v>3</v>
      </c>
      <c r="G4697" s="19">
        <v>0.1</v>
      </c>
      <c r="H4697" s="5" t="s">
        <v>776</v>
      </c>
      <c r="I4697" s="10">
        <f>IF(OR(D4697="", F4697=""), "", F4697 * VLOOKUP(D4697, Products!A:E, 5, FALSE) * (1 - G4697))</f>
        <v>4218.5609999999997</v>
      </c>
      <c r="J4697" s="10"/>
    </row>
    <row r="4698" spans="1:10" ht="15.75" customHeight="1" x14ac:dyDescent="0.3">
      <c r="A4698" s="5" t="s">
        <v>5565</v>
      </c>
      <c r="B4698" s="11">
        <v>45491</v>
      </c>
      <c r="C4698" s="5" t="s">
        <v>715</v>
      </c>
      <c r="D4698" s="5" t="s">
        <v>57</v>
      </c>
      <c r="E4698" s="5" t="s">
        <v>33</v>
      </c>
      <c r="F4698" s="5">
        <v>2</v>
      </c>
      <c r="G4698" s="19">
        <v>0.05</v>
      </c>
      <c r="H4698" s="5" t="s">
        <v>697</v>
      </c>
      <c r="I4698" s="10">
        <f>IF(OR(D4698="", F4698=""), "", F4698 * VLOOKUP(D4698, Products!A:E, 5, FALSE) * (1 - G4698))</f>
        <v>2652.8179999999998</v>
      </c>
      <c r="J4698" s="10"/>
    </row>
    <row r="4699" spans="1:10" ht="15.75" customHeight="1" x14ac:dyDescent="0.3">
      <c r="A4699" s="5" t="s">
        <v>5566</v>
      </c>
      <c r="B4699" s="11">
        <v>45224</v>
      </c>
      <c r="C4699" s="5" t="s">
        <v>338</v>
      </c>
      <c r="D4699" s="5" t="s">
        <v>221</v>
      </c>
      <c r="E4699" s="5" t="s">
        <v>29</v>
      </c>
      <c r="F4699" s="5">
        <v>1</v>
      </c>
      <c r="G4699" s="19">
        <v>0</v>
      </c>
      <c r="H4699" s="5" t="s">
        <v>697</v>
      </c>
      <c r="I4699" s="10">
        <f>IF(OR(D4699="", F4699=""), "", F4699 * VLOOKUP(D4699, Products!A:E, 5, FALSE) * (1 - G4699))</f>
        <v>1562.43</v>
      </c>
      <c r="J4699" s="10"/>
    </row>
    <row r="4700" spans="1:10" ht="15.75" customHeight="1" x14ac:dyDescent="0.3">
      <c r="A4700" s="5" t="s">
        <v>5567</v>
      </c>
      <c r="B4700" s="11">
        <v>45384</v>
      </c>
      <c r="C4700" s="5" t="s">
        <v>507</v>
      </c>
      <c r="D4700" s="5" t="s">
        <v>206</v>
      </c>
      <c r="E4700" s="5" t="s">
        <v>33</v>
      </c>
      <c r="F4700" s="5">
        <v>2</v>
      </c>
      <c r="G4700" s="19">
        <v>0.1</v>
      </c>
      <c r="H4700" s="5" t="s">
        <v>637</v>
      </c>
      <c r="I4700" s="10">
        <f>IF(OR(D4700="", F4700=""), "", F4700 * VLOOKUP(D4700, Products!A:E, 5, FALSE) * (1 - G4700))</f>
        <v>548.47799999999995</v>
      </c>
      <c r="J4700" s="10"/>
    </row>
    <row r="4701" spans="1:10" ht="15.75" customHeight="1" x14ac:dyDescent="0.3">
      <c r="A4701" s="5" t="s">
        <v>5568</v>
      </c>
      <c r="B4701" s="11">
        <v>45188</v>
      </c>
      <c r="C4701" s="5" t="s">
        <v>330</v>
      </c>
      <c r="D4701" s="5" t="s">
        <v>153</v>
      </c>
      <c r="E4701" s="5" t="s">
        <v>37</v>
      </c>
      <c r="F4701" s="5">
        <v>4</v>
      </c>
      <c r="G4701" s="19">
        <v>0.05</v>
      </c>
      <c r="H4701" s="5" t="s">
        <v>454</v>
      </c>
      <c r="I4701" s="10">
        <f>IF(OR(D4701="", F4701=""), "", F4701 * VLOOKUP(D4701, Products!A:E, 5, FALSE) * (1 - G4701))</f>
        <v>5652.1580000000004</v>
      </c>
      <c r="J4701" s="10"/>
    </row>
    <row r="4702" spans="1:10" ht="15.75" customHeight="1" x14ac:dyDescent="0.3">
      <c r="A4702" s="5" t="s">
        <v>5569</v>
      </c>
      <c r="B4702" s="11">
        <v>45574</v>
      </c>
      <c r="C4702" s="5" t="s">
        <v>338</v>
      </c>
      <c r="D4702" s="5" t="s">
        <v>232</v>
      </c>
      <c r="E4702" s="5" t="s">
        <v>21</v>
      </c>
      <c r="F4702" s="5">
        <v>1</v>
      </c>
      <c r="G4702" s="19">
        <v>0.05</v>
      </c>
      <c r="H4702" s="5" t="s">
        <v>697</v>
      </c>
      <c r="I4702" s="10">
        <f>IF(OR(D4702="", F4702=""), "", F4702 * VLOOKUP(D4702, Products!A:E, 5, FALSE) * (1 - G4702))</f>
        <v>1855.0174999999999</v>
      </c>
      <c r="J4702" s="10"/>
    </row>
    <row r="4703" spans="1:10" ht="15.75" customHeight="1" x14ac:dyDescent="0.3">
      <c r="A4703" s="5" t="s">
        <v>5570</v>
      </c>
      <c r="B4703" s="11">
        <v>45372</v>
      </c>
      <c r="C4703" s="5" t="s">
        <v>401</v>
      </c>
      <c r="D4703" s="5" t="s">
        <v>280</v>
      </c>
      <c r="E4703" s="5" t="s">
        <v>29</v>
      </c>
      <c r="F4703" s="5">
        <v>1</v>
      </c>
      <c r="G4703" s="19">
        <v>0.1</v>
      </c>
      <c r="H4703" s="5" t="s">
        <v>697</v>
      </c>
      <c r="I4703" s="10">
        <f>IF(OR(D4703="", F4703=""), "", F4703 * VLOOKUP(D4703, Products!A:E, 5, FALSE) * (1 - G4703))</f>
        <v>1094.7239999999999</v>
      </c>
      <c r="J4703" s="10"/>
    </row>
    <row r="4704" spans="1:10" ht="15.75" customHeight="1" x14ac:dyDescent="0.3">
      <c r="A4704" s="5" t="s">
        <v>5571</v>
      </c>
      <c r="B4704" s="11">
        <v>45396</v>
      </c>
      <c r="C4704" s="5" t="s">
        <v>724</v>
      </c>
      <c r="D4704" s="5" t="s">
        <v>82</v>
      </c>
      <c r="E4704" s="5" t="s">
        <v>21</v>
      </c>
      <c r="F4704" s="5">
        <v>1</v>
      </c>
      <c r="G4704" s="19">
        <v>0.15</v>
      </c>
      <c r="H4704" s="5" t="s">
        <v>637</v>
      </c>
      <c r="I4704" s="10">
        <f>IF(OR(D4704="", F4704=""), "", F4704 * VLOOKUP(D4704, Products!A:E, 5, FALSE) * (1 - G4704))</f>
        <v>1014.1264999999999</v>
      </c>
      <c r="J4704" s="10"/>
    </row>
    <row r="4705" spans="1:10" ht="15.75" customHeight="1" x14ac:dyDescent="0.3">
      <c r="A4705" s="5" t="s">
        <v>5572</v>
      </c>
      <c r="B4705" s="11">
        <v>45433</v>
      </c>
      <c r="C4705" s="5" t="s">
        <v>326</v>
      </c>
      <c r="D4705" s="5" t="s">
        <v>256</v>
      </c>
      <c r="E4705" s="5" t="s">
        <v>33</v>
      </c>
      <c r="F4705" s="5">
        <v>1</v>
      </c>
      <c r="G4705" s="19">
        <v>0.05</v>
      </c>
      <c r="H4705" s="5" t="s">
        <v>637</v>
      </c>
      <c r="I4705" s="10">
        <f>IF(OR(D4705="", F4705=""), "", F4705 * VLOOKUP(D4705, Products!A:E, 5, FALSE) * (1 - G4705))</f>
        <v>1553.2594999999999</v>
      </c>
      <c r="J4705" s="10"/>
    </row>
    <row r="4706" spans="1:10" ht="15.75" customHeight="1" x14ac:dyDescent="0.3">
      <c r="A4706" s="5" t="s">
        <v>5573</v>
      </c>
      <c r="B4706" s="11">
        <v>45407</v>
      </c>
      <c r="C4706" s="5" t="s">
        <v>550</v>
      </c>
      <c r="D4706" s="5" t="s">
        <v>193</v>
      </c>
      <c r="E4706" s="5" t="s">
        <v>21</v>
      </c>
      <c r="F4706" s="5">
        <v>3</v>
      </c>
      <c r="G4706" s="19">
        <v>0.1</v>
      </c>
      <c r="H4706" s="5" t="s">
        <v>776</v>
      </c>
      <c r="I4706" s="10">
        <f>IF(OR(D4706="", F4706=""), "", F4706 * VLOOKUP(D4706, Products!A:E, 5, FALSE) * (1 - G4706))</f>
        <v>78.948000000000008</v>
      </c>
      <c r="J4706" s="10"/>
    </row>
    <row r="4707" spans="1:10" ht="15.75" customHeight="1" x14ac:dyDescent="0.3">
      <c r="A4707" s="5" t="s">
        <v>5574</v>
      </c>
      <c r="B4707" s="11">
        <v>45184</v>
      </c>
      <c r="C4707" s="5" t="s">
        <v>711</v>
      </c>
      <c r="D4707" s="5" t="s">
        <v>269</v>
      </c>
      <c r="E4707" s="5" t="s">
        <v>29</v>
      </c>
      <c r="F4707" s="5">
        <v>4</v>
      </c>
      <c r="G4707" s="19">
        <v>0.05</v>
      </c>
      <c r="H4707" s="5" t="s">
        <v>697</v>
      </c>
      <c r="I4707" s="10">
        <f>IF(OR(D4707="", F4707=""), "", F4707 * VLOOKUP(D4707, Products!A:E, 5, FALSE) * (1 - G4707))</f>
        <v>7140.503999999999</v>
      </c>
      <c r="J4707" s="10"/>
    </row>
    <row r="4708" spans="1:10" ht="15.75" customHeight="1" x14ac:dyDescent="0.3">
      <c r="A4708" s="5" t="s">
        <v>5575</v>
      </c>
      <c r="B4708" s="11">
        <v>45305</v>
      </c>
      <c r="C4708" s="5" t="s">
        <v>181</v>
      </c>
      <c r="D4708" s="5" t="s">
        <v>115</v>
      </c>
      <c r="E4708" s="5" t="s">
        <v>33</v>
      </c>
      <c r="F4708" s="5">
        <v>3</v>
      </c>
      <c r="G4708" s="19">
        <v>0</v>
      </c>
      <c r="H4708" s="5" t="s">
        <v>776</v>
      </c>
      <c r="I4708" s="10">
        <f>IF(OR(D4708="", F4708=""), "", F4708 * VLOOKUP(D4708, Products!A:E, 5, FALSE) * (1 - G4708))</f>
        <v>3738.33</v>
      </c>
      <c r="J4708" s="10"/>
    </row>
    <row r="4709" spans="1:10" ht="15.75" customHeight="1" x14ac:dyDescent="0.3">
      <c r="A4709" s="5" t="s">
        <v>5576</v>
      </c>
      <c r="B4709" s="11">
        <v>45465</v>
      </c>
      <c r="C4709" s="5" t="s">
        <v>826</v>
      </c>
      <c r="D4709" s="5" t="s">
        <v>291</v>
      </c>
      <c r="E4709" s="5" t="s">
        <v>25</v>
      </c>
      <c r="F4709" s="5">
        <v>5</v>
      </c>
      <c r="G4709" s="19">
        <v>0</v>
      </c>
      <c r="H4709" s="5" t="s">
        <v>776</v>
      </c>
      <c r="I4709" s="10">
        <f>IF(OR(D4709="", F4709=""), "", F4709 * VLOOKUP(D4709, Products!A:E, 5, FALSE) * (1 - G4709))</f>
        <v>5223.2000000000007</v>
      </c>
      <c r="J4709" s="10"/>
    </row>
    <row r="4710" spans="1:10" ht="15.75" customHeight="1" x14ac:dyDescent="0.3">
      <c r="A4710" s="5" t="s">
        <v>5577</v>
      </c>
      <c r="B4710" s="11">
        <v>45467</v>
      </c>
      <c r="C4710" s="5" t="s">
        <v>842</v>
      </c>
      <c r="D4710" s="5" t="s">
        <v>291</v>
      </c>
      <c r="E4710" s="5" t="s">
        <v>21</v>
      </c>
      <c r="F4710" s="5">
        <v>5</v>
      </c>
      <c r="G4710" s="19">
        <v>0.05</v>
      </c>
      <c r="H4710" s="5" t="s">
        <v>697</v>
      </c>
      <c r="I4710" s="10">
        <f>IF(OR(D4710="", F4710=""), "", F4710 * VLOOKUP(D4710, Products!A:E, 5, FALSE) * (1 - G4710))</f>
        <v>4962.0400000000009</v>
      </c>
      <c r="J4710" s="10"/>
    </row>
    <row r="4711" spans="1:10" ht="15.75" customHeight="1" x14ac:dyDescent="0.3">
      <c r="A4711" s="5" t="s">
        <v>5578</v>
      </c>
      <c r="B4711" s="11">
        <v>45519</v>
      </c>
      <c r="C4711" s="5" t="s">
        <v>522</v>
      </c>
      <c r="D4711" s="5" t="s">
        <v>103</v>
      </c>
      <c r="E4711" s="5" t="s">
        <v>25</v>
      </c>
      <c r="F4711" s="5">
        <v>5</v>
      </c>
      <c r="G4711" s="19">
        <v>0.05</v>
      </c>
      <c r="H4711" s="5" t="s">
        <v>697</v>
      </c>
      <c r="I4711" s="10">
        <f>IF(OR(D4711="", F4711=""), "", F4711 * VLOOKUP(D4711, Products!A:E, 5, FALSE) * (1 - G4711))</f>
        <v>1284.6375</v>
      </c>
      <c r="J4711" s="10"/>
    </row>
    <row r="4712" spans="1:10" ht="15.75" customHeight="1" x14ac:dyDescent="0.3">
      <c r="A4712" s="5" t="s">
        <v>5579</v>
      </c>
      <c r="B4712" s="11">
        <v>45556</v>
      </c>
      <c r="C4712" s="5" t="s">
        <v>317</v>
      </c>
      <c r="D4712" s="5" t="s">
        <v>256</v>
      </c>
      <c r="E4712" s="5" t="s">
        <v>29</v>
      </c>
      <c r="F4712" s="5">
        <v>4</v>
      </c>
      <c r="G4712" s="19">
        <v>0</v>
      </c>
      <c r="H4712" s="5" t="s">
        <v>776</v>
      </c>
      <c r="I4712" s="10">
        <f>IF(OR(D4712="", F4712=""), "", F4712 * VLOOKUP(D4712, Products!A:E, 5, FALSE) * (1 - G4712))</f>
        <v>6540.04</v>
      </c>
      <c r="J4712" s="10"/>
    </row>
    <row r="4713" spans="1:10" ht="15.75" customHeight="1" x14ac:dyDescent="0.3">
      <c r="A4713" s="5" t="s">
        <v>5580</v>
      </c>
      <c r="B4713" s="11">
        <v>45467</v>
      </c>
      <c r="C4713" s="5" t="s">
        <v>722</v>
      </c>
      <c r="D4713" s="5" t="s">
        <v>175</v>
      </c>
      <c r="E4713" s="5" t="s">
        <v>25</v>
      </c>
      <c r="F4713" s="5">
        <v>4</v>
      </c>
      <c r="G4713" s="19">
        <v>0</v>
      </c>
      <c r="H4713" s="5" t="s">
        <v>776</v>
      </c>
      <c r="I4713" s="10">
        <f>IF(OR(D4713="", F4713=""), "", F4713 * VLOOKUP(D4713, Products!A:E, 5, FALSE) * (1 - G4713))</f>
        <v>5088.92</v>
      </c>
      <c r="J4713" s="10"/>
    </row>
    <row r="4714" spans="1:10" ht="15.75" customHeight="1" x14ac:dyDescent="0.3">
      <c r="A4714" s="5" t="s">
        <v>5581</v>
      </c>
      <c r="B4714" s="11">
        <v>45288</v>
      </c>
      <c r="C4714" s="5" t="s">
        <v>567</v>
      </c>
      <c r="D4714" s="5" t="s">
        <v>291</v>
      </c>
      <c r="E4714" s="5" t="s">
        <v>21</v>
      </c>
      <c r="F4714" s="5">
        <v>5</v>
      </c>
      <c r="G4714" s="19">
        <v>0.05</v>
      </c>
      <c r="H4714" s="5" t="s">
        <v>637</v>
      </c>
      <c r="I4714" s="10">
        <f>IF(OR(D4714="", F4714=""), "", F4714 * VLOOKUP(D4714, Products!A:E, 5, FALSE) * (1 - G4714))</f>
        <v>4962.0400000000009</v>
      </c>
      <c r="J4714" s="10"/>
    </row>
    <row r="4715" spans="1:10" ht="15.75" customHeight="1" x14ac:dyDescent="0.3">
      <c r="A4715" s="5" t="s">
        <v>5582</v>
      </c>
      <c r="B4715" s="11">
        <v>45418</v>
      </c>
      <c r="C4715" s="5" t="s">
        <v>628</v>
      </c>
      <c r="D4715" s="5" t="s">
        <v>153</v>
      </c>
      <c r="E4715" s="5" t="s">
        <v>21</v>
      </c>
      <c r="F4715" s="5">
        <v>3</v>
      </c>
      <c r="G4715" s="19">
        <v>0.15</v>
      </c>
      <c r="H4715" s="5" t="s">
        <v>454</v>
      </c>
      <c r="I4715" s="10">
        <f>IF(OR(D4715="", F4715=""), "", F4715 * VLOOKUP(D4715, Products!A:E, 5, FALSE) * (1 - G4715))</f>
        <v>3792.8955000000001</v>
      </c>
      <c r="J4715" s="10"/>
    </row>
    <row r="4716" spans="1:10" ht="15.75" customHeight="1" x14ac:dyDescent="0.3">
      <c r="A4716" s="5" t="s">
        <v>5583</v>
      </c>
      <c r="B4716" s="11">
        <v>45880</v>
      </c>
      <c r="C4716" s="5" t="s">
        <v>550</v>
      </c>
      <c r="D4716" s="5" t="s">
        <v>272</v>
      </c>
      <c r="E4716" s="5" t="s">
        <v>21</v>
      </c>
      <c r="F4716" s="5">
        <v>4</v>
      </c>
      <c r="G4716" s="19">
        <v>0</v>
      </c>
      <c r="H4716" s="5" t="s">
        <v>637</v>
      </c>
      <c r="I4716" s="10">
        <f>IF(OR(D4716="", F4716=""), "", F4716 * VLOOKUP(D4716, Products!A:E, 5, FALSE) * (1 - G4716))</f>
        <v>4661.4799999999996</v>
      </c>
      <c r="J4716" s="10"/>
    </row>
    <row r="4717" spans="1:10" ht="15.75" customHeight="1" x14ac:dyDescent="0.3">
      <c r="A4717" s="5" t="s">
        <v>5584</v>
      </c>
      <c r="B4717" s="11">
        <v>45448</v>
      </c>
      <c r="C4717" s="5" t="s">
        <v>583</v>
      </c>
      <c r="D4717" s="5" t="s">
        <v>285</v>
      </c>
      <c r="E4717" s="5" t="s">
        <v>25</v>
      </c>
      <c r="F4717" s="5">
        <v>4</v>
      </c>
      <c r="G4717" s="19">
        <v>0.1</v>
      </c>
      <c r="H4717" s="5" t="s">
        <v>697</v>
      </c>
      <c r="I4717" s="10">
        <f>IF(OR(D4717="", F4717=""), "", F4717 * VLOOKUP(D4717, Products!A:E, 5, FALSE) * (1 - G4717))</f>
        <v>1397.7360000000001</v>
      </c>
      <c r="J4717" s="10"/>
    </row>
    <row r="4718" spans="1:10" ht="15.75" customHeight="1" x14ac:dyDescent="0.3">
      <c r="A4718" s="5" t="s">
        <v>5585</v>
      </c>
      <c r="B4718" s="11">
        <v>45459</v>
      </c>
      <c r="C4718" s="5" t="s">
        <v>819</v>
      </c>
      <c r="D4718" s="5" t="s">
        <v>291</v>
      </c>
      <c r="E4718" s="5" t="s">
        <v>37</v>
      </c>
      <c r="F4718" s="5">
        <v>3</v>
      </c>
      <c r="G4718" s="19">
        <v>0</v>
      </c>
      <c r="H4718" s="5" t="s">
        <v>776</v>
      </c>
      <c r="I4718" s="10">
        <f>IF(OR(D4718="", F4718=""), "", F4718 * VLOOKUP(D4718, Products!A:E, 5, FALSE) * (1 - G4718))</f>
        <v>3133.92</v>
      </c>
      <c r="J4718" s="10"/>
    </row>
    <row r="4719" spans="1:10" ht="15.75" customHeight="1" x14ac:dyDescent="0.3">
      <c r="A4719" s="5" t="s">
        <v>5586</v>
      </c>
      <c r="B4719" s="11">
        <v>45299</v>
      </c>
      <c r="C4719" s="5" t="s">
        <v>705</v>
      </c>
      <c r="D4719" s="5" t="s">
        <v>122</v>
      </c>
      <c r="E4719" s="5" t="s">
        <v>29</v>
      </c>
      <c r="F4719" s="5">
        <v>2</v>
      </c>
      <c r="G4719" s="19">
        <v>0.15</v>
      </c>
      <c r="H4719" s="5" t="s">
        <v>697</v>
      </c>
      <c r="I4719" s="10">
        <f>IF(OR(D4719="", F4719=""), "", F4719 * VLOOKUP(D4719, Products!A:E, 5, FALSE) * (1 - G4719))</f>
        <v>2996.9639999999999</v>
      </c>
      <c r="J4719" s="10"/>
    </row>
    <row r="4720" spans="1:10" ht="15.75" customHeight="1" x14ac:dyDescent="0.3">
      <c r="A4720" s="5" t="s">
        <v>5587</v>
      </c>
      <c r="B4720" s="11">
        <v>45473</v>
      </c>
      <c r="C4720" s="5" t="s">
        <v>357</v>
      </c>
      <c r="D4720" s="5" t="s">
        <v>180</v>
      </c>
      <c r="E4720" s="5" t="s">
        <v>29</v>
      </c>
      <c r="F4720" s="5">
        <v>4</v>
      </c>
      <c r="G4720" s="19">
        <v>0</v>
      </c>
      <c r="H4720" s="5" t="s">
        <v>637</v>
      </c>
      <c r="I4720" s="10">
        <f>IF(OR(D4720="", F4720=""), "", F4720 * VLOOKUP(D4720, Products!A:E, 5, FALSE) * (1 - G4720))</f>
        <v>2695.12</v>
      </c>
      <c r="J4720" s="10"/>
    </row>
    <row r="4721" spans="1:10" ht="15.75" customHeight="1" x14ac:dyDescent="0.3">
      <c r="A4721" s="5" t="s">
        <v>5588</v>
      </c>
      <c r="B4721" s="11">
        <v>45216</v>
      </c>
      <c r="C4721" s="5" t="s">
        <v>571</v>
      </c>
      <c r="D4721" s="5" t="s">
        <v>109</v>
      </c>
      <c r="E4721" s="5" t="s">
        <v>25</v>
      </c>
      <c r="F4721" s="5">
        <v>2</v>
      </c>
      <c r="G4721" s="19">
        <v>0</v>
      </c>
      <c r="H4721" s="5" t="s">
        <v>697</v>
      </c>
      <c r="I4721" s="10">
        <f>IF(OR(D4721="", F4721=""), "", F4721 * VLOOKUP(D4721, Products!A:E, 5, FALSE) * (1 - G4721))</f>
        <v>3717.5</v>
      </c>
      <c r="J4721" s="10"/>
    </row>
    <row r="4722" spans="1:10" ht="15.75" customHeight="1" x14ac:dyDescent="0.3">
      <c r="A4722" s="5" t="s">
        <v>5589</v>
      </c>
      <c r="B4722" s="11">
        <v>45396</v>
      </c>
      <c r="C4722" s="5" t="s">
        <v>353</v>
      </c>
      <c r="D4722" s="5" t="s">
        <v>168</v>
      </c>
      <c r="E4722" s="5" t="s">
        <v>33</v>
      </c>
      <c r="F4722" s="5">
        <v>1</v>
      </c>
      <c r="G4722" s="19">
        <v>0</v>
      </c>
      <c r="H4722" s="5" t="s">
        <v>454</v>
      </c>
      <c r="I4722" s="10">
        <f>IF(OR(D4722="", F4722=""), "", F4722 * VLOOKUP(D4722, Products!A:E, 5, FALSE) * (1 - G4722))</f>
        <v>1015.76</v>
      </c>
      <c r="J4722" s="10"/>
    </row>
    <row r="4723" spans="1:10" ht="15.75" customHeight="1" x14ac:dyDescent="0.3">
      <c r="A4723" s="5" t="s">
        <v>5590</v>
      </c>
      <c r="B4723" s="11">
        <v>45560</v>
      </c>
      <c r="C4723" s="5" t="s">
        <v>440</v>
      </c>
      <c r="D4723" s="5" t="s">
        <v>269</v>
      </c>
      <c r="E4723" s="5" t="s">
        <v>21</v>
      </c>
      <c r="F4723" s="5">
        <v>4</v>
      </c>
      <c r="G4723" s="19">
        <v>0.1</v>
      </c>
      <c r="H4723" s="5" t="s">
        <v>697</v>
      </c>
      <c r="I4723" s="10">
        <f>IF(OR(D4723="", F4723=""), "", F4723 * VLOOKUP(D4723, Products!A:E, 5, FALSE) * (1 - G4723))</f>
        <v>6764.6880000000001</v>
      </c>
      <c r="J4723" s="10"/>
    </row>
    <row r="4724" spans="1:10" ht="15.75" customHeight="1" x14ac:dyDescent="0.3">
      <c r="A4724" s="5" t="s">
        <v>5591</v>
      </c>
      <c r="B4724" s="11">
        <v>45789</v>
      </c>
      <c r="C4724" s="5" t="s">
        <v>357</v>
      </c>
      <c r="D4724" s="5" t="s">
        <v>82</v>
      </c>
      <c r="E4724" s="5" t="s">
        <v>21</v>
      </c>
      <c r="F4724" s="5">
        <v>4</v>
      </c>
      <c r="G4724" s="19">
        <v>0.1</v>
      </c>
      <c r="H4724" s="5" t="s">
        <v>454</v>
      </c>
      <c r="I4724" s="10">
        <f>IF(OR(D4724="", F4724=""), "", F4724 * VLOOKUP(D4724, Products!A:E, 5, FALSE) * (1 - G4724))</f>
        <v>4295.1239999999998</v>
      </c>
      <c r="J4724" s="10"/>
    </row>
    <row r="4725" spans="1:10" ht="15.75" customHeight="1" x14ac:dyDescent="0.3">
      <c r="A4725" s="5" t="s">
        <v>5592</v>
      </c>
      <c r="B4725" s="11">
        <v>45734</v>
      </c>
      <c r="C4725" s="5" t="s">
        <v>443</v>
      </c>
      <c r="D4725" s="5" t="s">
        <v>162</v>
      </c>
      <c r="E4725" s="5" t="s">
        <v>21</v>
      </c>
      <c r="F4725" s="5">
        <v>2</v>
      </c>
      <c r="G4725" s="19">
        <v>0.15</v>
      </c>
      <c r="H4725" s="5" t="s">
        <v>697</v>
      </c>
      <c r="I4725" s="10">
        <f>IF(OR(D4725="", F4725=""), "", F4725 * VLOOKUP(D4725, Products!A:E, 5, FALSE) * (1 - G4725))</f>
        <v>729.55499999999995</v>
      </c>
      <c r="J4725" s="10"/>
    </row>
    <row r="4726" spans="1:10" ht="15.75" customHeight="1" x14ac:dyDescent="0.3">
      <c r="A4726" s="5" t="s">
        <v>5593</v>
      </c>
      <c r="B4726" s="11">
        <v>45440</v>
      </c>
      <c r="C4726" s="5" t="s">
        <v>608</v>
      </c>
      <c r="D4726" s="5" t="s">
        <v>276</v>
      </c>
      <c r="E4726" s="5" t="s">
        <v>33</v>
      </c>
      <c r="F4726" s="5">
        <v>4</v>
      </c>
      <c r="G4726" s="19">
        <v>0.1</v>
      </c>
      <c r="H4726" s="5" t="s">
        <v>637</v>
      </c>
      <c r="I4726" s="10">
        <f>IF(OR(D4726="", F4726=""), "", F4726 * VLOOKUP(D4726, Products!A:E, 5, FALSE) * (1 - G4726))</f>
        <v>4309.848</v>
      </c>
      <c r="J4726" s="10"/>
    </row>
    <row r="4727" spans="1:10" ht="15.75" customHeight="1" x14ac:dyDescent="0.3">
      <c r="A4727" s="5" t="s">
        <v>5594</v>
      </c>
      <c r="B4727" s="11">
        <v>45373</v>
      </c>
      <c r="C4727" s="5" t="s">
        <v>567</v>
      </c>
      <c r="D4727" s="5" t="s">
        <v>280</v>
      </c>
      <c r="E4727" s="5" t="s">
        <v>21</v>
      </c>
      <c r="F4727" s="5">
        <v>4</v>
      </c>
      <c r="G4727" s="19">
        <v>0.05</v>
      </c>
      <c r="H4727" s="5" t="s">
        <v>454</v>
      </c>
      <c r="I4727" s="10">
        <f>IF(OR(D4727="", F4727=""), "", F4727 * VLOOKUP(D4727, Products!A:E, 5, FALSE) * (1 - G4727))</f>
        <v>4622.1679999999997</v>
      </c>
      <c r="J4727" s="10"/>
    </row>
    <row r="4728" spans="1:10" ht="15.75" customHeight="1" x14ac:dyDescent="0.3">
      <c r="A4728" s="5" t="s">
        <v>5595</v>
      </c>
      <c r="B4728" s="11">
        <v>45659</v>
      </c>
      <c r="C4728" s="5" t="s">
        <v>729</v>
      </c>
      <c r="D4728" s="5" t="s">
        <v>221</v>
      </c>
      <c r="E4728" s="5" t="s">
        <v>29</v>
      </c>
      <c r="F4728" s="5">
        <v>2</v>
      </c>
      <c r="G4728" s="19">
        <v>0</v>
      </c>
      <c r="H4728" s="5" t="s">
        <v>454</v>
      </c>
      <c r="I4728" s="10">
        <f>IF(OR(D4728="", F4728=""), "", F4728 * VLOOKUP(D4728, Products!A:E, 5, FALSE) * (1 - G4728))</f>
        <v>3124.86</v>
      </c>
      <c r="J4728" s="10"/>
    </row>
    <row r="4729" spans="1:10" ht="15.75" customHeight="1" x14ac:dyDescent="0.3">
      <c r="A4729" s="5" t="s">
        <v>5596</v>
      </c>
      <c r="B4729" s="11">
        <v>45557</v>
      </c>
      <c r="C4729" s="5" t="s">
        <v>575</v>
      </c>
      <c r="D4729" s="5" t="s">
        <v>221</v>
      </c>
      <c r="E4729" s="5" t="s">
        <v>21</v>
      </c>
      <c r="F4729" s="5">
        <v>4</v>
      </c>
      <c r="G4729" s="19">
        <v>0.1</v>
      </c>
      <c r="H4729" s="5" t="s">
        <v>454</v>
      </c>
      <c r="I4729" s="10">
        <f>IF(OR(D4729="", F4729=""), "", F4729 * VLOOKUP(D4729, Products!A:E, 5, FALSE) * (1 - G4729))</f>
        <v>5624.7480000000005</v>
      </c>
      <c r="J4729" s="10"/>
    </row>
    <row r="4730" spans="1:10" ht="15.75" customHeight="1" x14ac:dyDescent="0.3">
      <c r="A4730" s="5" t="s">
        <v>5597</v>
      </c>
      <c r="B4730" s="11">
        <v>45777</v>
      </c>
      <c r="C4730" s="5" t="s">
        <v>229</v>
      </c>
      <c r="D4730" s="5" t="s">
        <v>267</v>
      </c>
      <c r="E4730" s="5" t="s">
        <v>37</v>
      </c>
      <c r="F4730" s="5">
        <v>5</v>
      </c>
      <c r="G4730" s="19">
        <v>0.15</v>
      </c>
      <c r="H4730" s="5" t="s">
        <v>776</v>
      </c>
      <c r="I4730" s="10">
        <f>IF(OR(D4730="", F4730=""), "", F4730 * VLOOKUP(D4730, Products!A:E, 5, FALSE) * (1 - G4730))</f>
        <v>5467.8374999999996</v>
      </c>
      <c r="J4730" s="10"/>
    </row>
    <row r="4731" spans="1:10" ht="15.75" customHeight="1" x14ac:dyDescent="0.3">
      <c r="A4731" s="5" t="s">
        <v>5598</v>
      </c>
      <c r="B4731" s="11">
        <v>45552</v>
      </c>
      <c r="C4731" s="5" t="s">
        <v>209</v>
      </c>
      <c r="D4731" s="5" t="s">
        <v>122</v>
      </c>
      <c r="E4731" s="5" t="s">
        <v>33</v>
      </c>
      <c r="F4731" s="5">
        <v>5</v>
      </c>
      <c r="G4731" s="19">
        <v>0.05</v>
      </c>
      <c r="H4731" s="5" t="s">
        <v>697</v>
      </c>
      <c r="I4731" s="10">
        <f>IF(OR(D4731="", F4731=""), "", F4731 * VLOOKUP(D4731, Products!A:E, 5, FALSE) * (1 - G4731))</f>
        <v>8373.8700000000008</v>
      </c>
      <c r="J4731" s="10"/>
    </row>
    <row r="4732" spans="1:10" ht="15.75" customHeight="1" x14ac:dyDescent="0.3">
      <c r="A4732" s="5" t="s">
        <v>5599</v>
      </c>
      <c r="B4732" s="11">
        <v>45474</v>
      </c>
      <c r="C4732" s="5" t="s">
        <v>455</v>
      </c>
      <c r="D4732" s="5" t="s">
        <v>140</v>
      </c>
      <c r="E4732" s="5" t="s">
        <v>25</v>
      </c>
      <c r="F4732" s="5">
        <v>1</v>
      </c>
      <c r="G4732" s="19">
        <v>0.05</v>
      </c>
      <c r="H4732" s="5" t="s">
        <v>454</v>
      </c>
      <c r="I4732" s="10">
        <f>IF(OR(D4732="", F4732=""), "", F4732 * VLOOKUP(D4732, Products!A:E, 5, FALSE) * (1 - G4732))</f>
        <v>24.291499999999999</v>
      </c>
      <c r="J4732" s="10"/>
    </row>
    <row r="4733" spans="1:10" ht="15.75" customHeight="1" x14ac:dyDescent="0.3">
      <c r="A4733" s="5" t="s">
        <v>5600</v>
      </c>
      <c r="B4733" s="11">
        <v>45627</v>
      </c>
      <c r="C4733" s="5" t="s">
        <v>695</v>
      </c>
      <c r="D4733" s="5" t="s">
        <v>65</v>
      </c>
      <c r="E4733" s="5" t="s">
        <v>25</v>
      </c>
      <c r="F4733" s="5">
        <v>4</v>
      </c>
      <c r="G4733" s="19">
        <v>0.1</v>
      </c>
      <c r="H4733" s="5" t="s">
        <v>454</v>
      </c>
      <c r="I4733" s="10">
        <f>IF(OR(D4733="", F4733=""), "", F4733 * VLOOKUP(D4733, Products!A:E, 5, FALSE) * (1 - G4733))</f>
        <v>5306.8319999999994</v>
      </c>
      <c r="J4733" s="10"/>
    </row>
    <row r="4734" spans="1:10" ht="15.75" customHeight="1" x14ac:dyDescent="0.3">
      <c r="A4734" s="5" t="s">
        <v>5601</v>
      </c>
      <c r="B4734" s="11">
        <v>45591</v>
      </c>
      <c r="C4734" s="5" t="s">
        <v>872</v>
      </c>
      <c r="D4734" s="5" t="s">
        <v>70</v>
      </c>
      <c r="E4734" s="5" t="s">
        <v>29</v>
      </c>
      <c r="F4734" s="5">
        <v>1</v>
      </c>
      <c r="G4734" s="19">
        <v>0.15</v>
      </c>
      <c r="H4734" s="5" t="s">
        <v>697</v>
      </c>
      <c r="I4734" s="10">
        <f>IF(OR(D4734="", F4734=""), "", F4734 * VLOOKUP(D4734, Products!A:E, 5, FALSE) * (1 - G4734))</f>
        <v>104.7115</v>
      </c>
      <c r="J4734" s="10"/>
    </row>
    <row r="4735" spans="1:10" ht="15.75" customHeight="1" x14ac:dyDescent="0.3">
      <c r="A4735" s="5" t="s">
        <v>5602</v>
      </c>
      <c r="B4735" s="11">
        <v>45520</v>
      </c>
      <c r="C4735" s="5" t="s">
        <v>376</v>
      </c>
      <c r="D4735" s="5" t="s">
        <v>153</v>
      </c>
      <c r="E4735" s="5" t="s">
        <v>29</v>
      </c>
      <c r="F4735" s="5">
        <v>3</v>
      </c>
      <c r="G4735" s="19">
        <v>0.15</v>
      </c>
      <c r="H4735" s="5" t="s">
        <v>454</v>
      </c>
      <c r="I4735" s="10">
        <f>IF(OR(D4735="", F4735=""), "", F4735 * VLOOKUP(D4735, Products!A:E, 5, FALSE) * (1 - G4735))</f>
        <v>3792.8955000000001</v>
      </c>
      <c r="J4735" s="10"/>
    </row>
    <row r="4736" spans="1:10" ht="15.75" customHeight="1" x14ac:dyDescent="0.3">
      <c r="A4736" s="5" t="s">
        <v>5603</v>
      </c>
      <c r="B4736" s="11">
        <v>45614</v>
      </c>
      <c r="C4736" s="5" t="s">
        <v>353</v>
      </c>
      <c r="D4736" s="5" t="s">
        <v>103</v>
      </c>
      <c r="E4736" s="5" t="s">
        <v>37</v>
      </c>
      <c r="F4736" s="5">
        <v>4</v>
      </c>
      <c r="G4736" s="19">
        <v>0.1</v>
      </c>
      <c r="H4736" s="5" t="s">
        <v>637</v>
      </c>
      <c r="I4736" s="10">
        <f>IF(OR(D4736="", F4736=""), "", F4736 * VLOOKUP(D4736, Products!A:E, 5, FALSE) * (1 - G4736))</f>
        <v>973.62</v>
      </c>
      <c r="J4736" s="10"/>
    </row>
    <row r="4737" spans="1:10" ht="15.75" customHeight="1" x14ac:dyDescent="0.3">
      <c r="A4737" s="5" t="s">
        <v>5604</v>
      </c>
      <c r="B4737" s="11">
        <v>45810</v>
      </c>
      <c r="C4737" s="5" t="s">
        <v>703</v>
      </c>
      <c r="D4737" s="5" t="s">
        <v>95</v>
      </c>
      <c r="E4737" s="5" t="s">
        <v>21</v>
      </c>
      <c r="F4737" s="5">
        <v>2</v>
      </c>
      <c r="G4737" s="19">
        <v>0.1</v>
      </c>
      <c r="H4737" s="5" t="s">
        <v>454</v>
      </c>
      <c r="I4737" s="10">
        <f>IF(OR(D4737="", F4737=""), "", F4737 * VLOOKUP(D4737, Products!A:E, 5, FALSE) * (1 - G4737))</f>
        <v>2416.9500000000003</v>
      </c>
      <c r="J4737" s="10"/>
    </row>
    <row r="4738" spans="1:10" ht="15.75" customHeight="1" x14ac:dyDescent="0.3">
      <c r="A4738" s="5" t="s">
        <v>5605</v>
      </c>
      <c r="B4738" s="11">
        <v>45305</v>
      </c>
      <c r="C4738" s="5" t="s">
        <v>872</v>
      </c>
      <c r="D4738" s="5" t="s">
        <v>147</v>
      </c>
      <c r="E4738" s="5" t="s">
        <v>37</v>
      </c>
      <c r="F4738" s="5">
        <v>3</v>
      </c>
      <c r="G4738" s="19">
        <v>0.05</v>
      </c>
      <c r="H4738" s="5" t="s">
        <v>637</v>
      </c>
      <c r="I4738" s="10">
        <f>IF(OR(D4738="", F4738=""), "", F4738 * VLOOKUP(D4738, Products!A:E, 5, FALSE) * (1 - G4738))</f>
        <v>5353.6394999999993</v>
      </c>
      <c r="J4738" s="10"/>
    </row>
    <row r="4739" spans="1:10" ht="15.75" customHeight="1" x14ac:dyDescent="0.3">
      <c r="A4739" s="5" t="s">
        <v>5606</v>
      </c>
      <c r="B4739" s="11">
        <v>45466</v>
      </c>
      <c r="C4739" s="5" t="s">
        <v>862</v>
      </c>
      <c r="D4739" s="5" t="s">
        <v>77</v>
      </c>
      <c r="E4739" s="5" t="s">
        <v>25</v>
      </c>
      <c r="F4739" s="5">
        <v>4</v>
      </c>
      <c r="G4739" s="19">
        <v>0</v>
      </c>
      <c r="H4739" s="5" t="s">
        <v>454</v>
      </c>
      <c r="I4739" s="10">
        <f>IF(OR(D4739="", F4739=""), "", F4739 * VLOOKUP(D4739, Products!A:E, 5, FALSE) * (1 - G4739))</f>
        <v>994.28</v>
      </c>
      <c r="J4739" s="10"/>
    </row>
    <row r="4740" spans="1:10" ht="15.75" customHeight="1" x14ac:dyDescent="0.3">
      <c r="A4740" s="5" t="s">
        <v>5607</v>
      </c>
      <c r="B4740" s="11">
        <v>45253</v>
      </c>
      <c r="C4740" s="5" t="s">
        <v>802</v>
      </c>
      <c r="D4740" s="5" t="s">
        <v>168</v>
      </c>
      <c r="E4740" s="5" t="s">
        <v>33</v>
      </c>
      <c r="F4740" s="5">
        <v>2</v>
      </c>
      <c r="G4740" s="19">
        <v>0.05</v>
      </c>
      <c r="H4740" s="5" t="s">
        <v>637</v>
      </c>
      <c r="I4740" s="10">
        <f>IF(OR(D4740="", F4740=""), "", F4740 * VLOOKUP(D4740, Products!A:E, 5, FALSE) * (1 - G4740))</f>
        <v>1929.944</v>
      </c>
      <c r="J4740" s="10"/>
    </row>
    <row r="4741" spans="1:10" ht="15.75" customHeight="1" x14ac:dyDescent="0.3">
      <c r="A4741" s="5" t="s">
        <v>5608</v>
      </c>
      <c r="B4741" s="11">
        <v>45888</v>
      </c>
      <c r="C4741" s="5" t="s">
        <v>840</v>
      </c>
      <c r="D4741" s="5" t="s">
        <v>57</v>
      </c>
      <c r="E4741" s="5" t="s">
        <v>29</v>
      </c>
      <c r="F4741" s="5">
        <v>1</v>
      </c>
      <c r="G4741" s="19">
        <v>0</v>
      </c>
      <c r="H4741" s="5" t="s">
        <v>776</v>
      </c>
      <c r="I4741" s="10">
        <f>IF(OR(D4741="", F4741=""), "", F4741 * VLOOKUP(D4741, Products!A:E, 5, FALSE) * (1 - G4741))</f>
        <v>1396.22</v>
      </c>
      <c r="J4741" s="10"/>
    </row>
    <row r="4742" spans="1:10" ht="15.75" customHeight="1" x14ac:dyDescent="0.3">
      <c r="A4742" s="5" t="s">
        <v>5609</v>
      </c>
      <c r="B4742" s="11">
        <v>45683</v>
      </c>
      <c r="C4742" s="5" t="s">
        <v>724</v>
      </c>
      <c r="D4742" s="5" t="s">
        <v>122</v>
      </c>
      <c r="E4742" s="5" t="s">
        <v>29</v>
      </c>
      <c r="F4742" s="5">
        <v>2</v>
      </c>
      <c r="G4742" s="19">
        <v>0.1</v>
      </c>
      <c r="H4742" s="5" t="s">
        <v>454</v>
      </c>
      <c r="I4742" s="10">
        <f>IF(OR(D4742="", F4742=""), "", F4742 * VLOOKUP(D4742, Products!A:E, 5, FALSE) * (1 - G4742))</f>
        <v>3173.2560000000003</v>
      </c>
      <c r="J4742" s="10"/>
    </row>
    <row r="4743" spans="1:10" ht="15.75" customHeight="1" x14ac:dyDescent="0.3">
      <c r="A4743" s="5" t="s">
        <v>5610</v>
      </c>
      <c r="B4743" s="11">
        <v>45782</v>
      </c>
      <c r="C4743" s="5" t="s">
        <v>624</v>
      </c>
      <c r="D4743" s="5" t="s">
        <v>95</v>
      </c>
      <c r="E4743" s="5" t="s">
        <v>29</v>
      </c>
      <c r="F4743" s="5">
        <v>2</v>
      </c>
      <c r="G4743" s="19">
        <v>0</v>
      </c>
      <c r="H4743" s="5" t="s">
        <v>637</v>
      </c>
      <c r="I4743" s="10">
        <f>IF(OR(D4743="", F4743=""), "", F4743 * VLOOKUP(D4743, Products!A:E, 5, FALSE) * (1 - G4743))</f>
        <v>2685.5</v>
      </c>
      <c r="J4743" s="10"/>
    </row>
    <row r="4744" spans="1:10" ht="15.75" customHeight="1" x14ac:dyDescent="0.3">
      <c r="A4744" s="5" t="s">
        <v>5611</v>
      </c>
      <c r="B4744" s="11">
        <v>45431</v>
      </c>
      <c r="C4744" s="5" t="s">
        <v>833</v>
      </c>
      <c r="D4744" s="5" t="s">
        <v>180</v>
      </c>
      <c r="E4744" s="5" t="s">
        <v>29</v>
      </c>
      <c r="F4744" s="5">
        <v>2</v>
      </c>
      <c r="G4744" s="19">
        <v>0.1</v>
      </c>
      <c r="H4744" s="5" t="s">
        <v>776</v>
      </c>
      <c r="I4744" s="10">
        <f>IF(OR(D4744="", F4744=""), "", F4744 * VLOOKUP(D4744, Products!A:E, 5, FALSE) * (1 - G4744))</f>
        <v>1212.8040000000001</v>
      </c>
      <c r="J4744" s="10"/>
    </row>
    <row r="4745" spans="1:10" ht="15.75" customHeight="1" x14ac:dyDescent="0.3">
      <c r="A4745" s="5" t="s">
        <v>5612</v>
      </c>
      <c r="B4745" s="11">
        <v>45815</v>
      </c>
      <c r="C4745" s="5" t="s">
        <v>129</v>
      </c>
      <c r="D4745" s="5" t="s">
        <v>200</v>
      </c>
      <c r="E4745" s="5" t="s">
        <v>37</v>
      </c>
      <c r="F4745" s="5">
        <v>2</v>
      </c>
      <c r="G4745" s="19">
        <v>0.15</v>
      </c>
      <c r="H4745" s="5" t="s">
        <v>776</v>
      </c>
      <c r="I4745" s="10">
        <f>IF(OR(D4745="", F4745=""), "", F4745 * VLOOKUP(D4745, Products!A:E, 5, FALSE) * (1 - G4745))</f>
        <v>1862.7239999999999</v>
      </c>
      <c r="J4745" s="10"/>
    </row>
    <row r="4746" spans="1:10" ht="15.75" customHeight="1" x14ac:dyDescent="0.3">
      <c r="A4746" s="5" t="s">
        <v>5613</v>
      </c>
      <c r="B4746" s="11">
        <v>45334</v>
      </c>
      <c r="C4746" s="5" t="s">
        <v>420</v>
      </c>
      <c r="D4746" s="5" t="s">
        <v>89</v>
      </c>
      <c r="E4746" s="5" t="s">
        <v>33</v>
      </c>
      <c r="F4746" s="5">
        <v>1</v>
      </c>
      <c r="G4746" s="19">
        <v>0.1</v>
      </c>
      <c r="H4746" s="5" t="s">
        <v>637</v>
      </c>
      <c r="I4746" s="10">
        <f>IF(OR(D4746="", F4746=""), "", F4746 * VLOOKUP(D4746, Products!A:E, 5, FALSE) * (1 - G4746))</f>
        <v>1021.3199999999999</v>
      </c>
      <c r="J4746" s="10"/>
    </row>
    <row r="4747" spans="1:10" ht="15.75" customHeight="1" x14ac:dyDescent="0.3">
      <c r="A4747" s="5" t="s">
        <v>5614</v>
      </c>
      <c r="B4747" s="11">
        <v>45662</v>
      </c>
      <c r="C4747" s="5" t="s">
        <v>766</v>
      </c>
      <c r="D4747" s="5" t="s">
        <v>276</v>
      </c>
      <c r="E4747" s="5" t="s">
        <v>33</v>
      </c>
      <c r="F4747" s="5">
        <v>1</v>
      </c>
      <c r="G4747" s="19">
        <v>0.1</v>
      </c>
      <c r="H4747" s="5" t="s">
        <v>697</v>
      </c>
      <c r="I4747" s="10">
        <f>IF(OR(D4747="", F4747=""), "", F4747 * VLOOKUP(D4747, Products!A:E, 5, FALSE) * (1 - G4747))</f>
        <v>1077.462</v>
      </c>
      <c r="J4747" s="10"/>
    </row>
    <row r="4748" spans="1:10" ht="15.75" customHeight="1" x14ac:dyDescent="0.3">
      <c r="A4748" s="5" t="s">
        <v>5615</v>
      </c>
      <c r="B4748" s="11">
        <v>45585</v>
      </c>
      <c r="C4748" s="5" t="s">
        <v>600</v>
      </c>
      <c r="D4748" s="5" t="s">
        <v>109</v>
      </c>
      <c r="E4748" s="5" t="s">
        <v>37</v>
      </c>
      <c r="F4748" s="5">
        <v>5</v>
      </c>
      <c r="G4748" s="19">
        <v>0.1</v>
      </c>
      <c r="H4748" s="5" t="s">
        <v>454</v>
      </c>
      <c r="I4748" s="10">
        <f>IF(OR(D4748="", F4748=""), "", F4748 * VLOOKUP(D4748, Products!A:E, 5, FALSE) * (1 - G4748))</f>
        <v>8364.375</v>
      </c>
      <c r="J4748" s="10"/>
    </row>
    <row r="4749" spans="1:10" ht="15.75" customHeight="1" x14ac:dyDescent="0.3">
      <c r="A4749" s="5" t="s">
        <v>5616</v>
      </c>
      <c r="B4749" s="11">
        <v>45851</v>
      </c>
      <c r="C4749" s="5" t="s">
        <v>368</v>
      </c>
      <c r="D4749" s="5" t="s">
        <v>280</v>
      </c>
      <c r="E4749" s="5" t="s">
        <v>33</v>
      </c>
      <c r="F4749" s="5">
        <v>1</v>
      </c>
      <c r="G4749" s="19">
        <v>0.15</v>
      </c>
      <c r="H4749" s="5" t="s">
        <v>637</v>
      </c>
      <c r="I4749" s="10">
        <f>IF(OR(D4749="", F4749=""), "", F4749 * VLOOKUP(D4749, Products!A:E, 5, FALSE) * (1 - G4749))</f>
        <v>1033.9059999999999</v>
      </c>
      <c r="J4749" s="10"/>
    </row>
    <row r="4750" spans="1:10" ht="15.75" customHeight="1" x14ac:dyDescent="0.3">
      <c r="A4750" s="5" t="s">
        <v>5617</v>
      </c>
      <c r="B4750" s="11">
        <v>45311</v>
      </c>
      <c r="C4750" s="5" t="s">
        <v>203</v>
      </c>
      <c r="D4750" s="5" t="s">
        <v>147</v>
      </c>
      <c r="E4750" s="5" t="s">
        <v>37</v>
      </c>
      <c r="F4750" s="5">
        <v>4</v>
      </c>
      <c r="G4750" s="19">
        <v>0.1</v>
      </c>
      <c r="H4750" s="5" t="s">
        <v>637</v>
      </c>
      <c r="I4750" s="10">
        <f>IF(OR(D4750="", F4750=""), "", F4750 * VLOOKUP(D4750, Products!A:E, 5, FALSE) * (1 - G4750))</f>
        <v>6762.4920000000002</v>
      </c>
      <c r="J4750" s="10"/>
    </row>
    <row r="4751" spans="1:10" ht="15.75" customHeight="1" x14ac:dyDescent="0.3">
      <c r="A4751" s="5" t="s">
        <v>5618</v>
      </c>
      <c r="B4751" s="11">
        <v>45237</v>
      </c>
      <c r="C4751" s="5" t="s">
        <v>412</v>
      </c>
      <c r="D4751" s="5" t="s">
        <v>200</v>
      </c>
      <c r="E4751" s="5" t="s">
        <v>33</v>
      </c>
      <c r="F4751" s="5">
        <v>4</v>
      </c>
      <c r="G4751" s="19">
        <v>0.05</v>
      </c>
      <c r="H4751" s="5" t="s">
        <v>637</v>
      </c>
      <c r="I4751" s="10">
        <f>IF(OR(D4751="", F4751=""), "", F4751 * VLOOKUP(D4751, Products!A:E, 5, FALSE) * (1 - G4751))</f>
        <v>4163.7359999999999</v>
      </c>
      <c r="J4751" s="10"/>
    </row>
    <row r="4752" spans="1:10" ht="15.75" customHeight="1" x14ac:dyDescent="0.3">
      <c r="A4752" s="5" t="s">
        <v>5619</v>
      </c>
      <c r="B4752" s="11">
        <v>45364</v>
      </c>
      <c r="C4752" s="5" t="s">
        <v>859</v>
      </c>
      <c r="D4752" s="5" t="s">
        <v>82</v>
      </c>
      <c r="E4752" s="5" t="s">
        <v>25</v>
      </c>
      <c r="F4752" s="5">
        <v>4</v>
      </c>
      <c r="G4752" s="19">
        <v>0</v>
      </c>
      <c r="H4752" s="5" t="s">
        <v>454</v>
      </c>
      <c r="I4752" s="10">
        <f>IF(OR(D4752="", F4752=""), "", F4752 * VLOOKUP(D4752, Products!A:E, 5, FALSE) * (1 - G4752))</f>
        <v>4772.3599999999997</v>
      </c>
      <c r="J4752" s="10"/>
    </row>
    <row r="4753" spans="1:10" ht="15.75" customHeight="1" x14ac:dyDescent="0.3">
      <c r="A4753" s="5" t="s">
        <v>5620</v>
      </c>
      <c r="B4753" s="11">
        <v>45679</v>
      </c>
      <c r="C4753" s="5" t="s">
        <v>773</v>
      </c>
      <c r="D4753" s="5" t="s">
        <v>128</v>
      </c>
      <c r="E4753" s="5" t="s">
        <v>29</v>
      </c>
      <c r="F4753" s="5">
        <v>1</v>
      </c>
      <c r="G4753" s="19">
        <v>0.1</v>
      </c>
      <c r="H4753" s="5" t="s">
        <v>776</v>
      </c>
      <c r="I4753" s="10">
        <f>IF(OR(D4753="", F4753=""), "", F4753 * VLOOKUP(D4753, Products!A:E, 5, FALSE) * (1 - G4753))</f>
        <v>291.52800000000002</v>
      </c>
      <c r="J4753" s="10"/>
    </row>
    <row r="4754" spans="1:10" ht="15.75" customHeight="1" x14ac:dyDescent="0.3">
      <c r="A4754" s="5" t="s">
        <v>5621</v>
      </c>
      <c r="B4754" s="11">
        <v>45592</v>
      </c>
      <c r="C4754" s="5" t="s">
        <v>171</v>
      </c>
      <c r="D4754" s="5" t="s">
        <v>188</v>
      </c>
      <c r="E4754" s="5" t="s">
        <v>25</v>
      </c>
      <c r="F4754" s="5">
        <v>4</v>
      </c>
      <c r="G4754" s="19">
        <v>0.15</v>
      </c>
      <c r="H4754" s="5" t="s">
        <v>697</v>
      </c>
      <c r="I4754" s="10">
        <f>IF(OR(D4754="", F4754=""), "", F4754 * VLOOKUP(D4754, Products!A:E, 5, FALSE) * (1 - G4754))</f>
        <v>5049.17</v>
      </c>
      <c r="J4754" s="10"/>
    </row>
    <row r="4755" spans="1:10" ht="15.75" customHeight="1" x14ac:dyDescent="0.3">
      <c r="A4755" s="5" t="s">
        <v>5622</v>
      </c>
      <c r="B4755" s="11">
        <v>45702</v>
      </c>
      <c r="C4755" s="5" t="s">
        <v>708</v>
      </c>
      <c r="D4755" s="5" t="s">
        <v>147</v>
      </c>
      <c r="E4755" s="5" t="s">
        <v>21</v>
      </c>
      <c r="F4755" s="5">
        <v>1</v>
      </c>
      <c r="G4755" s="19">
        <v>0.1</v>
      </c>
      <c r="H4755" s="5" t="s">
        <v>454</v>
      </c>
      <c r="I4755" s="10">
        <f>IF(OR(D4755="", F4755=""), "", F4755 * VLOOKUP(D4755, Products!A:E, 5, FALSE) * (1 - G4755))</f>
        <v>1690.623</v>
      </c>
      <c r="J4755" s="10"/>
    </row>
    <row r="4756" spans="1:10" ht="15.75" customHeight="1" x14ac:dyDescent="0.3">
      <c r="A4756" s="5" t="s">
        <v>5623</v>
      </c>
      <c r="B4756" s="11">
        <v>45362</v>
      </c>
      <c r="C4756" s="5" t="s">
        <v>144</v>
      </c>
      <c r="D4756" s="5" t="s">
        <v>50</v>
      </c>
      <c r="E4756" s="5" t="s">
        <v>33</v>
      </c>
      <c r="F4756" s="5">
        <v>5</v>
      </c>
      <c r="G4756" s="19">
        <v>0.15</v>
      </c>
      <c r="H4756" s="5" t="s">
        <v>776</v>
      </c>
      <c r="I4756" s="10">
        <f>IF(OR(D4756="", F4756=""), "", F4756 * VLOOKUP(D4756, Products!A:E, 5, FALSE) * (1 - G4756))</f>
        <v>1434.9275</v>
      </c>
      <c r="J4756" s="10"/>
    </row>
    <row r="4757" spans="1:10" ht="15.75" customHeight="1" x14ac:dyDescent="0.3">
      <c r="A4757" s="5" t="s">
        <v>5624</v>
      </c>
      <c r="B4757" s="11">
        <v>45607</v>
      </c>
      <c r="C4757" s="5" t="s">
        <v>447</v>
      </c>
      <c r="D4757" s="5" t="s">
        <v>237</v>
      </c>
      <c r="E4757" s="5" t="s">
        <v>25</v>
      </c>
      <c r="F4757" s="5">
        <v>3</v>
      </c>
      <c r="G4757" s="19">
        <v>0.15</v>
      </c>
      <c r="H4757" s="5" t="s">
        <v>637</v>
      </c>
      <c r="I4757" s="10">
        <f>IF(OR(D4757="", F4757=""), "", F4757 * VLOOKUP(D4757, Products!A:E, 5, FALSE) * (1 - G4757))</f>
        <v>935.67149999999992</v>
      </c>
      <c r="J4757" s="10"/>
    </row>
    <row r="4758" spans="1:10" ht="15.75" customHeight="1" x14ac:dyDescent="0.3">
      <c r="A4758" s="5" t="s">
        <v>5625</v>
      </c>
      <c r="B4758" s="11">
        <v>45849</v>
      </c>
      <c r="C4758" s="5" t="s">
        <v>129</v>
      </c>
      <c r="D4758" s="5" t="s">
        <v>74</v>
      </c>
      <c r="E4758" s="5" t="s">
        <v>29</v>
      </c>
      <c r="F4758" s="5">
        <v>1</v>
      </c>
      <c r="G4758" s="19">
        <v>0.05</v>
      </c>
      <c r="H4758" s="5" t="s">
        <v>697</v>
      </c>
      <c r="I4758" s="10">
        <f>IF(OR(D4758="", F4758=""), "", F4758 * VLOOKUP(D4758, Products!A:E, 5, FALSE) * (1 - G4758))</f>
        <v>1134.4139999999998</v>
      </c>
      <c r="J4758" s="10"/>
    </row>
    <row r="4759" spans="1:10" ht="15.75" customHeight="1" x14ac:dyDescent="0.3">
      <c r="A4759" s="5" t="s">
        <v>5626</v>
      </c>
      <c r="B4759" s="11">
        <v>45796</v>
      </c>
      <c r="C4759" s="5" t="s">
        <v>590</v>
      </c>
      <c r="D4759" s="5" t="s">
        <v>276</v>
      </c>
      <c r="E4759" s="5" t="s">
        <v>29</v>
      </c>
      <c r="F4759" s="5">
        <v>4</v>
      </c>
      <c r="G4759" s="19">
        <v>0.05</v>
      </c>
      <c r="H4759" s="5" t="s">
        <v>697</v>
      </c>
      <c r="I4759" s="10">
        <f>IF(OR(D4759="", F4759=""), "", F4759 * VLOOKUP(D4759, Products!A:E, 5, FALSE) * (1 - G4759))</f>
        <v>4549.2839999999997</v>
      </c>
      <c r="J4759" s="10"/>
    </row>
    <row r="4760" spans="1:10" ht="15.75" customHeight="1" x14ac:dyDescent="0.3">
      <c r="A4760" s="5" t="s">
        <v>5627</v>
      </c>
      <c r="B4760" s="11">
        <v>45786</v>
      </c>
      <c r="C4760" s="5" t="s">
        <v>113</v>
      </c>
      <c r="D4760" s="5" t="s">
        <v>147</v>
      </c>
      <c r="E4760" s="5" t="s">
        <v>33</v>
      </c>
      <c r="F4760" s="5">
        <v>4</v>
      </c>
      <c r="G4760" s="19">
        <v>0.15</v>
      </c>
      <c r="H4760" s="5" t="s">
        <v>697</v>
      </c>
      <c r="I4760" s="10">
        <f>IF(OR(D4760="", F4760=""), "", F4760 * VLOOKUP(D4760, Products!A:E, 5, FALSE) * (1 - G4760))</f>
        <v>6386.7979999999998</v>
      </c>
      <c r="J4760" s="10"/>
    </row>
    <row r="4761" spans="1:10" ht="15.75" customHeight="1" x14ac:dyDescent="0.3">
      <c r="A4761" s="5" t="s">
        <v>5628</v>
      </c>
      <c r="B4761" s="11">
        <v>45397</v>
      </c>
      <c r="C4761" s="5" t="s">
        <v>106</v>
      </c>
      <c r="D4761" s="5" t="s">
        <v>89</v>
      </c>
      <c r="E4761" s="5" t="s">
        <v>33</v>
      </c>
      <c r="F4761" s="5">
        <v>4</v>
      </c>
      <c r="G4761" s="19">
        <v>0</v>
      </c>
      <c r="H4761" s="5" t="s">
        <v>697</v>
      </c>
      <c r="I4761" s="10">
        <f>IF(OR(D4761="", F4761=""), "", F4761 * VLOOKUP(D4761, Products!A:E, 5, FALSE) * (1 - G4761))</f>
        <v>4539.2</v>
      </c>
      <c r="J4761" s="10"/>
    </row>
    <row r="4762" spans="1:10" ht="15.75" customHeight="1" x14ac:dyDescent="0.3">
      <c r="A4762" s="5" t="s">
        <v>5629</v>
      </c>
      <c r="B4762" s="11">
        <v>45698</v>
      </c>
      <c r="C4762" s="5" t="s">
        <v>338</v>
      </c>
      <c r="D4762" s="5" t="s">
        <v>180</v>
      </c>
      <c r="E4762" s="5" t="s">
        <v>25</v>
      </c>
      <c r="F4762" s="5">
        <v>4</v>
      </c>
      <c r="G4762" s="19">
        <v>0.15</v>
      </c>
      <c r="H4762" s="5" t="s">
        <v>637</v>
      </c>
      <c r="I4762" s="10">
        <f>IF(OR(D4762="", F4762=""), "", F4762 * VLOOKUP(D4762, Products!A:E, 5, FALSE) * (1 - G4762))</f>
        <v>2290.8519999999999</v>
      </c>
      <c r="J4762" s="10"/>
    </row>
    <row r="4763" spans="1:10" ht="15.75" customHeight="1" x14ac:dyDescent="0.3">
      <c r="A4763" s="5" t="s">
        <v>5630</v>
      </c>
      <c r="B4763" s="11">
        <v>45898</v>
      </c>
      <c r="C4763" s="5" t="s">
        <v>708</v>
      </c>
      <c r="D4763" s="5" t="s">
        <v>269</v>
      </c>
      <c r="E4763" s="5" t="s">
        <v>29</v>
      </c>
      <c r="F4763" s="5">
        <v>1</v>
      </c>
      <c r="G4763" s="19">
        <v>0</v>
      </c>
      <c r="H4763" s="5" t="s">
        <v>637</v>
      </c>
      <c r="I4763" s="10">
        <f>IF(OR(D4763="", F4763=""), "", F4763 * VLOOKUP(D4763, Products!A:E, 5, FALSE) * (1 - G4763))</f>
        <v>1879.08</v>
      </c>
      <c r="J4763" s="10"/>
    </row>
    <row r="4764" spans="1:10" ht="15.75" customHeight="1" x14ac:dyDescent="0.3">
      <c r="A4764" s="5" t="s">
        <v>5631</v>
      </c>
      <c r="B4764" s="11">
        <v>45891</v>
      </c>
      <c r="C4764" s="5" t="s">
        <v>649</v>
      </c>
      <c r="D4764" s="5" t="s">
        <v>291</v>
      </c>
      <c r="E4764" s="5" t="s">
        <v>37</v>
      </c>
      <c r="F4764" s="5">
        <v>4</v>
      </c>
      <c r="G4764" s="19">
        <v>0.1</v>
      </c>
      <c r="H4764" s="5" t="s">
        <v>697</v>
      </c>
      <c r="I4764" s="10">
        <f>IF(OR(D4764="", F4764=""), "", F4764 * VLOOKUP(D4764, Products!A:E, 5, FALSE) * (1 - G4764))</f>
        <v>3760.7040000000006</v>
      </c>
      <c r="J4764" s="10"/>
    </row>
    <row r="4765" spans="1:10" ht="15.75" customHeight="1" x14ac:dyDescent="0.3">
      <c r="A4765" s="5" t="s">
        <v>5632</v>
      </c>
      <c r="B4765" s="11">
        <v>45709</v>
      </c>
      <c r="C4765" s="5" t="s">
        <v>641</v>
      </c>
      <c r="D4765" s="5" t="s">
        <v>265</v>
      </c>
      <c r="E4765" s="5" t="s">
        <v>29</v>
      </c>
      <c r="F4765" s="5">
        <v>5</v>
      </c>
      <c r="G4765" s="19">
        <v>0</v>
      </c>
      <c r="H4765" s="5" t="s">
        <v>637</v>
      </c>
      <c r="I4765" s="10">
        <f>IF(OR(D4765="", F4765=""), "", F4765 * VLOOKUP(D4765, Products!A:E, 5, FALSE) * (1 - G4765))</f>
        <v>2822.1</v>
      </c>
      <c r="J4765" s="10"/>
    </row>
    <row r="4766" spans="1:10" ht="15.75" customHeight="1" x14ac:dyDescent="0.3">
      <c r="A4766" s="5" t="s">
        <v>5633</v>
      </c>
      <c r="B4766" s="11">
        <v>45821</v>
      </c>
      <c r="C4766" s="5" t="s">
        <v>615</v>
      </c>
      <c r="D4766" s="5" t="s">
        <v>128</v>
      </c>
      <c r="E4766" s="5" t="s">
        <v>25</v>
      </c>
      <c r="F4766" s="5">
        <v>5</v>
      </c>
      <c r="G4766" s="19">
        <v>0.15</v>
      </c>
      <c r="H4766" s="5" t="s">
        <v>697</v>
      </c>
      <c r="I4766" s="10">
        <f>IF(OR(D4766="", F4766=""), "", F4766 * VLOOKUP(D4766, Products!A:E, 5, FALSE) * (1 - G4766))</f>
        <v>1376.66</v>
      </c>
      <c r="J4766" s="10"/>
    </row>
    <row r="4767" spans="1:10" ht="15.75" customHeight="1" x14ac:dyDescent="0.3">
      <c r="A4767" s="5" t="s">
        <v>5634</v>
      </c>
      <c r="B4767" s="11">
        <v>45269</v>
      </c>
      <c r="C4767" s="5" t="s">
        <v>458</v>
      </c>
      <c r="D4767" s="5" t="s">
        <v>82</v>
      </c>
      <c r="E4767" s="5" t="s">
        <v>25</v>
      </c>
      <c r="F4767" s="5">
        <v>5</v>
      </c>
      <c r="G4767" s="19">
        <v>0.15</v>
      </c>
      <c r="H4767" s="5" t="s">
        <v>637</v>
      </c>
      <c r="I4767" s="10">
        <f>IF(OR(D4767="", F4767=""), "", F4767 * VLOOKUP(D4767, Products!A:E, 5, FALSE) * (1 - G4767))</f>
        <v>5070.6324999999997</v>
      </c>
      <c r="J4767" s="10"/>
    </row>
    <row r="4768" spans="1:10" ht="15.75" customHeight="1" x14ac:dyDescent="0.3">
      <c r="A4768" s="5" t="s">
        <v>5635</v>
      </c>
      <c r="B4768" s="11">
        <v>45554</v>
      </c>
      <c r="C4768" s="5" t="s">
        <v>113</v>
      </c>
      <c r="D4768" s="5" t="s">
        <v>276</v>
      </c>
      <c r="E4768" s="5" t="s">
        <v>29</v>
      </c>
      <c r="F4768" s="5">
        <v>3</v>
      </c>
      <c r="G4768" s="19">
        <v>0</v>
      </c>
      <c r="H4768" s="5" t="s">
        <v>454</v>
      </c>
      <c r="I4768" s="10">
        <f>IF(OR(D4768="", F4768=""), "", F4768 * VLOOKUP(D4768, Products!A:E, 5, FALSE) * (1 - G4768))</f>
        <v>3591.54</v>
      </c>
      <c r="J4768" s="10"/>
    </row>
    <row r="4769" spans="1:10" ht="15.75" customHeight="1" x14ac:dyDescent="0.3">
      <c r="A4769" s="5" t="s">
        <v>5636</v>
      </c>
      <c r="B4769" s="11">
        <v>45483</v>
      </c>
      <c r="C4769" s="5" t="s">
        <v>705</v>
      </c>
      <c r="D4769" s="5" t="s">
        <v>43</v>
      </c>
      <c r="E4769" s="5" t="s">
        <v>25</v>
      </c>
      <c r="F4769" s="5">
        <v>2</v>
      </c>
      <c r="G4769" s="19">
        <v>0</v>
      </c>
      <c r="H4769" s="5" t="s">
        <v>637</v>
      </c>
      <c r="I4769" s="10">
        <f>IF(OR(D4769="", F4769=""), "", F4769 * VLOOKUP(D4769, Products!A:E, 5, FALSE) * (1 - G4769))</f>
        <v>3347.38</v>
      </c>
      <c r="J4769" s="10"/>
    </row>
    <row r="4770" spans="1:10" ht="15.75" customHeight="1" x14ac:dyDescent="0.3">
      <c r="A4770" s="5" t="s">
        <v>5637</v>
      </c>
      <c r="B4770" s="11">
        <v>45346</v>
      </c>
      <c r="C4770" s="5" t="s">
        <v>171</v>
      </c>
      <c r="D4770" s="5" t="s">
        <v>269</v>
      </c>
      <c r="E4770" s="5" t="s">
        <v>29</v>
      </c>
      <c r="F4770" s="5">
        <v>5</v>
      </c>
      <c r="G4770" s="19">
        <v>0.15</v>
      </c>
      <c r="H4770" s="5" t="s">
        <v>776</v>
      </c>
      <c r="I4770" s="10">
        <f>IF(OR(D4770="", F4770=""), "", F4770 * VLOOKUP(D4770, Products!A:E, 5, FALSE) * (1 - G4770))</f>
        <v>7986.0899999999992</v>
      </c>
      <c r="J4770" s="10"/>
    </row>
    <row r="4771" spans="1:10" ht="15.75" customHeight="1" x14ac:dyDescent="0.3">
      <c r="A4771" s="5" t="s">
        <v>5638</v>
      </c>
      <c r="B4771" s="11">
        <v>45501</v>
      </c>
      <c r="C4771" s="5" t="s">
        <v>680</v>
      </c>
      <c r="D4771" s="5" t="s">
        <v>43</v>
      </c>
      <c r="E4771" s="5" t="s">
        <v>33</v>
      </c>
      <c r="F4771" s="5">
        <v>4</v>
      </c>
      <c r="G4771" s="19">
        <v>0</v>
      </c>
      <c r="H4771" s="5" t="s">
        <v>637</v>
      </c>
      <c r="I4771" s="10">
        <f>IF(OR(D4771="", F4771=""), "", F4771 * VLOOKUP(D4771, Products!A:E, 5, FALSE) * (1 - G4771))</f>
        <v>6694.76</v>
      </c>
      <c r="J4771" s="10"/>
    </row>
    <row r="4772" spans="1:10" ht="15.75" customHeight="1" x14ac:dyDescent="0.3">
      <c r="A4772" s="5" t="s">
        <v>5639</v>
      </c>
      <c r="B4772" s="11">
        <v>45815</v>
      </c>
      <c r="C4772" s="5" t="s">
        <v>543</v>
      </c>
      <c r="D4772" s="5" t="s">
        <v>134</v>
      </c>
      <c r="E4772" s="5" t="s">
        <v>25</v>
      </c>
      <c r="F4772" s="5">
        <v>2</v>
      </c>
      <c r="G4772" s="19">
        <v>0</v>
      </c>
      <c r="H4772" s="5" t="s">
        <v>776</v>
      </c>
      <c r="I4772" s="10">
        <f>IF(OR(D4772="", F4772=""), "", F4772 * VLOOKUP(D4772, Products!A:E, 5, FALSE) * (1 - G4772))</f>
        <v>2454.48</v>
      </c>
      <c r="J4772" s="10"/>
    </row>
    <row r="4773" spans="1:10" ht="15.75" customHeight="1" x14ac:dyDescent="0.3">
      <c r="A4773" s="5" t="s">
        <v>5640</v>
      </c>
      <c r="B4773" s="11">
        <v>45561</v>
      </c>
      <c r="C4773" s="5" t="s">
        <v>550</v>
      </c>
      <c r="D4773" s="5" t="s">
        <v>256</v>
      </c>
      <c r="E4773" s="5" t="s">
        <v>25</v>
      </c>
      <c r="F4773" s="5">
        <v>5</v>
      </c>
      <c r="G4773" s="19">
        <v>0</v>
      </c>
      <c r="H4773" s="5" t="s">
        <v>637</v>
      </c>
      <c r="I4773" s="10">
        <f>IF(OR(D4773="", F4773=""), "", F4773 * VLOOKUP(D4773, Products!A:E, 5, FALSE) * (1 - G4773))</f>
        <v>8175.05</v>
      </c>
      <c r="J4773" s="10"/>
    </row>
    <row r="4774" spans="1:10" ht="15.75" customHeight="1" x14ac:dyDescent="0.3">
      <c r="A4774" s="5" t="s">
        <v>5641</v>
      </c>
      <c r="B4774" s="11">
        <v>45828</v>
      </c>
      <c r="C4774" s="5" t="s">
        <v>350</v>
      </c>
      <c r="D4774" s="5" t="s">
        <v>153</v>
      </c>
      <c r="E4774" s="5" t="s">
        <v>37</v>
      </c>
      <c r="F4774" s="5">
        <v>5</v>
      </c>
      <c r="G4774" s="19">
        <v>0.05</v>
      </c>
      <c r="H4774" s="5" t="s">
        <v>776</v>
      </c>
      <c r="I4774" s="10">
        <f>IF(OR(D4774="", F4774=""), "", F4774 * VLOOKUP(D4774, Products!A:E, 5, FALSE) * (1 - G4774))</f>
        <v>7065.1975000000002</v>
      </c>
      <c r="J4774" s="10"/>
    </row>
    <row r="4775" spans="1:10" ht="15.75" customHeight="1" x14ac:dyDescent="0.3">
      <c r="A4775" s="5" t="s">
        <v>5642</v>
      </c>
      <c r="B4775" s="11">
        <v>45199</v>
      </c>
      <c r="C4775" s="5" t="s">
        <v>789</v>
      </c>
      <c r="D4775" s="5" t="s">
        <v>54</v>
      </c>
      <c r="E4775" s="5" t="s">
        <v>37</v>
      </c>
      <c r="F4775" s="5">
        <v>5</v>
      </c>
      <c r="G4775" s="19">
        <v>0.05</v>
      </c>
      <c r="H4775" s="5" t="s">
        <v>637</v>
      </c>
      <c r="I4775" s="10">
        <f>IF(OR(D4775="", F4775=""), "", F4775 * VLOOKUP(D4775, Products!A:E, 5, FALSE) * (1 - G4775))</f>
        <v>8805.4074999999993</v>
      </c>
      <c r="J4775" s="10"/>
    </row>
    <row r="4776" spans="1:10" ht="15.75" customHeight="1" x14ac:dyDescent="0.3">
      <c r="A4776" s="5" t="s">
        <v>5643</v>
      </c>
      <c r="B4776" s="11">
        <v>45344</v>
      </c>
      <c r="C4776" s="5" t="s">
        <v>255</v>
      </c>
      <c r="D4776" s="5" t="s">
        <v>57</v>
      </c>
      <c r="E4776" s="5" t="s">
        <v>37</v>
      </c>
      <c r="F4776" s="5">
        <v>2</v>
      </c>
      <c r="G4776" s="19">
        <v>0.15</v>
      </c>
      <c r="H4776" s="5" t="s">
        <v>454</v>
      </c>
      <c r="I4776" s="10">
        <f>IF(OR(D4776="", F4776=""), "", F4776 * VLOOKUP(D4776, Products!A:E, 5, FALSE) * (1 - G4776))</f>
        <v>2373.5740000000001</v>
      </c>
      <c r="J4776" s="10"/>
    </row>
    <row r="4777" spans="1:10" ht="15.75" customHeight="1" x14ac:dyDescent="0.3">
      <c r="A4777" s="5" t="s">
        <v>5644</v>
      </c>
      <c r="B4777" s="11">
        <v>45461</v>
      </c>
      <c r="C4777" s="5" t="s">
        <v>869</v>
      </c>
      <c r="D4777" s="5" t="s">
        <v>109</v>
      </c>
      <c r="E4777" s="5" t="s">
        <v>25</v>
      </c>
      <c r="F4777" s="5">
        <v>2</v>
      </c>
      <c r="G4777" s="19">
        <v>0.15</v>
      </c>
      <c r="H4777" s="5" t="s">
        <v>776</v>
      </c>
      <c r="I4777" s="10">
        <f>IF(OR(D4777="", F4777=""), "", F4777 * VLOOKUP(D4777, Products!A:E, 5, FALSE) * (1 - G4777))</f>
        <v>3159.875</v>
      </c>
      <c r="J4777" s="10"/>
    </row>
    <row r="4778" spans="1:10" ht="15.75" customHeight="1" x14ac:dyDescent="0.3">
      <c r="A4778" s="5" t="s">
        <v>5645</v>
      </c>
      <c r="B4778" s="11">
        <v>45908</v>
      </c>
      <c r="C4778" s="5" t="s">
        <v>604</v>
      </c>
      <c r="D4778" s="5" t="s">
        <v>119</v>
      </c>
      <c r="E4778" s="5" t="s">
        <v>21</v>
      </c>
      <c r="F4778" s="5">
        <v>5</v>
      </c>
      <c r="G4778" s="19">
        <v>0.15</v>
      </c>
      <c r="H4778" s="5" t="s">
        <v>454</v>
      </c>
      <c r="I4778" s="10">
        <f>IF(OR(D4778="", F4778=""), "", F4778 * VLOOKUP(D4778, Products!A:E, 5, FALSE) * (1 - G4778))</f>
        <v>4589.5325000000003</v>
      </c>
      <c r="J4778" s="10"/>
    </row>
    <row r="4779" spans="1:10" ht="15.75" customHeight="1" x14ac:dyDescent="0.3">
      <c r="A4779" s="5" t="s">
        <v>5646</v>
      </c>
      <c r="B4779" s="11">
        <v>45464</v>
      </c>
      <c r="C4779" s="5" t="s">
        <v>736</v>
      </c>
      <c r="D4779" s="5" t="s">
        <v>47</v>
      </c>
      <c r="E4779" s="5" t="s">
        <v>29</v>
      </c>
      <c r="F4779" s="5">
        <v>2</v>
      </c>
      <c r="G4779" s="19">
        <v>0.15</v>
      </c>
      <c r="H4779" s="5" t="s">
        <v>454</v>
      </c>
      <c r="I4779" s="10">
        <f>IF(OR(D4779="", F4779=""), "", F4779 * VLOOKUP(D4779, Products!A:E, 5, FALSE) * (1 - G4779))</f>
        <v>1391.8920000000001</v>
      </c>
      <c r="J4779" s="10"/>
    </row>
    <row r="4780" spans="1:10" ht="15.75" customHeight="1" x14ac:dyDescent="0.3">
      <c r="A4780" s="5" t="s">
        <v>5647</v>
      </c>
      <c r="B4780" s="11">
        <v>45592</v>
      </c>
      <c r="C4780" s="5" t="s">
        <v>312</v>
      </c>
      <c r="D4780" s="5" t="s">
        <v>285</v>
      </c>
      <c r="E4780" s="5" t="s">
        <v>21</v>
      </c>
      <c r="F4780" s="5">
        <v>2</v>
      </c>
      <c r="G4780" s="19">
        <v>0.05</v>
      </c>
      <c r="H4780" s="5" t="s">
        <v>776</v>
      </c>
      <c r="I4780" s="10">
        <f>IF(OR(D4780="", F4780=""), "", F4780 * VLOOKUP(D4780, Products!A:E, 5, FALSE) * (1 - G4780))</f>
        <v>737.69399999999996</v>
      </c>
      <c r="J4780" s="10"/>
    </row>
    <row r="4781" spans="1:10" ht="15.75" customHeight="1" x14ac:dyDescent="0.3">
      <c r="A4781" s="5" t="s">
        <v>5648</v>
      </c>
      <c r="B4781" s="11">
        <v>45601</v>
      </c>
      <c r="C4781" s="5" t="s">
        <v>789</v>
      </c>
      <c r="D4781" s="5" t="s">
        <v>77</v>
      </c>
      <c r="E4781" s="5" t="s">
        <v>25</v>
      </c>
      <c r="F4781" s="5">
        <v>3</v>
      </c>
      <c r="G4781" s="19">
        <v>0.1</v>
      </c>
      <c r="H4781" s="5" t="s">
        <v>776</v>
      </c>
      <c r="I4781" s="10">
        <f>IF(OR(D4781="", F4781=""), "", F4781 * VLOOKUP(D4781, Products!A:E, 5, FALSE) * (1 - G4781))</f>
        <v>671.13900000000001</v>
      </c>
      <c r="J4781" s="10"/>
    </row>
    <row r="4782" spans="1:10" ht="15.75" customHeight="1" x14ac:dyDescent="0.3">
      <c r="A4782" s="5" t="s">
        <v>5649</v>
      </c>
      <c r="B4782" s="11">
        <v>45440</v>
      </c>
      <c r="C4782" s="5" t="s">
        <v>245</v>
      </c>
      <c r="D4782" s="5" t="s">
        <v>153</v>
      </c>
      <c r="E4782" s="5" t="s">
        <v>29</v>
      </c>
      <c r="F4782" s="5">
        <v>3</v>
      </c>
      <c r="G4782" s="19">
        <v>0.15</v>
      </c>
      <c r="H4782" s="5" t="s">
        <v>637</v>
      </c>
      <c r="I4782" s="10">
        <f>IF(OR(D4782="", F4782=""), "", F4782 * VLOOKUP(D4782, Products!A:E, 5, FALSE) * (1 - G4782))</f>
        <v>3792.8955000000001</v>
      </c>
      <c r="J4782" s="10"/>
    </row>
    <row r="4783" spans="1:10" ht="15.75" customHeight="1" x14ac:dyDescent="0.3">
      <c r="A4783" s="5" t="s">
        <v>5650</v>
      </c>
      <c r="B4783" s="11">
        <v>45383</v>
      </c>
      <c r="C4783" s="5" t="s">
        <v>113</v>
      </c>
      <c r="D4783" s="5" t="s">
        <v>67</v>
      </c>
      <c r="E4783" s="5" t="s">
        <v>33</v>
      </c>
      <c r="F4783" s="5">
        <v>5</v>
      </c>
      <c r="G4783" s="19">
        <v>0.05</v>
      </c>
      <c r="H4783" s="5" t="s">
        <v>776</v>
      </c>
      <c r="I4783" s="10">
        <f>IF(OR(D4783="", F4783=""), "", F4783 * VLOOKUP(D4783, Products!A:E, 5, FALSE) * (1 - G4783))</f>
        <v>521.45499999999993</v>
      </c>
      <c r="J4783" s="10"/>
    </row>
    <row r="4784" spans="1:10" ht="15.75" customHeight="1" x14ac:dyDescent="0.3">
      <c r="A4784" s="5" t="s">
        <v>5651</v>
      </c>
      <c r="B4784" s="11">
        <v>45270</v>
      </c>
      <c r="C4784" s="5" t="s">
        <v>740</v>
      </c>
      <c r="D4784" s="5" t="s">
        <v>67</v>
      </c>
      <c r="E4784" s="5" t="s">
        <v>29</v>
      </c>
      <c r="F4784" s="5">
        <v>5</v>
      </c>
      <c r="G4784" s="19">
        <v>0.15</v>
      </c>
      <c r="H4784" s="5" t="s">
        <v>697</v>
      </c>
      <c r="I4784" s="10">
        <f>IF(OR(D4784="", F4784=""), "", F4784 * VLOOKUP(D4784, Products!A:E, 5, FALSE) * (1 - G4784))</f>
        <v>466.56499999999994</v>
      </c>
      <c r="J4784" s="10"/>
    </row>
    <row r="4785" spans="1:10" ht="15.75" customHeight="1" x14ac:dyDescent="0.3">
      <c r="A4785" s="5" t="s">
        <v>5652</v>
      </c>
      <c r="B4785" s="11">
        <v>45841</v>
      </c>
      <c r="C4785" s="5" t="s">
        <v>16</v>
      </c>
      <c r="D4785" s="5" t="s">
        <v>115</v>
      </c>
      <c r="E4785" s="5" t="s">
        <v>29</v>
      </c>
      <c r="F4785" s="5">
        <v>3</v>
      </c>
      <c r="G4785" s="19">
        <v>0.05</v>
      </c>
      <c r="H4785" s="5" t="s">
        <v>454</v>
      </c>
      <c r="I4785" s="10">
        <f>IF(OR(D4785="", F4785=""), "", F4785 * VLOOKUP(D4785, Products!A:E, 5, FALSE) * (1 - G4785))</f>
        <v>3551.4134999999997</v>
      </c>
      <c r="J4785" s="10"/>
    </row>
    <row r="4786" spans="1:10" ht="15.75" customHeight="1" x14ac:dyDescent="0.3">
      <c r="A4786" s="5" t="s">
        <v>5653</v>
      </c>
      <c r="B4786" s="11">
        <v>45594</v>
      </c>
      <c r="C4786" s="5" t="s">
        <v>389</v>
      </c>
      <c r="D4786" s="5" t="s">
        <v>128</v>
      </c>
      <c r="E4786" s="5" t="s">
        <v>37</v>
      </c>
      <c r="F4786" s="5">
        <v>5</v>
      </c>
      <c r="G4786" s="19">
        <v>0.1</v>
      </c>
      <c r="H4786" s="5" t="s">
        <v>697</v>
      </c>
      <c r="I4786" s="10">
        <f>IF(OR(D4786="", F4786=""), "", F4786 * VLOOKUP(D4786, Products!A:E, 5, FALSE) * (1 - G4786))</f>
        <v>1457.64</v>
      </c>
      <c r="J4786" s="10"/>
    </row>
    <row r="4787" spans="1:10" ht="15.75" customHeight="1" x14ac:dyDescent="0.3">
      <c r="A4787" s="5" t="s">
        <v>5654</v>
      </c>
      <c r="B4787" s="11">
        <v>45405</v>
      </c>
      <c r="C4787" s="5" t="s">
        <v>159</v>
      </c>
      <c r="D4787" s="5" t="s">
        <v>128</v>
      </c>
      <c r="E4787" s="5" t="s">
        <v>25</v>
      </c>
      <c r="F4787" s="5">
        <v>1</v>
      </c>
      <c r="G4787" s="19">
        <v>0.15</v>
      </c>
      <c r="H4787" s="5" t="s">
        <v>776</v>
      </c>
      <c r="I4787" s="10">
        <f>IF(OR(D4787="", F4787=""), "", F4787 * VLOOKUP(D4787, Products!A:E, 5, FALSE) * (1 - G4787))</f>
        <v>275.33199999999999</v>
      </c>
      <c r="J4787" s="10"/>
    </row>
    <row r="4788" spans="1:10" ht="15.75" customHeight="1" x14ac:dyDescent="0.3">
      <c r="A4788" s="5" t="s">
        <v>5655</v>
      </c>
      <c r="B4788" s="11">
        <v>45551</v>
      </c>
      <c r="C4788" s="5" t="s">
        <v>563</v>
      </c>
      <c r="D4788" s="5" t="s">
        <v>115</v>
      </c>
      <c r="E4788" s="5" t="s">
        <v>33</v>
      </c>
      <c r="F4788" s="5">
        <v>5</v>
      </c>
      <c r="G4788" s="19">
        <v>0</v>
      </c>
      <c r="H4788" s="5" t="s">
        <v>637</v>
      </c>
      <c r="I4788" s="10">
        <f>IF(OR(D4788="", F4788=""), "", F4788 * VLOOKUP(D4788, Products!A:E, 5, FALSE) * (1 - G4788))</f>
        <v>6230.5499999999993</v>
      </c>
      <c r="J4788" s="10"/>
    </row>
    <row r="4789" spans="1:10" ht="15.75" customHeight="1" x14ac:dyDescent="0.3">
      <c r="A4789" s="5" t="s">
        <v>5656</v>
      </c>
      <c r="B4789" s="11">
        <v>45228</v>
      </c>
      <c r="C4789" s="5" t="s">
        <v>755</v>
      </c>
      <c r="D4789" s="5" t="s">
        <v>61</v>
      </c>
      <c r="E4789" s="5" t="s">
        <v>33</v>
      </c>
      <c r="F4789" s="5">
        <v>3</v>
      </c>
      <c r="G4789" s="19">
        <v>0.05</v>
      </c>
      <c r="H4789" s="5" t="s">
        <v>776</v>
      </c>
      <c r="I4789" s="10">
        <f>IF(OR(D4789="", F4789=""), "", F4789 * VLOOKUP(D4789, Products!A:E, 5, FALSE) * (1 - G4789))</f>
        <v>906.4425</v>
      </c>
      <c r="J4789" s="10"/>
    </row>
    <row r="4790" spans="1:10" ht="15.75" customHeight="1" x14ac:dyDescent="0.3">
      <c r="A4790" s="5" t="s">
        <v>5657</v>
      </c>
      <c r="B4790" s="11">
        <v>45731</v>
      </c>
      <c r="C4790" s="5" t="s">
        <v>495</v>
      </c>
      <c r="D4790" s="5" t="s">
        <v>280</v>
      </c>
      <c r="E4790" s="5" t="s">
        <v>37</v>
      </c>
      <c r="F4790" s="5">
        <v>5</v>
      </c>
      <c r="G4790" s="19">
        <v>0</v>
      </c>
      <c r="H4790" s="5" t="s">
        <v>776</v>
      </c>
      <c r="I4790" s="10">
        <f>IF(OR(D4790="", F4790=""), "", F4790 * VLOOKUP(D4790, Products!A:E, 5, FALSE) * (1 - G4790))</f>
        <v>6081.7999999999993</v>
      </c>
      <c r="J4790" s="10"/>
    </row>
    <row r="4791" spans="1:10" ht="15.75" customHeight="1" x14ac:dyDescent="0.3">
      <c r="A4791" s="5" t="s">
        <v>5658</v>
      </c>
      <c r="B4791" s="11">
        <v>45381</v>
      </c>
      <c r="C4791" s="5" t="s">
        <v>532</v>
      </c>
      <c r="D4791" s="5" t="s">
        <v>206</v>
      </c>
      <c r="E4791" s="5" t="s">
        <v>29</v>
      </c>
      <c r="F4791" s="5">
        <v>5</v>
      </c>
      <c r="G4791" s="19">
        <v>0.05</v>
      </c>
      <c r="H4791" s="5" t="s">
        <v>776</v>
      </c>
      <c r="I4791" s="10">
        <f>IF(OR(D4791="", F4791=""), "", F4791 * VLOOKUP(D4791, Products!A:E, 5, FALSE) * (1 - G4791))</f>
        <v>1447.3724999999999</v>
      </c>
      <c r="J4791" s="10"/>
    </row>
    <row r="4792" spans="1:10" ht="15.75" customHeight="1" x14ac:dyDescent="0.3">
      <c r="A4792" s="5" t="s">
        <v>5659</v>
      </c>
      <c r="B4792" s="11">
        <v>45675</v>
      </c>
      <c r="C4792" s="5" t="s">
        <v>484</v>
      </c>
      <c r="D4792" s="5" t="s">
        <v>188</v>
      </c>
      <c r="E4792" s="5" t="s">
        <v>21</v>
      </c>
      <c r="F4792" s="5">
        <v>2</v>
      </c>
      <c r="G4792" s="19">
        <v>0.15</v>
      </c>
      <c r="H4792" s="5" t="s">
        <v>776</v>
      </c>
      <c r="I4792" s="10">
        <f>IF(OR(D4792="", F4792=""), "", F4792 * VLOOKUP(D4792, Products!A:E, 5, FALSE) * (1 - G4792))</f>
        <v>2524.585</v>
      </c>
      <c r="J4792" s="10"/>
    </row>
    <row r="4793" spans="1:10" ht="15.75" customHeight="1" x14ac:dyDescent="0.3">
      <c r="A4793" s="5" t="s">
        <v>5660</v>
      </c>
      <c r="B4793" s="11">
        <v>45311</v>
      </c>
      <c r="C4793" s="5" t="s">
        <v>250</v>
      </c>
      <c r="D4793" s="5" t="s">
        <v>206</v>
      </c>
      <c r="E4793" s="5" t="s">
        <v>33</v>
      </c>
      <c r="F4793" s="5">
        <v>1</v>
      </c>
      <c r="G4793" s="19">
        <v>0.05</v>
      </c>
      <c r="H4793" s="5" t="s">
        <v>637</v>
      </c>
      <c r="I4793" s="10">
        <f>IF(OR(D4793="", F4793=""), "", F4793 * VLOOKUP(D4793, Products!A:E, 5, FALSE) * (1 - G4793))</f>
        <v>289.47449999999998</v>
      </c>
      <c r="J4793" s="10"/>
    </row>
    <row r="4794" spans="1:10" ht="15.75" customHeight="1" x14ac:dyDescent="0.3">
      <c r="A4794" s="5" t="s">
        <v>5661</v>
      </c>
      <c r="B4794" s="11">
        <v>45475</v>
      </c>
      <c r="C4794" s="5" t="s">
        <v>752</v>
      </c>
      <c r="D4794" s="5" t="s">
        <v>153</v>
      </c>
      <c r="E4794" s="5" t="s">
        <v>29</v>
      </c>
      <c r="F4794" s="5">
        <v>1</v>
      </c>
      <c r="G4794" s="19">
        <v>0.15</v>
      </c>
      <c r="H4794" s="5" t="s">
        <v>776</v>
      </c>
      <c r="I4794" s="10">
        <f>IF(OR(D4794="", F4794=""), "", F4794 * VLOOKUP(D4794, Products!A:E, 5, FALSE) * (1 - G4794))</f>
        <v>1264.2985000000001</v>
      </c>
      <c r="J4794" s="10"/>
    </row>
    <row r="4795" spans="1:10" ht="15.75" customHeight="1" x14ac:dyDescent="0.3">
      <c r="A4795" s="5" t="s">
        <v>5662</v>
      </c>
      <c r="B4795" s="11">
        <v>45734</v>
      </c>
      <c r="C4795" s="5" t="s">
        <v>361</v>
      </c>
      <c r="D4795" s="5" t="s">
        <v>147</v>
      </c>
      <c r="E4795" s="5" t="s">
        <v>21</v>
      </c>
      <c r="F4795" s="5">
        <v>5</v>
      </c>
      <c r="G4795" s="19">
        <v>0</v>
      </c>
      <c r="H4795" s="5" t="s">
        <v>776</v>
      </c>
      <c r="I4795" s="10">
        <f>IF(OR(D4795="", F4795=""), "", F4795 * VLOOKUP(D4795, Products!A:E, 5, FALSE) * (1 - G4795))</f>
        <v>9392.35</v>
      </c>
      <c r="J4795" s="10"/>
    </row>
    <row r="4796" spans="1:10" ht="15.75" customHeight="1" x14ac:dyDescent="0.3">
      <c r="A4796" s="5" t="s">
        <v>5663</v>
      </c>
      <c r="B4796" s="11">
        <v>45642</v>
      </c>
      <c r="C4796" s="5" t="s">
        <v>600</v>
      </c>
      <c r="D4796" s="5" t="s">
        <v>217</v>
      </c>
      <c r="E4796" s="5" t="s">
        <v>25</v>
      </c>
      <c r="F4796" s="5">
        <v>4</v>
      </c>
      <c r="G4796" s="19">
        <v>0.05</v>
      </c>
      <c r="H4796" s="5" t="s">
        <v>697</v>
      </c>
      <c r="I4796" s="10">
        <f>IF(OR(D4796="", F4796=""), "", F4796 * VLOOKUP(D4796, Products!A:E, 5, FALSE) * (1 - G4796))</f>
        <v>1626.59</v>
      </c>
      <c r="J4796" s="10"/>
    </row>
    <row r="4797" spans="1:10" ht="15.75" customHeight="1" x14ac:dyDescent="0.3">
      <c r="A4797" s="5" t="s">
        <v>5664</v>
      </c>
      <c r="B4797" s="11">
        <v>45432</v>
      </c>
      <c r="C4797" s="5" t="s">
        <v>727</v>
      </c>
      <c r="D4797" s="5" t="s">
        <v>256</v>
      </c>
      <c r="E4797" s="5" t="s">
        <v>33</v>
      </c>
      <c r="F4797" s="5">
        <v>5</v>
      </c>
      <c r="G4797" s="19">
        <v>0.05</v>
      </c>
      <c r="H4797" s="5" t="s">
        <v>454</v>
      </c>
      <c r="I4797" s="10">
        <f>IF(OR(D4797="", F4797=""), "", F4797 * VLOOKUP(D4797, Products!A:E, 5, FALSE) * (1 - G4797))</f>
        <v>7766.2974999999997</v>
      </c>
      <c r="J4797" s="10"/>
    </row>
    <row r="4798" spans="1:10" ht="15.75" customHeight="1" x14ac:dyDescent="0.3">
      <c r="A4798" s="5" t="s">
        <v>5665</v>
      </c>
      <c r="B4798" s="11">
        <v>45182</v>
      </c>
      <c r="C4798" s="5" t="s">
        <v>455</v>
      </c>
      <c r="D4798" s="5" t="s">
        <v>43</v>
      </c>
      <c r="E4798" s="5" t="s">
        <v>37</v>
      </c>
      <c r="F4798" s="5">
        <v>3</v>
      </c>
      <c r="G4798" s="19">
        <v>0</v>
      </c>
      <c r="H4798" s="5" t="s">
        <v>776</v>
      </c>
      <c r="I4798" s="10">
        <f>IF(OR(D4798="", F4798=""), "", F4798 * VLOOKUP(D4798, Products!A:E, 5, FALSE) * (1 - G4798))</f>
        <v>5021.07</v>
      </c>
      <c r="J4798" s="10"/>
    </row>
    <row r="4799" spans="1:10" ht="15.75" customHeight="1" x14ac:dyDescent="0.3">
      <c r="A4799" s="5" t="s">
        <v>5666</v>
      </c>
      <c r="B4799" s="11">
        <v>45390</v>
      </c>
      <c r="C4799" s="5" t="s">
        <v>604</v>
      </c>
      <c r="D4799" s="5" t="s">
        <v>61</v>
      </c>
      <c r="E4799" s="5" t="s">
        <v>25</v>
      </c>
      <c r="F4799" s="5">
        <v>5</v>
      </c>
      <c r="G4799" s="19">
        <v>0.1</v>
      </c>
      <c r="H4799" s="5" t="s">
        <v>697</v>
      </c>
      <c r="I4799" s="10">
        <f>IF(OR(D4799="", F4799=""), "", F4799 * VLOOKUP(D4799, Products!A:E, 5, FALSE) * (1 - G4799))</f>
        <v>1431.2250000000001</v>
      </c>
      <c r="J4799" s="10"/>
    </row>
    <row r="4800" spans="1:10" ht="15.75" customHeight="1" x14ac:dyDescent="0.3">
      <c r="A4800" s="5" t="s">
        <v>5667</v>
      </c>
      <c r="B4800" s="11">
        <v>45557</v>
      </c>
      <c r="C4800" s="5" t="s">
        <v>762</v>
      </c>
      <c r="D4800" s="5" t="s">
        <v>128</v>
      </c>
      <c r="E4800" s="5" t="s">
        <v>33</v>
      </c>
      <c r="F4800" s="5">
        <v>3</v>
      </c>
      <c r="G4800" s="19">
        <v>0</v>
      </c>
      <c r="H4800" s="5" t="s">
        <v>776</v>
      </c>
      <c r="I4800" s="10">
        <f>IF(OR(D4800="", F4800=""), "", F4800 * VLOOKUP(D4800, Products!A:E, 5, FALSE) * (1 - G4800))</f>
        <v>971.76</v>
      </c>
      <c r="J4800" s="10"/>
    </row>
    <row r="4801" spans="1:10" ht="15.75" customHeight="1" x14ac:dyDescent="0.3">
      <c r="A4801" s="5" t="s">
        <v>5668</v>
      </c>
      <c r="B4801" s="11">
        <v>45586</v>
      </c>
      <c r="C4801" s="5" t="s">
        <v>567</v>
      </c>
      <c r="D4801" s="5" t="s">
        <v>103</v>
      </c>
      <c r="E4801" s="5" t="s">
        <v>37</v>
      </c>
      <c r="F4801" s="5">
        <v>1</v>
      </c>
      <c r="G4801" s="19">
        <v>0.15</v>
      </c>
      <c r="H4801" s="5" t="s">
        <v>776</v>
      </c>
      <c r="I4801" s="10">
        <f>IF(OR(D4801="", F4801=""), "", F4801 * VLOOKUP(D4801, Products!A:E, 5, FALSE) * (1 - G4801))</f>
        <v>229.88249999999999</v>
      </c>
      <c r="J4801" s="10"/>
    </row>
    <row r="4802" spans="1:10" ht="15.75" customHeight="1" x14ac:dyDescent="0.3">
      <c r="A4802" s="5" t="s">
        <v>5669</v>
      </c>
      <c r="B4802" s="11">
        <v>45754</v>
      </c>
      <c r="C4802" s="5" t="s">
        <v>829</v>
      </c>
      <c r="D4802" s="5" t="s">
        <v>54</v>
      </c>
      <c r="E4802" s="5" t="s">
        <v>37</v>
      </c>
      <c r="F4802" s="5">
        <v>4</v>
      </c>
      <c r="G4802" s="19">
        <v>0</v>
      </c>
      <c r="H4802" s="5" t="s">
        <v>697</v>
      </c>
      <c r="I4802" s="10">
        <f>IF(OR(D4802="", F4802=""), "", F4802 * VLOOKUP(D4802, Products!A:E, 5, FALSE) * (1 - G4802))</f>
        <v>7415.08</v>
      </c>
      <c r="J4802" s="10"/>
    </row>
    <row r="4803" spans="1:10" ht="15.75" customHeight="1" x14ac:dyDescent="0.3">
      <c r="A4803" s="5" t="s">
        <v>5670</v>
      </c>
      <c r="B4803" s="11">
        <v>45841</v>
      </c>
      <c r="C4803" s="5" t="s">
        <v>615</v>
      </c>
      <c r="D4803" s="5" t="s">
        <v>134</v>
      </c>
      <c r="E4803" s="5" t="s">
        <v>33</v>
      </c>
      <c r="F4803" s="5">
        <v>4</v>
      </c>
      <c r="G4803" s="19">
        <v>0.05</v>
      </c>
      <c r="H4803" s="5" t="s">
        <v>776</v>
      </c>
      <c r="I4803" s="10">
        <f>IF(OR(D4803="", F4803=""), "", F4803 * VLOOKUP(D4803, Products!A:E, 5, FALSE) * (1 - G4803))</f>
        <v>4663.5119999999997</v>
      </c>
      <c r="J4803" s="10"/>
    </row>
    <row r="4804" spans="1:10" ht="15.75" customHeight="1" x14ac:dyDescent="0.3">
      <c r="A4804" s="5" t="s">
        <v>5671</v>
      </c>
      <c r="B4804" s="11">
        <v>45691</v>
      </c>
      <c r="C4804" s="5" t="s">
        <v>691</v>
      </c>
      <c r="D4804" s="5" t="s">
        <v>57</v>
      </c>
      <c r="E4804" s="5" t="s">
        <v>21</v>
      </c>
      <c r="F4804" s="5">
        <v>5</v>
      </c>
      <c r="G4804" s="19">
        <v>0.05</v>
      </c>
      <c r="H4804" s="5" t="s">
        <v>776</v>
      </c>
      <c r="I4804" s="10">
        <f>IF(OR(D4804="", F4804=""), "", F4804 * VLOOKUP(D4804, Products!A:E, 5, FALSE) * (1 - G4804))</f>
        <v>6632.0450000000001</v>
      </c>
      <c r="J4804" s="10"/>
    </row>
    <row r="4805" spans="1:10" ht="15.75" customHeight="1" x14ac:dyDescent="0.3">
      <c r="A4805" s="5" t="s">
        <v>5672</v>
      </c>
      <c r="B4805" s="11">
        <v>45247</v>
      </c>
      <c r="C4805" s="5" t="s">
        <v>397</v>
      </c>
      <c r="D4805" s="5" t="s">
        <v>212</v>
      </c>
      <c r="E4805" s="5" t="s">
        <v>37</v>
      </c>
      <c r="F4805" s="5">
        <v>1</v>
      </c>
      <c r="G4805" s="19">
        <v>0.15</v>
      </c>
      <c r="H4805" s="5" t="s">
        <v>776</v>
      </c>
      <c r="I4805" s="10">
        <f>IF(OR(D4805="", F4805=""), "", F4805 * VLOOKUP(D4805, Products!A:E, 5, FALSE) * (1 - G4805))</f>
        <v>1529.1244999999999</v>
      </c>
      <c r="J4805" s="10"/>
    </row>
    <row r="4806" spans="1:10" ht="15.75" customHeight="1" x14ac:dyDescent="0.3">
      <c r="A4806" s="5" t="s">
        <v>5673</v>
      </c>
      <c r="B4806" s="11">
        <v>45877</v>
      </c>
      <c r="C4806" s="5" t="s">
        <v>755</v>
      </c>
      <c r="D4806" s="5" t="s">
        <v>109</v>
      </c>
      <c r="E4806" s="5" t="s">
        <v>25</v>
      </c>
      <c r="F4806" s="5">
        <v>4</v>
      </c>
      <c r="G4806" s="19">
        <v>0.05</v>
      </c>
      <c r="H4806" s="5" t="s">
        <v>454</v>
      </c>
      <c r="I4806" s="10">
        <f>IF(OR(D4806="", F4806=""), "", F4806 * VLOOKUP(D4806, Products!A:E, 5, FALSE) * (1 - G4806))</f>
        <v>7063.25</v>
      </c>
      <c r="J4806" s="10"/>
    </row>
    <row r="4807" spans="1:10" ht="15.75" customHeight="1" x14ac:dyDescent="0.3">
      <c r="A4807" s="5" t="s">
        <v>5674</v>
      </c>
      <c r="B4807" s="11">
        <v>45869</v>
      </c>
      <c r="C4807" s="5" t="s">
        <v>437</v>
      </c>
      <c r="D4807" s="5" t="s">
        <v>82</v>
      </c>
      <c r="E4807" s="5" t="s">
        <v>29</v>
      </c>
      <c r="F4807" s="5">
        <v>2</v>
      </c>
      <c r="G4807" s="19">
        <v>0.1</v>
      </c>
      <c r="H4807" s="5" t="s">
        <v>637</v>
      </c>
      <c r="I4807" s="10">
        <f>IF(OR(D4807="", F4807=""), "", F4807 * VLOOKUP(D4807, Products!A:E, 5, FALSE) * (1 - G4807))</f>
        <v>2147.5619999999999</v>
      </c>
      <c r="J4807" s="10"/>
    </row>
    <row r="4808" spans="1:10" ht="15.75" customHeight="1" x14ac:dyDescent="0.3">
      <c r="A4808" s="5" t="s">
        <v>5675</v>
      </c>
      <c r="B4808" s="11">
        <v>45890</v>
      </c>
      <c r="C4808" s="5" t="s">
        <v>752</v>
      </c>
      <c r="D4808" s="5" t="s">
        <v>128</v>
      </c>
      <c r="E4808" s="5" t="s">
        <v>25</v>
      </c>
      <c r="F4808" s="5">
        <v>3</v>
      </c>
      <c r="G4808" s="19">
        <v>0.1</v>
      </c>
      <c r="H4808" s="5" t="s">
        <v>637</v>
      </c>
      <c r="I4808" s="10">
        <f>IF(OR(D4808="", F4808=""), "", F4808 * VLOOKUP(D4808, Products!A:E, 5, FALSE) * (1 - G4808))</f>
        <v>874.58400000000006</v>
      </c>
      <c r="J4808" s="10"/>
    </row>
    <row r="4809" spans="1:10" ht="15.75" customHeight="1" x14ac:dyDescent="0.3">
      <c r="A4809" s="5" t="s">
        <v>5676</v>
      </c>
      <c r="B4809" s="11">
        <v>45435</v>
      </c>
      <c r="C4809" s="5" t="s">
        <v>69</v>
      </c>
      <c r="D4809" s="5" t="s">
        <v>89</v>
      </c>
      <c r="E4809" s="5" t="s">
        <v>21</v>
      </c>
      <c r="F4809" s="5">
        <v>2</v>
      </c>
      <c r="G4809" s="19">
        <v>0</v>
      </c>
      <c r="H4809" s="5" t="s">
        <v>454</v>
      </c>
      <c r="I4809" s="10">
        <f>IF(OR(D4809="", F4809=""), "", F4809 * VLOOKUP(D4809, Products!A:E, 5, FALSE) * (1 - G4809))</f>
        <v>2269.6</v>
      </c>
      <c r="J4809" s="10"/>
    </row>
    <row r="4810" spans="1:10" ht="15.75" customHeight="1" x14ac:dyDescent="0.3">
      <c r="A4810" s="5" t="s">
        <v>5677</v>
      </c>
      <c r="B4810" s="11">
        <v>45582</v>
      </c>
      <c r="C4810" s="5" t="s">
        <v>779</v>
      </c>
      <c r="D4810" s="5" t="s">
        <v>61</v>
      </c>
      <c r="E4810" s="5" t="s">
        <v>25</v>
      </c>
      <c r="F4810" s="5">
        <v>3</v>
      </c>
      <c r="G4810" s="19">
        <v>0.05</v>
      </c>
      <c r="H4810" s="5" t="s">
        <v>454</v>
      </c>
      <c r="I4810" s="10">
        <f>IF(OR(D4810="", F4810=""), "", F4810 * VLOOKUP(D4810, Products!A:E, 5, FALSE) * (1 - G4810))</f>
        <v>906.4425</v>
      </c>
      <c r="J4810" s="10"/>
    </row>
    <row r="4811" spans="1:10" ht="15.75" customHeight="1" x14ac:dyDescent="0.3">
      <c r="A4811" s="5" t="s">
        <v>5678</v>
      </c>
      <c r="B4811" s="11">
        <v>45423</v>
      </c>
      <c r="C4811" s="5" t="s">
        <v>372</v>
      </c>
      <c r="D4811" s="5" t="s">
        <v>217</v>
      </c>
      <c r="E4811" s="5" t="s">
        <v>33</v>
      </c>
      <c r="F4811" s="5">
        <v>5</v>
      </c>
      <c r="G4811" s="19">
        <v>0</v>
      </c>
      <c r="H4811" s="5" t="s">
        <v>776</v>
      </c>
      <c r="I4811" s="10">
        <f>IF(OR(D4811="", F4811=""), "", F4811 * VLOOKUP(D4811, Products!A:E, 5, FALSE) * (1 - G4811))</f>
        <v>2140.25</v>
      </c>
      <c r="J4811" s="10"/>
    </row>
    <row r="4812" spans="1:10" ht="15.75" customHeight="1" x14ac:dyDescent="0.3">
      <c r="A4812" s="5" t="s">
        <v>5679</v>
      </c>
      <c r="B4812" s="11">
        <v>45430</v>
      </c>
      <c r="C4812" s="5" t="s">
        <v>308</v>
      </c>
      <c r="D4812" s="5" t="s">
        <v>249</v>
      </c>
      <c r="E4812" s="5" t="s">
        <v>25</v>
      </c>
      <c r="F4812" s="5">
        <v>4</v>
      </c>
      <c r="G4812" s="19">
        <v>0.1</v>
      </c>
      <c r="H4812" s="5" t="s">
        <v>697</v>
      </c>
      <c r="I4812" s="10">
        <f>IF(OR(D4812="", F4812=""), "", F4812 * VLOOKUP(D4812, Products!A:E, 5, FALSE) * (1 - G4812))</f>
        <v>6284.1959999999999</v>
      </c>
      <c r="J4812" s="10"/>
    </row>
    <row r="4813" spans="1:10" ht="15.75" customHeight="1" x14ac:dyDescent="0.3">
      <c r="A4813" s="5" t="s">
        <v>5680</v>
      </c>
      <c r="B4813" s="11">
        <v>45248</v>
      </c>
      <c r="C4813" s="5" t="s">
        <v>81</v>
      </c>
      <c r="D4813" s="5" t="s">
        <v>50</v>
      </c>
      <c r="E4813" s="5" t="s">
        <v>25</v>
      </c>
      <c r="F4813" s="5">
        <v>5</v>
      </c>
      <c r="G4813" s="19">
        <v>0.1</v>
      </c>
      <c r="H4813" s="5" t="s">
        <v>637</v>
      </c>
      <c r="I4813" s="10">
        <f>IF(OR(D4813="", F4813=""), "", F4813 * VLOOKUP(D4813, Products!A:E, 5, FALSE) * (1 - G4813))</f>
        <v>1519.335</v>
      </c>
      <c r="J4813" s="10"/>
    </row>
    <row r="4814" spans="1:10" ht="15.75" customHeight="1" x14ac:dyDescent="0.3">
      <c r="A4814" s="5" t="s">
        <v>5681</v>
      </c>
      <c r="B4814" s="11">
        <v>45416</v>
      </c>
      <c r="C4814" s="5" t="s">
        <v>554</v>
      </c>
      <c r="D4814" s="5" t="s">
        <v>109</v>
      </c>
      <c r="E4814" s="5" t="s">
        <v>21</v>
      </c>
      <c r="F4814" s="5">
        <v>2</v>
      </c>
      <c r="G4814" s="19">
        <v>0.15</v>
      </c>
      <c r="H4814" s="5" t="s">
        <v>637</v>
      </c>
      <c r="I4814" s="10">
        <f>IF(OR(D4814="", F4814=""), "", F4814 * VLOOKUP(D4814, Products!A:E, 5, FALSE) * (1 - G4814))</f>
        <v>3159.875</v>
      </c>
      <c r="J4814" s="10"/>
    </row>
    <row r="4815" spans="1:10" ht="15.75" customHeight="1" x14ac:dyDescent="0.3">
      <c r="A4815" s="5" t="s">
        <v>5682</v>
      </c>
      <c r="B4815" s="11">
        <v>45281</v>
      </c>
      <c r="C4815" s="5" t="s">
        <v>16</v>
      </c>
      <c r="D4815" s="5" t="s">
        <v>43</v>
      </c>
      <c r="E4815" s="5" t="s">
        <v>25</v>
      </c>
      <c r="F4815" s="5">
        <v>3</v>
      </c>
      <c r="G4815" s="19">
        <v>0.05</v>
      </c>
      <c r="H4815" s="5" t="s">
        <v>637</v>
      </c>
      <c r="I4815" s="10">
        <f>IF(OR(D4815="", F4815=""), "", F4815 * VLOOKUP(D4815, Products!A:E, 5, FALSE) * (1 - G4815))</f>
        <v>4770.0164999999997</v>
      </c>
      <c r="J4815" s="10"/>
    </row>
    <row r="4816" spans="1:10" ht="15.75" customHeight="1" x14ac:dyDescent="0.3">
      <c r="A4816" s="5" t="s">
        <v>5683</v>
      </c>
      <c r="B4816" s="11">
        <v>45400</v>
      </c>
      <c r="C4816" s="5" t="s">
        <v>474</v>
      </c>
      <c r="D4816" s="5" t="s">
        <v>276</v>
      </c>
      <c r="E4816" s="5" t="s">
        <v>25</v>
      </c>
      <c r="F4816" s="5">
        <v>3</v>
      </c>
      <c r="G4816" s="19">
        <v>0</v>
      </c>
      <c r="H4816" s="5" t="s">
        <v>454</v>
      </c>
      <c r="I4816" s="10">
        <f>IF(OR(D4816="", F4816=""), "", F4816 * VLOOKUP(D4816, Products!A:E, 5, FALSE) * (1 - G4816))</f>
        <v>3591.54</v>
      </c>
      <c r="J4816" s="10"/>
    </row>
    <row r="4817" spans="1:10" ht="15.75" customHeight="1" x14ac:dyDescent="0.3">
      <c r="A4817" s="5" t="s">
        <v>5684</v>
      </c>
      <c r="B4817" s="11">
        <v>45440</v>
      </c>
      <c r="C4817" s="5" t="s">
        <v>507</v>
      </c>
      <c r="D4817" s="5" t="s">
        <v>269</v>
      </c>
      <c r="E4817" s="5" t="s">
        <v>25</v>
      </c>
      <c r="F4817" s="5">
        <v>4</v>
      </c>
      <c r="G4817" s="19">
        <v>0.1</v>
      </c>
      <c r="H4817" s="5" t="s">
        <v>776</v>
      </c>
      <c r="I4817" s="10">
        <f>IF(OR(D4817="", F4817=""), "", F4817 * VLOOKUP(D4817, Products!A:E, 5, FALSE) * (1 - G4817))</f>
        <v>6764.6880000000001</v>
      </c>
      <c r="J4817" s="10"/>
    </row>
    <row r="4818" spans="1:10" ht="15.75" customHeight="1" x14ac:dyDescent="0.3">
      <c r="A4818" s="5" t="s">
        <v>5685</v>
      </c>
      <c r="B4818" s="11">
        <v>45308</v>
      </c>
      <c r="C4818" s="5" t="s">
        <v>811</v>
      </c>
      <c r="D4818" s="5" t="s">
        <v>65</v>
      </c>
      <c r="E4818" s="5" t="s">
        <v>37</v>
      </c>
      <c r="F4818" s="5">
        <v>4</v>
      </c>
      <c r="G4818" s="19">
        <v>0.1</v>
      </c>
      <c r="H4818" s="5" t="s">
        <v>454</v>
      </c>
      <c r="I4818" s="10">
        <f>IF(OR(D4818="", F4818=""), "", F4818 * VLOOKUP(D4818, Products!A:E, 5, FALSE) * (1 - G4818))</f>
        <v>5306.8319999999994</v>
      </c>
      <c r="J4818" s="10"/>
    </row>
    <row r="4819" spans="1:10" ht="15.75" customHeight="1" x14ac:dyDescent="0.3">
      <c r="A4819" s="5" t="s">
        <v>5686</v>
      </c>
      <c r="B4819" s="11">
        <v>45370</v>
      </c>
      <c r="C4819" s="5" t="s">
        <v>662</v>
      </c>
      <c r="D4819" s="5" t="s">
        <v>226</v>
      </c>
      <c r="E4819" s="5" t="s">
        <v>21</v>
      </c>
      <c r="F4819" s="5">
        <v>2</v>
      </c>
      <c r="G4819" s="19">
        <v>0.15</v>
      </c>
      <c r="H4819" s="5" t="s">
        <v>454</v>
      </c>
      <c r="I4819" s="10">
        <f>IF(OR(D4819="", F4819=""), "", F4819 * VLOOKUP(D4819, Products!A:E, 5, FALSE) * (1 - G4819))</f>
        <v>2552.482</v>
      </c>
      <c r="J4819" s="10"/>
    </row>
    <row r="4820" spans="1:10" ht="15.75" customHeight="1" x14ac:dyDescent="0.3">
      <c r="A4820" s="5" t="s">
        <v>5687</v>
      </c>
      <c r="B4820" s="11">
        <v>45630</v>
      </c>
      <c r="C4820" s="5" t="s">
        <v>649</v>
      </c>
      <c r="D4820" s="5" t="s">
        <v>256</v>
      </c>
      <c r="E4820" s="5" t="s">
        <v>37</v>
      </c>
      <c r="F4820" s="5">
        <v>2</v>
      </c>
      <c r="G4820" s="19">
        <v>0</v>
      </c>
      <c r="H4820" s="5" t="s">
        <v>454</v>
      </c>
      <c r="I4820" s="10">
        <f>IF(OR(D4820="", F4820=""), "", F4820 * VLOOKUP(D4820, Products!A:E, 5, FALSE) * (1 - G4820))</f>
        <v>3270.02</v>
      </c>
      <c r="J4820" s="10"/>
    </row>
    <row r="4821" spans="1:10" ht="15.75" customHeight="1" x14ac:dyDescent="0.3">
      <c r="A4821" s="5" t="s">
        <v>5688</v>
      </c>
      <c r="B4821" s="11">
        <v>45582</v>
      </c>
      <c r="C4821" s="5" t="s">
        <v>826</v>
      </c>
      <c r="D4821" s="5" t="s">
        <v>54</v>
      </c>
      <c r="E4821" s="5" t="s">
        <v>37</v>
      </c>
      <c r="F4821" s="5">
        <v>4</v>
      </c>
      <c r="G4821" s="19">
        <v>0.15</v>
      </c>
      <c r="H4821" s="5" t="s">
        <v>697</v>
      </c>
      <c r="I4821" s="10">
        <f>IF(OR(D4821="", F4821=""), "", F4821 * VLOOKUP(D4821, Products!A:E, 5, FALSE) * (1 - G4821))</f>
        <v>6302.8180000000002</v>
      </c>
      <c r="J4821" s="10"/>
    </row>
    <row r="4822" spans="1:10" ht="15.75" customHeight="1" x14ac:dyDescent="0.3">
      <c r="A4822" s="5" t="s">
        <v>5689</v>
      </c>
      <c r="B4822" s="11">
        <v>45750</v>
      </c>
      <c r="C4822" s="5" t="s">
        <v>657</v>
      </c>
      <c r="D4822" s="5" t="s">
        <v>188</v>
      </c>
      <c r="E4822" s="5" t="s">
        <v>29</v>
      </c>
      <c r="F4822" s="5">
        <v>3</v>
      </c>
      <c r="G4822" s="19">
        <v>0.15</v>
      </c>
      <c r="H4822" s="5" t="s">
        <v>637</v>
      </c>
      <c r="I4822" s="10">
        <f>IF(OR(D4822="", F4822=""), "", F4822 * VLOOKUP(D4822, Products!A:E, 5, FALSE) * (1 - G4822))</f>
        <v>3786.8774999999996</v>
      </c>
      <c r="J4822" s="10"/>
    </row>
    <row r="4823" spans="1:10" ht="15.75" customHeight="1" x14ac:dyDescent="0.3">
      <c r="A4823" s="5" t="s">
        <v>5690</v>
      </c>
      <c r="B4823" s="11">
        <v>45774</v>
      </c>
      <c r="C4823" s="5" t="s">
        <v>304</v>
      </c>
      <c r="D4823" s="5" t="s">
        <v>54</v>
      </c>
      <c r="E4823" s="5" t="s">
        <v>25</v>
      </c>
      <c r="F4823" s="5">
        <v>2</v>
      </c>
      <c r="G4823" s="19">
        <v>0.05</v>
      </c>
      <c r="H4823" s="5" t="s">
        <v>637</v>
      </c>
      <c r="I4823" s="10">
        <f>IF(OR(D4823="", F4823=""), "", F4823 * VLOOKUP(D4823, Products!A:E, 5, FALSE) * (1 - G4823))</f>
        <v>3522.163</v>
      </c>
      <c r="J4823" s="10"/>
    </row>
    <row r="4824" spans="1:10" ht="15.75" customHeight="1" x14ac:dyDescent="0.3">
      <c r="A4824" s="5" t="s">
        <v>5691</v>
      </c>
      <c r="B4824" s="11">
        <v>45368</v>
      </c>
      <c r="C4824" s="5" t="s">
        <v>137</v>
      </c>
      <c r="D4824" s="5" t="s">
        <v>180</v>
      </c>
      <c r="E4824" s="5" t="s">
        <v>33</v>
      </c>
      <c r="F4824" s="5">
        <v>4</v>
      </c>
      <c r="G4824" s="19">
        <v>0.15</v>
      </c>
      <c r="H4824" s="5" t="s">
        <v>637</v>
      </c>
      <c r="I4824" s="10">
        <f>IF(OR(D4824="", F4824=""), "", F4824 * VLOOKUP(D4824, Products!A:E, 5, FALSE) * (1 - G4824))</f>
        <v>2290.8519999999999</v>
      </c>
      <c r="J4824" s="10"/>
    </row>
    <row r="4825" spans="1:10" ht="15.75" customHeight="1" x14ac:dyDescent="0.3">
      <c r="A4825" s="5" t="s">
        <v>5692</v>
      </c>
      <c r="B4825" s="11">
        <v>45421</v>
      </c>
      <c r="C4825" s="5" t="s">
        <v>440</v>
      </c>
      <c r="D4825" s="5" t="s">
        <v>65</v>
      </c>
      <c r="E4825" s="5" t="s">
        <v>37</v>
      </c>
      <c r="F4825" s="5">
        <v>1</v>
      </c>
      <c r="G4825" s="19">
        <v>0.05</v>
      </c>
      <c r="H4825" s="5" t="s">
        <v>454</v>
      </c>
      <c r="I4825" s="10">
        <f>IF(OR(D4825="", F4825=""), "", F4825 * VLOOKUP(D4825, Products!A:E, 5, FALSE) * (1 - G4825))</f>
        <v>1400.4139999999998</v>
      </c>
      <c r="J4825" s="10"/>
    </row>
    <row r="4826" spans="1:10" ht="15.75" customHeight="1" x14ac:dyDescent="0.3">
      <c r="A4826" s="5" t="s">
        <v>5693</v>
      </c>
      <c r="B4826" s="11">
        <v>45877</v>
      </c>
      <c r="C4826" s="5" t="s">
        <v>711</v>
      </c>
      <c r="D4826" s="5" t="s">
        <v>82</v>
      </c>
      <c r="E4826" s="5" t="s">
        <v>29</v>
      </c>
      <c r="F4826" s="5">
        <v>5</v>
      </c>
      <c r="G4826" s="19">
        <v>0.15</v>
      </c>
      <c r="H4826" s="5" t="s">
        <v>697</v>
      </c>
      <c r="I4826" s="10">
        <f>IF(OR(D4826="", F4826=""), "", F4826 * VLOOKUP(D4826, Products!A:E, 5, FALSE) * (1 - G4826))</f>
        <v>5070.6324999999997</v>
      </c>
      <c r="J4826" s="10"/>
    </row>
    <row r="4827" spans="1:10" ht="15.75" customHeight="1" x14ac:dyDescent="0.3">
      <c r="A4827" s="5" t="s">
        <v>5694</v>
      </c>
      <c r="B4827" s="11">
        <v>45821</v>
      </c>
      <c r="C4827" s="5" t="s">
        <v>286</v>
      </c>
      <c r="D4827" s="5" t="s">
        <v>70</v>
      </c>
      <c r="E4827" s="5" t="s">
        <v>21</v>
      </c>
      <c r="F4827" s="5">
        <v>3</v>
      </c>
      <c r="G4827" s="19">
        <v>0.05</v>
      </c>
      <c r="H4827" s="5" t="s">
        <v>637</v>
      </c>
      <c r="I4827" s="10">
        <f>IF(OR(D4827="", F4827=""), "", F4827 * VLOOKUP(D4827, Products!A:E, 5, FALSE) * (1 - G4827))</f>
        <v>351.0915</v>
      </c>
      <c r="J4827" s="10"/>
    </row>
    <row r="4828" spans="1:10" ht="15.75" customHeight="1" x14ac:dyDescent="0.3">
      <c r="A4828" s="5" t="s">
        <v>5695</v>
      </c>
      <c r="B4828" s="11">
        <v>45633</v>
      </c>
      <c r="C4828" s="5" t="s">
        <v>342</v>
      </c>
      <c r="D4828" s="5" t="s">
        <v>147</v>
      </c>
      <c r="E4828" s="5" t="s">
        <v>25</v>
      </c>
      <c r="F4828" s="5">
        <v>4</v>
      </c>
      <c r="G4828" s="19">
        <v>0.05</v>
      </c>
      <c r="H4828" s="5" t="s">
        <v>776</v>
      </c>
      <c r="I4828" s="10">
        <f>IF(OR(D4828="", F4828=""), "", F4828 * VLOOKUP(D4828, Products!A:E, 5, FALSE) * (1 - G4828))</f>
        <v>7138.1859999999997</v>
      </c>
      <c r="J4828" s="10"/>
    </row>
    <row r="4829" spans="1:10" ht="15.75" customHeight="1" x14ac:dyDescent="0.3">
      <c r="A4829" s="5" t="s">
        <v>5696</v>
      </c>
      <c r="B4829" s="11">
        <v>45647</v>
      </c>
      <c r="C4829" s="5" t="s">
        <v>536</v>
      </c>
      <c r="D4829" s="5" t="s">
        <v>221</v>
      </c>
      <c r="E4829" s="5" t="s">
        <v>33</v>
      </c>
      <c r="F4829" s="5">
        <v>4</v>
      </c>
      <c r="G4829" s="19">
        <v>0</v>
      </c>
      <c r="H4829" s="5" t="s">
        <v>637</v>
      </c>
      <c r="I4829" s="10">
        <f>IF(OR(D4829="", F4829=""), "", F4829 * VLOOKUP(D4829, Products!A:E, 5, FALSE) * (1 - G4829))</f>
        <v>6249.72</v>
      </c>
      <c r="J4829" s="10"/>
    </row>
    <row r="4830" spans="1:10" ht="15.75" customHeight="1" x14ac:dyDescent="0.3">
      <c r="A4830" s="5" t="s">
        <v>5697</v>
      </c>
      <c r="B4830" s="11">
        <v>45586</v>
      </c>
      <c r="C4830" s="5" t="s">
        <v>703</v>
      </c>
      <c r="D4830" s="5" t="s">
        <v>74</v>
      </c>
      <c r="E4830" s="5" t="s">
        <v>37</v>
      </c>
      <c r="F4830" s="5">
        <v>4</v>
      </c>
      <c r="G4830" s="19">
        <v>0.05</v>
      </c>
      <c r="H4830" s="5" t="s">
        <v>697</v>
      </c>
      <c r="I4830" s="10">
        <f>IF(OR(D4830="", F4830=""), "", F4830 * VLOOKUP(D4830, Products!A:E, 5, FALSE) * (1 - G4830))</f>
        <v>4537.655999999999</v>
      </c>
      <c r="J4830" s="10"/>
    </row>
    <row r="4831" spans="1:10" ht="15.75" customHeight="1" x14ac:dyDescent="0.3">
      <c r="A4831" s="5" t="s">
        <v>5698</v>
      </c>
      <c r="B4831" s="11">
        <v>45815</v>
      </c>
      <c r="C4831" s="5" t="s">
        <v>499</v>
      </c>
      <c r="D4831" s="5" t="s">
        <v>188</v>
      </c>
      <c r="E4831" s="5" t="s">
        <v>33</v>
      </c>
      <c r="F4831" s="5">
        <v>5</v>
      </c>
      <c r="G4831" s="19">
        <v>0.05</v>
      </c>
      <c r="H4831" s="5" t="s">
        <v>697</v>
      </c>
      <c r="I4831" s="10">
        <f>IF(OR(D4831="", F4831=""), "", F4831 * VLOOKUP(D4831, Products!A:E, 5, FALSE) * (1 - G4831))</f>
        <v>7053.9874999999993</v>
      </c>
      <c r="J4831" s="10"/>
    </row>
    <row r="4832" spans="1:10" ht="15.75" customHeight="1" x14ac:dyDescent="0.3">
      <c r="A4832" s="5" t="s">
        <v>5699</v>
      </c>
      <c r="B4832" s="11">
        <v>45766</v>
      </c>
      <c r="C4832" s="5" t="s">
        <v>372</v>
      </c>
      <c r="D4832" s="5" t="s">
        <v>200</v>
      </c>
      <c r="E4832" s="5" t="s">
        <v>29</v>
      </c>
      <c r="F4832" s="5">
        <v>5</v>
      </c>
      <c r="G4832" s="19">
        <v>0.15</v>
      </c>
      <c r="H4832" s="5" t="s">
        <v>637</v>
      </c>
      <c r="I4832" s="10">
        <f>IF(OR(D4832="", F4832=""), "", F4832 * VLOOKUP(D4832, Products!A:E, 5, FALSE) * (1 - G4832))</f>
        <v>4656.8100000000004</v>
      </c>
      <c r="J4832" s="10"/>
    </row>
    <row r="4833" spans="1:10" ht="15.75" customHeight="1" x14ac:dyDescent="0.3">
      <c r="A4833" s="5" t="s">
        <v>5700</v>
      </c>
      <c r="B4833" s="11">
        <v>45539</v>
      </c>
      <c r="C4833" s="5" t="s">
        <v>691</v>
      </c>
      <c r="D4833" s="5" t="s">
        <v>232</v>
      </c>
      <c r="E4833" s="5" t="s">
        <v>37</v>
      </c>
      <c r="F4833" s="5">
        <v>4</v>
      </c>
      <c r="G4833" s="19">
        <v>0.15</v>
      </c>
      <c r="H4833" s="5" t="s">
        <v>637</v>
      </c>
      <c r="I4833" s="10">
        <f>IF(OR(D4833="", F4833=""), "", F4833 * VLOOKUP(D4833, Products!A:E, 5, FALSE) * (1 - G4833))</f>
        <v>6639.01</v>
      </c>
      <c r="J4833" s="10"/>
    </row>
    <row r="4834" spans="1:10" ht="15.75" customHeight="1" x14ac:dyDescent="0.3">
      <c r="A4834" s="5" t="s">
        <v>5701</v>
      </c>
      <c r="B4834" s="11">
        <v>45469</v>
      </c>
      <c r="C4834" s="5" t="s">
        <v>736</v>
      </c>
      <c r="D4834" s="5" t="s">
        <v>67</v>
      </c>
      <c r="E4834" s="5" t="s">
        <v>25</v>
      </c>
      <c r="F4834" s="5">
        <v>3</v>
      </c>
      <c r="G4834" s="19">
        <v>0.15</v>
      </c>
      <c r="H4834" s="5" t="s">
        <v>776</v>
      </c>
      <c r="I4834" s="10">
        <f>IF(OR(D4834="", F4834=""), "", F4834 * VLOOKUP(D4834, Products!A:E, 5, FALSE) * (1 - G4834))</f>
        <v>279.93900000000002</v>
      </c>
      <c r="J4834" s="10"/>
    </row>
    <row r="4835" spans="1:10" ht="15.75" customHeight="1" x14ac:dyDescent="0.3">
      <c r="A4835" s="5" t="s">
        <v>5702</v>
      </c>
      <c r="B4835" s="11">
        <v>45730</v>
      </c>
      <c r="C4835" s="5" t="s">
        <v>458</v>
      </c>
      <c r="D4835" s="5" t="s">
        <v>291</v>
      </c>
      <c r="E4835" s="5" t="s">
        <v>21</v>
      </c>
      <c r="F4835" s="5">
        <v>2</v>
      </c>
      <c r="G4835" s="19">
        <v>0.1</v>
      </c>
      <c r="H4835" s="5" t="s">
        <v>697</v>
      </c>
      <c r="I4835" s="10">
        <f>IF(OR(D4835="", F4835=""), "", F4835 * VLOOKUP(D4835, Products!A:E, 5, FALSE) * (1 - G4835))</f>
        <v>1880.3520000000003</v>
      </c>
      <c r="J4835" s="10"/>
    </row>
    <row r="4836" spans="1:10" ht="15.75" customHeight="1" x14ac:dyDescent="0.3">
      <c r="A4836" s="5" t="s">
        <v>5703</v>
      </c>
      <c r="B4836" s="11">
        <v>45730</v>
      </c>
      <c r="C4836" s="5" t="s">
        <v>155</v>
      </c>
      <c r="D4836" s="5" t="s">
        <v>226</v>
      </c>
      <c r="E4836" s="5" t="s">
        <v>37</v>
      </c>
      <c r="F4836" s="5">
        <v>3</v>
      </c>
      <c r="G4836" s="19">
        <v>0.05</v>
      </c>
      <c r="H4836" s="5" t="s">
        <v>776</v>
      </c>
      <c r="I4836" s="10">
        <f>IF(OR(D4836="", F4836=""), "", F4836 * VLOOKUP(D4836, Products!A:E, 5, FALSE) * (1 - G4836))</f>
        <v>4279.1610000000001</v>
      </c>
      <c r="J4836" s="10"/>
    </row>
    <row r="4837" spans="1:10" ht="15.75" customHeight="1" x14ac:dyDescent="0.3">
      <c r="A4837" s="5" t="s">
        <v>5704</v>
      </c>
      <c r="B4837" s="11">
        <v>45876</v>
      </c>
      <c r="C4837" s="5" t="s">
        <v>481</v>
      </c>
      <c r="D4837" s="5" t="s">
        <v>140</v>
      </c>
      <c r="E4837" s="5" t="s">
        <v>25</v>
      </c>
      <c r="F4837" s="5">
        <v>5</v>
      </c>
      <c r="G4837" s="19">
        <v>0.05</v>
      </c>
      <c r="H4837" s="5" t="s">
        <v>776</v>
      </c>
      <c r="I4837" s="10">
        <f>IF(OR(D4837="", F4837=""), "", F4837 * VLOOKUP(D4837, Products!A:E, 5, FALSE) * (1 - G4837))</f>
        <v>121.4575</v>
      </c>
      <c r="J4837" s="10"/>
    </row>
    <row r="4838" spans="1:10" ht="15.75" customHeight="1" x14ac:dyDescent="0.3">
      <c r="A4838" s="5" t="s">
        <v>5705</v>
      </c>
      <c r="B4838" s="11">
        <v>45757</v>
      </c>
      <c r="C4838" s="5" t="s">
        <v>308</v>
      </c>
      <c r="D4838" s="5" t="s">
        <v>232</v>
      </c>
      <c r="E4838" s="5" t="s">
        <v>25</v>
      </c>
      <c r="F4838" s="5">
        <v>4</v>
      </c>
      <c r="G4838" s="19">
        <v>0</v>
      </c>
      <c r="H4838" s="5" t="s">
        <v>776</v>
      </c>
      <c r="I4838" s="10">
        <f>IF(OR(D4838="", F4838=""), "", F4838 * VLOOKUP(D4838, Products!A:E, 5, FALSE) * (1 - G4838))</f>
        <v>7810.6</v>
      </c>
      <c r="J4838" s="10"/>
    </row>
    <row r="4839" spans="1:10" ht="15.75" customHeight="1" x14ac:dyDescent="0.3">
      <c r="A4839" s="5" t="s">
        <v>5706</v>
      </c>
      <c r="B4839" s="11">
        <v>45390</v>
      </c>
      <c r="C4839" s="5" t="s">
        <v>69</v>
      </c>
      <c r="D4839" s="5" t="s">
        <v>206</v>
      </c>
      <c r="E4839" s="5" t="s">
        <v>21</v>
      </c>
      <c r="F4839" s="5">
        <v>3</v>
      </c>
      <c r="G4839" s="19">
        <v>0.1</v>
      </c>
      <c r="H4839" s="5" t="s">
        <v>776</v>
      </c>
      <c r="I4839" s="10">
        <f>IF(OR(D4839="", F4839=""), "", F4839 * VLOOKUP(D4839, Products!A:E, 5, FALSE) * (1 - G4839))</f>
        <v>822.71699999999987</v>
      </c>
      <c r="J4839" s="10"/>
    </row>
    <row r="4840" spans="1:10" ht="15.75" customHeight="1" x14ac:dyDescent="0.3">
      <c r="A4840" s="5" t="s">
        <v>5707</v>
      </c>
      <c r="B4840" s="11">
        <v>45615</v>
      </c>
      <c r="C4840" s="5" t="s">
        <v>774</v>
      </c>
      <c r="D4840" s="5" t="s">
        <v>249</v>
      </c>
      <c r="E4840" s="5" t="s">
        <v>33</v>
      </c>
      <c r="F4840" s="5">
        <v>4</v>
      </c>
      <c r="G4840" s="19">
        <v>0.05</v>
      </c>
      <c r="H4840" s="5" t="s">
        <v>776</v>
      </c>
      <c r="I4840" s="10">
        <f>IF(OR(D4840="", F4840=""), "", F4840 * VLOOKUP(D4840, Products!A:E, 5, FALSE) * (1 - G4840))</f>
        <v>6633.3179999999993</v>
      </c>
      <c r="J4840" s="10"/>
    </row>
    <row r="4841" spans="1:10" ht="15.75" customHeight="1" x14ac:dyDescent="0.3">
      <c r="A4841" s="5" t="s">
        <v>5708</v>
      </c>
      <c r="B4841" s="11">
        <v>45345</v>
      </c>
      <c r="C4841" s="5" t="s">
        <v>462</v>
      </c>
      <c r="D4841" s="5" t="s">
        <v>206</v>
      </c>
      <c r="E4841" s="5" t="s">
        <v>25</v>
      </c>
      <c r="F4841" s="5">
        <v>1</v>
      </c>
      <c r="G4841" s="19">
        <v>0.1</v>
      </c>
      <c r="H4841" s="5" t="s">
        <v>776</v>
      </c>
      <c r="I4841" s="10">
        <f>IF(OR(D4841="", F4841=""), "", F4841 * VLOOKUP(D4841, Products!A:E, 5, FALSE) * (1 - G4841))</f>
        <v>274.23899999999998</v>
      </c>
      <c r="J4841" s="10"/>
    </row>
    <row r="4842" spans="1:10" ht="15.75" customHeight="1" x14ac:dyDescent="0.3">
      <c r="A4842" s="5" t="s">
        <v>5709</v>
      </c>
      <c r="B4842" s="11">
        <v>45313</v>
      </c>
      <c r="C4842" s="5" t="s">
        <v>372</v>
      </c>
      <c r="D4842" s="5" t="s">
        <v>43</v>
      </c>
      <c r="E4842" s="5" t="s">
        <v>29</v>
      </c>
      <c r="F4842" s="5">
        <v>1</v>
      </c>
      <c r="G4842" s="19">
        <v>0</v>
      </c>
      <c r="H4842" s="5" t="s">
        <v>697</v>
      </c>
      <c r="I4842" s="10">
        <f>IF(OR(D4842="", F4842=""), "", F4842 * VLOOKUP(D4842, Products!A:E, 5, FALSE) * (1 - G4842))</f>
        <v>1673.69</v>
      </c>
      <c r="J4842" s="10"/>
    </row>
    <row r="4843" spans="1:10" ht="15.75" customHeight="1" x14ac:dyDescent="0.3">
      <c r="A4843" s="5" t="s">
        <v>5710</v>
      </c>
      <c r="B4843" s="11">
        <v>45635</v>
      </c>
      <c r="C4843" s="5" t="s">
        <v>657</v>
      </c>
      <c r="D4843" s="5" t="s">
        <v>65</v>
      </c>
      <c r="E4843" s="5" t="s">
        <v>37</v>
      </c>
      <c r="F4843" s="5">
        <v>4</v>
      </c>
      <c r="G4843" s="19">
        <v>0.1</v>
      </c>
      <c r="H4843" s="5" t="s">
        <v>697</v>
      </c>
      <c r="I4843" s="10">
        <f>IF(OR(D4843="", F4843=""), "", F4843 * VLOOKUP(D4843, Products!A:E, 5, FALSE) * (1 - G4843))</f>
        <v>5306.8319999999994</v>
      </c>
      <c r="J4843" s="10"/>
    </row>
    <row r="4844" spans="1:10" ht="15.75" customHeight="1" x14ac:dyDescent="0.3">
      <c r="A4844" s="5" t="s">
        <v>5711</v>
      </c>
      <c r="B4844" s="11">
        <v>45411</v>
      </c>
      <c r="C4844" s="5" t="s">
        <v>755</v>
      </c>
      <c r="D4844" s="5" t="s">
        <v>200</v>
      </c>
      <c r="E4844" s="5" t="s">
        <v>37</v>
      </c>
      <c r="F4844" s="5">
        <v>4</v>
      </c>
      <c r="G4844" s="19">
        <v>0.05</v>
      </c>
      <c r="H4844" s="5" t="s">
        <v>776</v>
      </c>
      <c r="I4844" s="10">
        <f>IF(OR(D4844="", F4844=""), "", F4844 * VLOOKUP(D4844, Products!A:E, 5, FALSE) * (1 - G4844))</f>
        <v>4163.7359999999999</v>
      </c>
      <c r="J4844" s="10"/>
    </row>
    <row r="4845" spans="1:10" ht="15.75" customHeight="1" x14ac:dyDescent="0.3">
      <c r="A4845" s="5" t="s">
        <v>5712</v>
      </c>
      <c r="B4845" s="11">
        <v>45200</v>
      </c>
      <c r="C4845" s="5" t="s">
        <v>722</v>
      </c>
      <c r="D4845" s="5" t="s">
        <v>89</v>
      </c>
      <c r="E4845" s="5" t="s">
        <v>37</v>
      </c>
      <c r="F4845" s="5">
        <v>5</v>
      </c>
      <c r="G4845" s="19">
        <v>0.15</v>
      </c>
      <c r="H4845" s="5" t="s">
        <v>454</v>
      </c>
      <c r="I4845" s="10">
        <f>IF(OR(D4845="", F4845=""), "", F4845 * VLOOKUP(D4845, Products!A:E, 5, FALSE) * (1 - G4845))</f>
        <v>4822.8999999999996</v>
      </c>
      <c r="J4845" s="10"/>
    </row>
    <row r="4846" spans="1:10" ht="15.75" customHeight="1" x14ac:dyDescent="0.3">
      <c r="A4846" s="5" t="s">
        <v>5713</v>
      </c>
      <c r="B4846" s="11">
        <v>45291</v>
      </c>
      <c r="C4846" s="5" t="s">
        <v>786</v>
      </c>
      <c r="D4846" s="5" t="s">
        <v>119</v>
      </c>
      <c r="E4846" s="5" t="s">
        <v>33</v>
      </c>
      <c r="F4846" s="5">
        <v>3</v>
      </c>
      <c r="G4846" s="19">
        <v>0.05</v>
      </c>
      <c r="H4846" s="5" t="s">
        <v>697</v>
      </c>
      <c r="I4846" s="10">
        <f>IF(OR(D4846="", F4846=""), "", F4846 * VLOOKUP(D4846, Products!A:E, 5, FALSE) * (1 - G4846))</f>
        <v>3077.6864999999998</v>
      </c>
      <c r="J4846" s="10"/>
    </row>
    <row r="4847" spans="1:10" ht="15.75" customHeight="1" x14ac:dyDescent="0.3">
      <c r="A4847" s="5" t="s">
        <v>5714</v>
      </c>
      <c r="B4847" s="11">
        <v>45360</v>
      </c>
      <c r="C4847" s="5" t="s">
        <v>450</v>
      </c>
      <c r="D4847" s="5" t="s">
        <v>119</v>
      </c>
      <c r="E4847" s="5" t="s">
        <v>21</v>
      </c>
      <c r="F4847" s="5">
        <v>3</v>
      </c>
      <c r="G4847" s="19">
        <v>0.05</v>
      </c>
      <c r="H4847" s="5" t="s">
        <v>776</v>
      </c>
      <c r="I4847" s="10">
        <f>IF(OR(D4847="", F4847=""), "", F4847 * VLOOKUP(D4847, Products!A:E, 5, FALSE) * (1 - G4847))</f>
        <v>3077.6864999999998</v>
      </c>
      <c r="J4847" s="10"/>
    </row>
    <row r="4848" spans="1:10" ht="15.75" customHeight="1" x14ac:dyDescent="0.3">
      <c r="A4848" s="5" t="s">
        <v>5715</v>
      </c>
      <c r="B4848" s="11">
        <v>45602</v>
      </c>
      <c r="C4848" s="5" t="s">
        <v>657</v>
      </c>
      <c r="D4848" s="5" t="s">
        <v>67</v>
      </c>
      <c r="E4848" s="5" t="s">
        <v>25</v>
      </c>
      <c r="F4848" s="5">
        <v>2</v>
      </c>
      <c r="G4848" s="19">
        <v>0.1</v>
      </c>
      <c r="H4848" s="5" t="s">
        <v>697</v>
      </c>
      <c r="I4848" s="10">
        <f>IF(OR(D4848="", F4848=""), "", F4848 * VLOOKUP(D4848, Products!A:E, 5, FALSE) * (1 - G4848))</f>
        <v>197.60400000000001</v>
      </c>
      <c r="J4848" s="10"/>
    </row>
    <row r="4849" spans="1:10" ht="15.75" customHeight="1" x14ac:dyDescent="0.3">
      <c r="A4849" s="5" t="s">
        <v>5716</v>
      </c>
      <c r="B4849" s="11">
        <v>45288</v>
      </c>
      <c r="C4849" s="5" t="s">
        <v>121</v>
      </c>
      <c r="D4849" s="5" t="s">
        <v>256</v>
      </c>
      <c r="E4849" s="5" t="s">
        <v>37</v>
      </c>
      <c r="F4849" s="5">
        <v>4</v>
      </c>
      <c r="G4849" s="19">
        <v>0.15</v>
      </c>
      <c r="H4849" s="5" t="s">
        <v>637</v>
      </c>
      <c r="I4849" s="10">
        <f>IF(OR(D4849="", F4849=""), "", F4849 * VLOOKUP(D4849, Products!A:E, 5, FALSE) * (1 - G4849))</f>
        <v>5559.0339999999997</v>
      </c>
      <c r="J4849" s="10"/>
    </row>
    <row r="4850" spans="1:10" ht="15.75" customHeight="1" x14ac:dyDescent="0.3">
      <c r="A4850" s="5" t="s">
        <v>5717</v>
      </c>
      <c r="B4850" s="11">
        <v>45399</v>
      </c>
      <c r="C4850" s="5" t="s">
        <v>733</v>
      </c>
      <c r="D4850" s="5" t="s">
        <v>140</v>
      </c>
      <c r="E4850" s="5" t="s">
        <v>21</v>
      </c>
      <c r="F4850" s="5">
        <v>5</v>
      </c>
      <c r="G4850" s="19">
        <v>0.1</v>
      </c>
      <c r="H4850" s="5" t="s">
        <v>637</v>
      </c>
      <c r="I4850" s="10">
        <f>IF(OR(D4850="", F4850=""), "", F4850 * VLOOKUP(D4850, Products!A:E, 5, FALSE) * (1 - G4850))</f>
        <v>115.065</v>
      </c>
      <c r="J4850" s="10"/>
    </row>
    <row r="4851" spans="1:10" ht="15.75" customHeight="1" x14ac:dyDescent="0.3">
      <c r="A4851" s="5" t="s">
        <v>5718</v>
      </c>
      <c r="B4851" s="11">
        <v>45900</v>
      </c>
      <c r="C4851" s="5" t="s">
        <v>274</v>
      </c>
      <c r="D4851" s="5" t="s">
        <v>188</v>
      </c>
      <c r="E4851" s="5" t="s">
        <v>37</v>
      </c>
      <c r="F4851" s="5">
        <v>5</v>
      </c>
      <c r="G4851" s="19">
        <v>0</v>
      </c>
      <c r="H4851" s="5" t="s">
        <v>454</v>
      </c>
      <c r="I4851" s="10">
        <f>IF(OR(D4851="", F4851=""), "", F4851 * VLOOKUP(D4851, Products!A:E, 5, FALSE) * (1 - G4851))</f>
        <v>7425.25</v>
      </c>
      <c r="J4851" s="10"/>
    </row>
    <row r="4852" spans="1:10" ht="15.75" customHeight="1" x14ac:dyDescent="0.3">
      <c r="A4852" s="5" t="s">
        <v>5719</v>
      </c>
      <c r="B4852" s="11">
        <v>45441</v>
      </c>
      <c r="C4852" s="5" t="s">
        <v>550</v>
      </c>
      <c r="D4852" s="5" t="s">
        <v>232</v>
      </c>
      <c r="E4852" s="5" t="s">
        <v>37</v>
      </c>
      <c r="F4852" s="5">
        <v>2</v>
      </c>
      <c r="G4852" s="19">
        <v>0</v>
      </c>
      <c r="H4852" s="5" t="s">
        <v>776</v>
      </c>
      <c r="I4852" s="10">
        <f>IF(OR(D4852="", F4852=""), "", F4852 * VLOOKUP(D4852, Products!A:E, 5, FALSE) * (1 - G4852))</f>
        <v>3905.3</v>
      </c>
      <c r="J4852" s="10"/>
    </row>
    <row r="4853" spans="1:10" ht="15.75" customHeight="1" x14ac:dyDescent="0.3">
      <c r="A4853" s="5" t="s">
        <v>5720</v>
      </c>
      <c r="B4853" s="11">
        <v>45755</v>
      </c>
      <c r="C4853" s="5" t="s">
        <v>618</v>
      </c>
      <c r="D4853" s="5" t="s">
        <v>61</v>
      </c>
      <c r="E4853" s="5" t="s">
        <v>29</v>
      </c>
      <c r="F4853" s="5">
        <v>2</v>
      </c>
      <c r="G4853" s="19">
        <v>0</v>
      </c>
      <c r="H4853" s="5" t="s">
        <v>637</v>
      </c>
      <c r="I4853" s="10">
        <f>IF(OR(D4853="", F4853=""), "", F4853 * VLOOKUP(D4853, Products!A:E, 5, FALSE) * (1 - G4853))</f>
        <v>636.1</v>
      </c>
      <c r="J4853" s="10"/>
    </row>
    <row r="4854" spans="1:10" ht="15.75" customHeight="1" x14ac:dyDescent="0.3">
      <c r="A4854" s="5" t="s">
        <v>5721</v>
      </c>
      <c r="B4854" s="11">
        <v>45524</v>
      </c>
      <c r="C4854" s="5" t="s">
        <v>740</v>
      </c>
      <c r="D4854" s="5" t="s">
        <v>265</v>
      </c>
      <c r="E4854" s="5" t="s">
        <v>33</v>
      </c>
      <c r="F4854" s="5">
        <v>4</v>
      </c>
      <c r="G4854" s="19">
        <v>0</v>
      </c>
      <c r="H4854" s="5" t="s">
        <v>637</v>
      </c>
      <c r="I4854" s="10">
        <f>IF(OR(D4854="", F4854=""), "", F4854 * VLOOKUP(D4854, Products!A:E, 5, FALSE) * (1 - G4854))</f>
        <v>2257.6799999999998</v>
      </c>
      <c r="J4854" s="10"/>
    </row>
    <row r="4855" spans="1:10" ht="15.75" customHeight="1" x14ac:dyDescent="0.3">
      <c r="A4855" s="5" t="s">
        <v>5722</v>
      </c>
      <c r="B4855" s="11">
        <v>45690</v>
      </c>
      <c r="C4855" s="5" t="s">
        <v>705</v>
      </c>
      <c r="D4855" s="5" t="s">
        <v>128</v>
      </c>
      <c r="E4855" s="5" t="s">
        <v>29</v>
      </c>
      <c r="F4855" s="5">
        <v>4</v>
      </c>
      <c r="G4855" s="19">
        <v>0.05</v>
      </c>
      <c r="H4855" s="5" t="s">
        <v>454</v>
      </c>
      <c r="I4855" s="10">
        <f>IF(OR(D4855="", F4855=""), "", F4855 * VLOOKUP(D4855, Products!A:E, 5, FALSE) * (1 - G4855))</f>
        <v>1230.896</v>
      </c>
      <c r="J4855" s="10"/>
    </row>
    <row r="4856" spans="1:10" ht="15.75" customHeight="1" x14ac:dyDescent="0.3">
      <c r="A4856" s="5" t="s">
        <v>5723</v>
      </c>
      <c r="B4856" s="11">
        <v>45741</v>
      </c>
      <c r="C4856" s="5" t="s">
        <v>69</v>
      </c>
      <c r="D4856" s="5" t="s">
        <v>119</v>
      </c>
      <c r="E4856" s="5" t="s">
        <v>29</v>
      </c>
      <c r="F4856" s="5">
        <v>2</v>
      </c>
      <c r="G4856" s="19">
        <v>0.1</v>
      </c>
      <c r="H4856" s="5" t="s">
        <v>637</v>
      </c>
      <c r="I4856" s="10">
        <f>IF(OR(D4856="", F4856=""), "", F4856 * VLOOKUP(D4856, Products!A:E, 5, FALSE) * (1 - G4856))</f>
        <v>1943.8020000000001</v>
      </c>
      <c r="J4856" s="10"/>
    </row>
    <row r="4857" spans="1:10" ht="15.75" customHeight="1" x14ac:dyDescent="0.3">
      <c r="A4857" s="5" t="s">
        <v>5724</v>
      </c>
      <c r="B4857" s="11">
        <v>45658</v>
      </c>
      <c r="C4857" s="5" t="s">
        <v>412</v>
      </c>
      <c r="D4857" s="5" t="s">
        <v>82</v>
      </c>
      <c r="E4857" s="5" t="s">
        <v>21</v>
      </c>
      <c r="F4857" s="5">
        <v>2</v>
      </c>
      <c r="G4857" s="19">
        <v>0.1</v>
      </c>
      <c r="H4857" s="5" t="s">
        <v>697</v>
      </c>
      <c r="I4857" s="10">
        <f>IF(OR(D4857="", F4857=""), "", F4857 * VLOOKUP(D4857, Products!A:E, 5, FALSE) * (1 - G4857))</f>
        <v>2147.5619999999999</v>
      </c>
      <c r="J4857" s="10"/>
    </row>
    <row r="4858" spans="1:10" ht="15.75" customHeight="1" x14ac:dyDescent="0.3">
      <c r="A4858" s="5" t="s">
        <v>5725</v>
      </c>
      <c r="B4858" s="11">
        <v>45307</v>
      </c>
      <c r="C4858" s="5" t="s">
        <v>185</v>
      </c>
      <c r="D4858" s="5" t="s">
        <v>95</v>
      </c>
      <c r="E4858" s="5" t="s">
        <v>25</v>
      </c>
      <c r="F4858" s="5">
        <v>4</v>
      </c>
      <c r="G4858" s="19">
        <v>0.1</v>
      </c>
      <c r="H4858" s="5" t="s">
        <v>637</v>
      </c>
      <c r="I4858" s="10">
        <f>IF(OR(D4858="", F4858=""), "", F4858 * VLOOKUP(D4858, Products!A:E, 5, FALSE) * (1 - G4858))</f>
        <v>4833.9000000000005</v>
      </c>
      <c r="J4858" s="10"/>
    </row>
    <row r="4859" spans="1:10" ht="15.75" customHeight="1" x14ac:dyDescent="0.3">
      <c r="A4859" s="5" t="s">
        <v>5726</v>
      </c>
      <c r="B4859" s="11">
        <v>45782</v>
      </c>
      <c r="C4859" s="5" t="s">
        <v>223</v>
      </c>
      <c r="D4859" s="5" t="s">
        <v>74</v>
      </c>
      <c r="E4859" s="5" t="s">
        <v>21</v>
      </c>
      <c r="F4859" s="5">
        <v>1</v>
      </c>
      <c r="G4859" s="19">
        <v>0.15</v>
      </c>
      <c r="H4859" s="5" t="s">
        <v>637</v>
      </c>
      <c r="I4859" s="10">
        <f>IF(OR(D4859="", F4859=""), "", F4859 * VLOOKUP(D4859, Products!A:E, 5, FALSE) * (1 - G4859))</f>
        <v>1015.0019999999998</v>
      </c>
      <c r="J4859" s="10"/>
    </row>
    <row r="4860" spans="1:10" ht="15.75" customHeight="1" x14ac:dyDescent="0.3">
      <c r="A4860" s="5" t="s">
        <v>5727</v>
      </c>
      <c r="B4860" s="11">
        <v>45414</v>
      </c>
      <c r="C4860" s="5" t="s">
        <v>634</v>
      </c>
      <c r="D4860" s="5" t="s">
        <v>115</v>
      </c>
      <c r="E4860" s="5" t="s">
        <v>25</v>
      </c>
      <c r="F4860" s="5">
        <v>2</v>
      </c>
      <c r="G4860" s="19">
        <v>0</v>
      </c>
      <c r="H4860" s="5" t="s">
        <v>637</v>
      </c>
      <c r="I4860" s="10">
        <f>IF(OR(D4860="", F4860=""), "", F4860 * VLOOKUP(D4860, Products!A:E, 5, FALSE) * (1 - G4860))</f>
        <v>2492.2199999999998</v>
      </c>
      <c r="J4860" s="10"/>
    </row>
    <row r="4861" spans="1:10" ht="15.75" customHeight="1" x14ac:dyDescent="0.3">
      <c r="A4861" s="5" t="s">
        <v>5728</v>
      </c>
      <c r="B4861" s="11">
        <v>45674</v>
      </c>
      <c r="C4861" s="5" t="s">
        <v>503</v>
      </c>
      <c r="D4861" s="5" t="s">
        <v>256</v>
      </c>
      <c r="E4861" s="5" t="s">
        <v>21</v>
      </c>
      <c r="F4861" s="5">
        <v>2</v>
      </c>
      <c r="G4861" s="19">
        <v>0.15</v>
      </c>
      <c r="H4861" s="5" t="s">
        <v>776</v>
      </c>
      <c r="I4861" s="10">
        <f>IF(OR(D4861="", F4861=""), "", F4861 * VLOOKUP(D4861, Products!A:E, 5, FALSE) * (1 - G4861))</f>
        <v>2779.5169999999998</v>
      </c>
      <c r="J4861" s="10"/>
    </row>
    <row r="4862" spans="1:10" ht="15.75" customHeight="1" x14ac:dyDescent="0.3">
      <c r="A4862" s="5" t="s">
        <v>5729</v>
      </c>
      <c r="B4862" s="11">
        <v>45248</v>
      </c>
      <c r="C4862" s="5" t="s">
        <v>859</v>
      </c>
      <c r="D4862" s="5" t="s">
        <v>74</v>
      </c>
      <c r="E4862" s="5" t="s">
        <v>37</v>
      </c>
      <c r="F4862" s="5">
        <v>2</v>
      </c>
      <c r="G4862" s="19">
        <v>0</v>
      </c>
      <c r="H4862" s="5" t="s">
        <v>697</v>
      </c>
      <c r="I4862" s="10">
        <f>IF(OR(D4862="", F4862=""), "", F4862 * VLOOKUP(D4862, Products!A:E, 5, FALSE) * (1 - G4862))</f>
        <v>2388.2399999999998</v>
      </c>
      <c r="J4862" s="10"/>
    </row>
    <row r="4863" spans="1:10" ht="15.75" customHeight="1" x14ac:dyDescent="0.3">
      <c r="A4863" s="5" t="s">
        <v>5730</v>
      </c>
      <c r="B4863" s="11">
        <v>45351</v>
      </c>
      <c r="C4863" s="5" t="s">
        <v>805</v>
      </c>
      <c r="D4863" s="5" t="s">
        <v>50</v>
      </c>
      <c r="E4863" s="5" t="s">
        <v>29</v>
      </c>
      <c r="F4863" s="5">
        <v>5</v>
      </c>
      <c r="G4863" s="19">
        <v>0</v>
      </c>
      <c r="H4863" s="5" t="s">
        <v>697</v>
      </c>
      <c r="I4863" s="10">
        <f>IF(OR(D4863="", F4863=""), "", F4863 * VLOOKUP(D4863, Products!A:E, 5, FALSE) * (1 - G4863))</f>
        <v>1688.15</v>
      </c>
      <c r="J4863" s="10"/>
    </row>
    <row r="4864" spans="1:10" ht="15.75" customHeight="1" x14ac:dyDescent="0.3">
      <c r="A4864" s="5" t="s">
        <v>5731</v>
      </c>
      <c r="B4864" s="11">
        <v>45880</v>
      </c>
      <c r="C4864" s="5" t="s">
        <v>657</v>
      </c>
      <c r="D4864" s="5" t="s">
        <v>291</v>
      </c>
      <c r="E4864" s="5" t="s">
        <v>33</v>
      </c>
      <c r="F4864" s="5">
        <v>2</v>
      </c>
      <c r="G4864" s="19">
        <v>0.05</v>
      </c>
      <c r="H4864" s="5" t="s">
        <v>637</v>
      </c>
      <c r="I4864" s="10">
        <f>IF(OR(D4864="", F4864=""), "", F4864 * VLOOKUP(D4864, Products!A:E, 5, FALSE) * (1 - G4864))</f>
        <v>1984.816</v>
      </c>
      <c r="J4864" s="10"/>
    </row>
    <row r="4865" spans="1:10" ht="15.75" customHeight="1" x14ac:dyDescent="0.3">
      <c r="A4865" s="5" t="s">
        <v>5732</v>
      </c>
      <c r="B4865" s="11">
        <v>45273</v>
      </c>
      <c r="C4865" s="5" t="s">
        <v>144</v>
      </c>
      <c r="D4865" s="5" t="s">
        <v>74</v>
      </c>
      <c r="E4865" s="5" t="s">
        <v>25</v>
      </c>
      <c r="F4865" s="5">
        <v>3</v>
      </c>
      <c r="G4865" s="19">
        <v>0.05</v>
      </c>
      <c r="H4865" s="5" t="s">
        <v>454</v>
      </c>
      <c r="I4865" s="10">
        <f>IF(OR(D4865="", F4865=""), "", F4865 * VLOOKUP(D4865, Products!A:E, 5, FALSE) * (1 - G4865))</f>
        <v>3403.2419999999997</v>
      </c>
      <c r="J4865" s="10"/>
    </row>
    <row r="4866" spans="1:10" ht="15.75" customHeight="1" x14ac:dyDescent="0.3">
      <c r="A4866" s="5" t="s">
        <v>5733</v>
      </c>
      <c r="B4866" s="11">
        <v>45181</v>
      </c>
      <c r="C4866" s="5" t="s">
        <v>466</v>
      </c>
      <c r="D4866" s="5" t="s">
        <v>47</v>
      </c>
      <c r="E4866" s="5" t="s">
        <v>29</v>
      </c>
      <c r="F4866" s="5">
        <v>4</v>
      </c>
      <c r="G4866" s="19">
        <v>0.1</v>
      </c>
      <c r="H4866" s="5" t="s">
        <v>776</v>
      </c>
      <c r="I4866" s="10">
        <f>IF(OR(D4866="", F4866=""), "", F4866 * VLOOKUP(D4866, Products!A:E, 5, FALSE) * (1 - G4866))</f>
        <v>2947.5360000000001</v>
      </c>
      <c r="J4866" s="10"/>
    </row>
    <row r="4867" spans="1:10" ht="15.75" customHeight="1" x14ac:dyDescent="0.3">
      <c r="A4867" s="5" t="s">
        <v>5734</v>
      </c>
      <c r="B4867" s="11">
        <v>45756</v>
      </c>
      <c r="C4867" s="5" t="s">
        <v>878</v>
      </c>
      <c r="D4867" s="5" t="s">
        <v>65</v>
      </c>
      <c r="E4867" s="5" t="s">
        <v>29</v>
      </c>
      <c r="F4867" s="5">
        <v>4</v>
      </c>
      <c r="G4867" s="19">
        <v>0.15</v>
      </c>
      <c r="H4867" s="5" t="s">
        <v>776</v>
      </c>
      <c r="I4867" s="10">
        <f>IF(OR(D4867="", F4867=""), "", F4867 * VLOOKUP(D4867, Products!A:E, 5, FALSE) * (1 - G4867))</f>
        <v>5012.0079999999998</v>
      </c>
      <c r="J4867" s="10"/>
    </row>
    <row r="4868" spans="1:10" ht="15.75" customHeight="1" x14ac:dyDescent="0.3">
      <c r="A4868" s="5" t="s">
        <v>5735</v>
      </c>
      <c r="B4868" s="11">
        <v>45900</v>
      </c>
      <c r="C4868" s="5" t="s">
        <v>590</v>
      </c>
      <c r="D4868" s="5" t="s">
        <v>193</v>
      </c>
      <c r="E4868" s="5" t="s">
        <v>37</v>
      </c>
      <c r="F4868" s="5">
        <v>4</v>
      </c>
      <c r="G4868" s="19">
        <v>0.05</v>
      </c>
      <c r="H4868" s="5" t="s">
        <v>697</v>
      </c>
      <c r="I4868" s="10">
        <f>IF(OR(D4868="", F4868=""), "", F4868 * VLOOKUP(D4868, Products!A:E, 5, FALSE) * (1 - G4868))</f>
        <v>111.11199999999999</v>
      </c>
      <c r="J4868" s="10"/>
    </row>
    <row r="4869" spans="1:10" ht="15.75" customHeight="1" x14ac:dyDescent="0.3">
      <c r="A4869" s="5" t="s">
        <v>5736</v>
      </c>
      <c r="B4869" s="11">
        <v>45427</v>
      </c>
      <c r="C4869" s="5" t="s">
        <v>470</v>
      </c>
      <c r="D4869" s="5" t="s">
        <v>47</v>
      </c>
      <c r="E4869" s="5" t="s">
        <v>21</v>
      </c>
      <c r="F4869" s="5">
        <v>1</v>
      </c>
      <c r="G4869" s="19">
        <v>0.15</v>
      </c>
      <c r="H4869" s="5" t="s">
        <v>637</v>
      </c>
      <c r="I4869" s="10">
        <f>IF(OR(D4869="", F4869=""), "", F4869 * VLOOKUP(D4869, Products!A:E, 5, FALSE) * (1 - G4869))</f>
        <v>695.94600000000003</v>
      </c>
      <c r="J4869" s="10"/>
    </row>
    <row r="4870" spans="1:10" ht="15.75" customHeight="1" x14ac:dyDescent="0.3">
      <c r="A4870" s="5" t="s">
        <v>5737</v>
      </c>
      <c r="B4870" s="11">
        <v>45831</v>
      </c>
      <c r="C4870" s="5" t="s">
        <v>477</v>
      </c>
      <c r="D4870" s="5" t="s">
        <v>285</v>
      </c>
      <c r="E4870" s="5" t="s">
        <v>21</v>
      </c>
      <c r="F4870" s="5">
        <v>5</v>
      </c>
      <c r="G4870" s="19">
        <v>0</v>
      </c>
      <c r="H4870" s="5" t="s">
        <v>637</v>
      </c>
      <c r="I4870" s="10">
        <f>IF(OR(D4870="", F4870=""), "", F4870 * VLOOKUP(D4870, Products!A:E, 5, FALSE) * (1 - G4870))</f>
        <v>1941.3</v>
      </c>
      <c r="J4870" s="10"/>
    </row>
    <row r="4871" spans="1:10" ht="15.75" customHeight="1" x14ac:dyDescent="0.3">
      <c r="A4871" s="5" t="s">
        <v>5738</v>
      </c>
      <c r="B4871" s="11">
        <v>45526</v>
      </c>
      <c r="C4871" s="5" t="s">
        <v>752</v>
      </c>
      <c r="D4871" s="5" t="s">
        <v>221</v>
      </c>
      <c r="E4871" s="5" t="s">
        <v>21</v>
      </c>
      <c r="F4871" s="5">
        <v>5</v>
      </c>
      <c r="G4871" s="19">
        <v>0.1</v>
      </c>
      <c r="H4871" s="5" t="s">
        <v>776</v>
      </c>
      <c r="I4871" s="10">
        <f>IF(OR(D4871="", F4871=""), "", F4871 * VLOOKUP(D4871, Products!A:E, 5, FALSE) * (1 - G4871))</f>
        <v>7030.9350000000004</v>
      </c>
      <c r="J4871" s="10"/>
    </row>
    <row r="4872" spans="1:10" ht="15.75" customHeight="1" x14ac:dyDescent="0.3">
      <c r="A4872" s="5" t="s">
        <v>5739</v>
      </c>
      <c r="B4872" s="11">
        <v>45799</v>
      </c>
      <c r="C4872" s="5" t="s">
        <v>624</v>
      </c>
      <c r="D4872" s="5" t="s">
        <v>200</v>
      </c>
      <c r="E4872" s="5" t="s">
        <v>25</v>
      </c>
      <c r="F4872" s="5">
        <v>2</v>
      </c>
      <c r="G4872" s="19">
        <v>0.1</v>
      </c>
      <c r="H4872" s="5" t="s">
        <v>776</v>
      </c>
      <c r="I4872" s="10">
        <f>IF(OR(D4872="", F4872=""), "", F4872 * VLOOKUP(D4872, Products!A:E, 5, FALSE) * (1 - G4872))</f>
        <v>1972.296</v>
      </c>
      <c r="J4872" s="10"/>
    </row>
    <row r="4873" spans="1:10" ht="15.75" customHeight="1" x14ac:dyDescent="0.3">
      <c r="A4873" s="5" t="s">
        <v>5740</v>
      </c>
      <c r="B4873" s="11">
        <v>45702</v>
      </c>
      <c r="C4873" s="5" t="s">
        <v>425</v>
      </c>
      <c r="D4873" s="5" t="s">
        <v>103</v>
      </c>
      <c r="E4873" s="5" t="s">
        <v>29</v>
      </c>
      <c r="F4873" s="5">
        <v>4</v>
      </c>
      <c r="G4873" s="19">
        <v>0.05</v>
      </c>
      <c r="H4873" s="5" t="s">
        <v>454</v>
      </c>
      <c r="I4873" s="10">
        <f>IF(OR(D4873="", F4873=""), "", F4873 * VLOOKUP(D4873, Products!A:E, 5, FALSE) * (1 - G4873))</f>
        <v>1027.7099999999998</v>
      </c>
      <c r="J4873" s="10"/>
    </row>
    <row r="4874" spans="1:10" ht="15.75" customHeight="1" x14ac:dyDescent="0.3">
      <c r="A4874" s="5" t="s">
        <v>5741</v>
      </c>
      <c r="B4874" s="11">
        <v>45367</v>
      </c>
      <c r="C4874" s="5" t="s">
        <v>137</v>
      </c>
      <c r="D4874" s="5" t="s">
        <v>232</v>
      </c>
      <c r="E4874" s="5" t="s">
        <v>37</v>
      </c>
      <c r="F4874" s="5">
        <v>1</v>
      </c>
      <c r="G4874" s="19">
        <v>0.1</v>
      </c>
      <c r="H4874" s="5" t="s">
        <v>776</v>
      </c>
      <c r="I4874" s="10">
        <f>IF(OR(D4874="", F4874=""), "", F4874 * VLOOKUP(D4874, Products!A:E, 5, FALSE) * (1 - G4874))</f>
        <v>1757.3850000000002</v>
      </c>
      <c r="J4874" s="10"/>
    </row>
    <row r="4875" spans="1:10" ht="15.75" customHeight="1" x14ac:dyDescent="0.3">
      <c r="A4875" s="5" t="s">
        <v>5742</v>
      </c>
      <c r="B4875" s="11">
        <v>45276</v>
      </c>
      <c r="C4875" s="5" t="s">
        <v>499</v>
      </c>
      <c r="D4875" s="5" t="s">
        <v>147</v>
      </c>
      <c r="E4875" s="5" t="s">
        <v>29</v>
      </c>
      <c r="F4875" s="5">
        <v>5</v>
      </c>
      <c r="G4875" s="19">
        <v>0</v>
      </c>
      <c r="H4875" s="5" t="s">
        <v>776</v>
      </c>
      <c r="I4875" s="10">
        <f>IF(OR(D4875="", F4875=""), "", F4875 * VLOOKUP(D4875, Products!A:E, 5, FALSE) * (1 - G4875))</f>
        <v>9392.35</v>
      </c>
      <c r="J4875" s="10"/>
    </row>
    <row r="4876" spans="1:10" ht="15.75" customHeight="1" x14ac:dyDescent="0.3">
      <c r="A4876" s="5" t="s">
        <v>5743</v>
      </c>
      <c r="B4876" s="11">
        <v>45608</v>
      </c>
      <c r="C4876" s="5" t="s">
        <v>477</v>
      </c>
      <c r="D4876" s="5" t="s">
        <v>65</v>
      </c>
      <c r="E4876" s="5" t="s">
        <v>33</v>
      </c>
      <c r="F4876" s="5">
        <v>3</v>
      </c>
      <c r="G4876" s="19">
        <v>0.1</v>
      </c>
      <c r="H4876" s="5" t="s">
        <v>637</v>
      </c>
      <c r="I4876" s="10">
        <f>IF(OR(D4876="", F4876=""), "", F4876 * VLOOKUP(D4876, Products!A:E, 5, FALSE) * (1 - G4876))</f>
        <v>3980.1239999999998</v>
      </c>
      <c r="J4876" s="10"/>
    </row>
    <row r="4877" spans="1:10" ht="15.75" customHeight="1" x14ac:dyDescent="0.3">
      <c r="A4877" s="5" t="s">
        <v>5744</v>
      </c>
      <c r="B4877" s="11">
        <v>45878</v>
      </c>
      <c r="C4877" s="5" t="s">
        <v>786</v>
      </c>
      <c r="D4877" s="5" t="s">
        <v>221</v>
      </c>
      <c r="E4877" s="5" t="s">
        <v>29</v>
      </c>
      <c r="F4877" s="5">
        <v>2</v>
      </c>
      <c r="G4877" s="19">
        <v>0</v>
      </c>
      <c r="H4877" s="5" t="s">
        <v>637</v>
      </c>
      <c r="I4877" s="10">
        <f>IF(OR(D4877="", F4877=""), "", F4877 * VLOOKUP(D4877, Products!A:E, 5, FALSE) * (1 - G4877))</f>
        <v>3124.86</v>
      </c>
      <c r="J4877" s="10"/>
    </row>
    <row r="4878" spans="1:10" ht="15.75" customHeight="1" x14ac:dyDescent="0.3">
      <c r="A4878" s="5" t="s">
        <v>5745</v>
      </c>
      <c r="B4878" s="11">
        <v>45386</v>
      </c>
      <c r="C4878" s="5" t="s">
        <v>155</v>
      </c>
      <c r="D4878" s="5" t="s">
        <v>65</v>
      </c>
      <c r="E4878" s="5" t="s">
        <v>33</v>
      </c>
      <c r="F4878" s="5">
        <v>4</v>
      </c>
      <c r="G4878" s="19">
        <v>0</v>
      </c>
      <c r="H4878" s="5" t="s">
        <v>776</v>
      </c>
      <c r="I4878" s="10">
        <f>IF(OR(D4878="", F4878=""), "", F4878 * VLOOKUP(D4878, Products!A:E, 5, FALSE) * (1 - G4878))</f>
        <v>5896.48</v>
      </c>
      <c r="J4878" s="10"/>
    </row>
    <row r="4879" spans="1:10" ht="15.75" customHeight="1" x14ac:dyDescent="0.3">
      <c r="A4879" s="5" t="s">
        <v>5746</v>
      </c>
      <c r="B4879" s="11">
        <v>45575</v>
      </c>
      <c r="C4879" s="5" t="s">
        <v>440</v>
      </c>
      <c r="D4879" s="5" t="s">
        <v>103</v>
      </c>
      <c r="E4879" s="5" t="s">
        <v>21</v>
      </c>
      <c r="F4879" s="5">
        <v>5</v>
      </c>
      <c r="G4879" s="19">
        <v>0.05</v>
      </c>
      <c r="H4879" s="5" t="s">
        <v>776</v>
      </c>
      <c r="I4879" s="10">
        <f>IF(OR(D4879="", F4879=""), "", F4879 * VLOOKUP(D4879, Products!A:E, 5, FALSE) * (1 - G4879))</f>
        <v>1284.6375</v>
      </c>
      <c r="J4879" s="10"/>
    </row>
    <row r="4880" spans="1:10" ht="15.75" customHeight="1" x14ac:dyDescent="0.3">
      <c r="A4880" s="5" t="s">
        <v>5747</v>
      </c>
      <c r="B4880" s="11">
        <v>45313</v>
      </c>
      <c r="C4880" s="5" t="s">
        <v>826</v>
      </c>
      <c r="D4880" s="5" t="s">
        <v>65</v>
      </c>
      <c r="E4880" s="5" t="s">
        <v>29</v>
      </c>
      <c r="F4880" s="5">
        <v>3</v>
      </c>
      <c r="G4880" s="19">
        <v>0.1</v>
      </c>
      <c r="H4880" s="5" t="s">
        <v>776</v>
      </c>
      <c r="I4880" s="10">
        <f>IF(OR(D4880="", F4880=""), "", F4880 * VLOOKUP(D4880, Products!A:E, 5, FALSE) * (1 - G4880))</f>
        <v>3980.1239999999998</v>
      </c>
      <c r="J4880" s="10"/>
    </row>
    <row r="4881" spans="1:10" ht="15.75" customHeight="1" x14ac:dyDescent="0.3">
      <c r="A4881" s="5" t="s">
        <v>5748</v>
      </c>
      <c r="B4881" s="11">
        <v>45290</v>
      </c>
      <c r="C4881" s="5" t="s">
        <v>676</v>
      </c>
      <c r="D4881" s="5" t="s">
        <v>269</v>
      </c>
      <c r="E4881" s="5" t="s">
        <v>29</v>
      </c>
      <c r="F4881" s="5">
        <v>1</v>
      </c>
      <c r="G4881" s="19">
        <v>0.05</v>
      </c>
      <c r="H4881" s="5" t="s">
        <v>697</v>
      </c>
      <c r="I4881" s="10">
        <f>IF(OR(D4881="", F4881=""), "", F4881 * VLOOKUP(D4881, Products!A:E, 5, FALSE) * (1 - G4881))</f>
        <v>1785.1259999999997</v>
      </c>
      <c r="J4881" s="10"/>
    </row>
    <row r="4882" spans="1:10" ht="15.75" customHeight="1" x14ac:dyDescent="0.3">
      <c r="A4882" s="5" t="s">
        <v>5749</v>
      </c>
      <c r="B4882" s="11">
        <v>45803</v>
      </c>
      <c r="C4882" s="5" t="s">
        <v>334</v>
      </c>
      <c r="D4882" s="5" t="s">
        <v>140</v>
      </c>
      <c r="E4882" s="5" t="s">
        <v>21</v>
      </c>
      <c r="F4882" s="5">
        <v>5</v>
      </c>
      <c r="G4882" s="19">
        <v>0</v>
      </c>
      <c r="H4882" s="5" t="s">
        <v>697</v>
      </c>
      <c r="I4882" s="10">
        <f>IF(OR(D4882="", F4882=""), "", F4882 * VLOOKUP(D4882, Products!A:E, 5, FALSE) * (1 - G4882))</f>
        <v>127.85</v>
      </c>
      <c r="J4882" s="10"/>
    </row>
    <row r="4883" spans="1:10" ht="15.75" customHeight="1" x14ac:dyDescent="0.3">
      <c r="A4883" s="5" t="s">
        <v>5750</v>
      </c>
      <c r="B4883" s="11">
        <v>45598</v>
      </c>
      <c r="C4883" s="5" t="s">
        <v>718</v>
      </c>
      <c r="D4883" s="5" t="s">
        <v>47</v>
      </c>
      <c r="E4883" s="5" t="s">
        <v>33</v>
      </c>
      <c r="F4883" s="5">
        <v>4</v>
      </c>
      <c r="G4883" s="19">
        <v>0.05</v>
      </c>
      <c r="H4883" s="5" t="s">
        <v>776</v>
      </c>
      <c r="I4883" s="10">
        <f>IF(OR(D4883="", F4883=""), "", F4883 * VLOOKUP(D4883, Products!A:E, 5, FALSE) * (1 - G4883))</f>
        <v>3111.288</v>
      </c>
      <c r="J4883" s="10"/>
    </row>
    <row r="4884" spans="1:10" ht="15.75" customHeight="1" x14ac:dyDescent="0.3">
      <c r="A4884" s="5" t="s">
        <v>5751</v>
      </c>
      <c r="B4884" s="11">
        <v>45739</v>
      </c>
      <c r="C4884" s="5" t="s">
        <v>397</v>
      </c>
      <c r="D4884" s="5" t="s">
        <v>276</v>
      </c>
      <c r="E4884" s="5" t="s">
        <v>37</v>
      </c>
      <c r="F4884" s="5">
        <v>3</v>
      </c>
      <c r="G4884" s="19">
        <v>0.15</v>
      </c>
      <c r="H4884" s="5" t="s">
        <v>454</v>
      </c>
      <c r="I4884" s="10">
        <f>IF(OR(D4884="", F4884=""), "", F4884 * VLOOKUP(D4884, Products!A:E, 5, FALSE) * (1 - G4884))</f>
        <v>3052.8089999999997</v>
      </c>
      <c r="J4884" s="10"/>
    </row>
    <row r="4885" spans="1:10" ht="15.75" customHeight="1" x14ac:dyDescent="0.3">
      <c r="A4885" s="5" t="s">
        <v>5752</v>
      </c>
      <c r="B4885" s="11">
        <v>45826</v>
      </c>
      <c r="C4885" s="5" t="s">
        <v>750</v>
      </c>
      <c r="D4885" s="5" t="s">
        <v>267</v>
      </c>
      <c r="E4885" s="5" t="s">
        <v>21</v>
      </c>
      <c r="F4885" s="5">
        <v>4</v>
      </c>
      <c r="G4885" s="19">
        <v>0</v>
      </c>
      <c r="H4885" s="5" t="s">
        <v>697</v>
      </c>
      <c r="I4885" s="10">
        <f>IF(OR(D4885="", F4885=""), "", F4885 * VLOOKUP(D4885, Products!A:E, 5, FALSE) * (1 - G4885))</f>
        <v>5146.2</v>
      </c>
      <c r="J4885" s="10"/>
    </row>
    <row r="4886" spans="1:10" ht="15.75" customHeight="1" x14ac:dyDescent="0.3">
      <c r="A4886" s="5" t="s">
        <v>5753</v>
      </c>
      <c r="B4886" s="11">
        <v>45440</v>
      </c>
      <c r="C4886" s="5" t="s">
        <v>543</v>
      </c>
      <c r="D4886" s="5" t="s">
        <v>206</v>
      </c>
      <c r="E4886" s="5" t="s">
        <v>29</v>
      </c>
      <c r="F4886" s="5">
        <v>2</v>
      </c>
      <c r="G4886" s="19">
        <v>0.1</v>
      </c>
      <c r="H4886" s="5" t="s">
        <v>776</v>
      </c>
      <c r="I4886" s="10">
        <f>IF(OR(D4886="", F4886=""), "", F4886 * VLOOKUP(D4886, Products!A:E, 5, FALSE) * (1 - G4886))</f>
        <v>548.47799999999995</v>
      </c>
      <c r="J4886" s="10"/>
    </row>
    <row r="4887" spans="1:10" ht="15.75" customHeight="1" x14ac:dyDescent="0.3">
      <c r="A4887" s="5" t="s">
        <v>5754</v>
      </c>
      <c r="B4887" s="11">
        <v>45650</v>
      </c>
      <c r="C4887" s="5" t="s">
        <v>532</v>
      </c>
      <c r="D4887" s="5" t="s">
        <v>43</v>
      </c>
      <c r="E4887" s="5" t="s">
        <v>29</v>
      </c>
      <c r="F4887" s="5">
        <v>4</v>
      </c>
      <c r="G4887" s="19">
        <v>0.05</v>
      </c>
      <c r="H4887" s="5" t="s">
        <v>697</v>
      </c>
      <c r="I4887" s="10">
        <f>IF(OR(D4887="", F4887=""), "", F4887 * VLOOKUP(D4887, Products!A:E, 5, FALSE) * (1 - G4887))</f>
        <v>6360.0219999999999</v>
      </c>
      <c r="J4887" s="10"/>
    </row>
    <row r="4888" spans="1:10" ht="15.75" customHeight="1" x14ac:dyDescent="0.3">
      <c r="A4888" s="5" t="s">
        <v>5755</v>
      </c>
      <c r="B4888" s="11">
        <v>45275</v>
      </c>
      <c r="C4888" s="5" t="s">
        <v>829</v>
      </c>
      <c r="D4888" s="5" t="s">
        <v>103</v>
      </c>
      <c r="E4888" s="5" t="s">
        <v>25</v>
      </c>
      <c r="F4888" s="5">
        <v>3</v>
      </c>
      <c r="G4888" s="19">
        <v>0.15</v>
      </c>
      <c r="H4888" s="5" t="s">
        <v>697</v>
      </c>
      <c r="I4888" s="10">
        <f>IF(OR(D4888="", F4888=""), "", F4888 * VLOOKUP(D4888, Products!A:E, 5, FALSE) * (1 - G4888))</f>
        <v>689.64749999999992</v>
      </c>
      <c r="J4888" s="10"/>
    </row>
    <row r="4889" spans="1:10" ht="15.75" customHeight="1" x14ac:dyDescent="0.3">
      <c r="A4889" s="5" t="s">
        <v>5756</v>
      </c>
      <c r="B4889" s="11">
        <v>45186</v>
      </c>
      <c r="C4889" s="5" t="s">
        <v>357</v>
      </c>
      <c r="D4889" s="5" t="s">
        <v>212</v>
      </c>
      <c r="E4889" s="5" t="s">
        <v>21</v>
      </c>
      <c r="F4889" s="5">
        <v>2</v>
      </c>
      <c r="G4889" s="19">
        <v>0.15</v>
      </c>
      <c r="H4889" s="5" t="s">
        <v>454</v>
      </c>
      <c r="I4889" s="10">
        <f>IF(OR(D4889="", F4889=""), "", F4889 * VLOOKUP(D4889, Products!A:E, 5, FALSE) * (1 - G4889))</f>
        <v>3058.2489999999998</v>
      </c>
      <c r="J4889" s="10"/>
    </row>
    <row r="4890" spans="1:10" ht="15.75" customHeight="1" x14ac:dyDescent="0.3">
      <c r="A4890" s="5" t="s">
        <v>5757</v>
      </c>
      <c r="B4890" s="11">
        <v>45769</v>
      </c>
      <c r="C4890" s="5" t="s">
        <v>420</v>
      </c>
      <c r="D4890" s="5" t="s">
        <v>140</v>
      </c>
      <c r="E4890" s="5" t="s">
        <v>21</v>
      </c>
      <c r="F4890" s="5">
        <v>5</v>
      </c>
      <c r="G4890" s="19">
        <v>0</v>
      </c>
      <c r="H4890" s="5" t="s">
        <v>637</v>
      </c>
      <c r="I4890" s="10">
        <f>IF(OR(D4890="", F4890=""), "", F4890 * VLOOKUP(D4890, Products!A:E, 5, FALSE) * (1 - G4890))</f>
        <v>127.85</v>
      </c>
      <c r="J4890" s="10"/>
    </row>
    <row r="4891" spans="1:10" ht="15.75" customHeight="1" x14ac:dyDescent="0.3">
      <c r="A4891" s="5" t="s">
        <v>5758</v>
      </c>
      <c r="B4891" s="11">
        <v>45423</v>
      </c>
      <c r="C4891" s="5" t="s">
        <v>628</v>
      </c>
      <c r="D4891" s="5" t="s">
        <v>43</v>
      </c>
      <c r="E4891" s="5" t="s">
        <v>21</v>
      </c>
      <c r="F4891" s="5">
        <v>5</v>
      </c>
      <c r="G4891" s="19">
        <v>0.15</v>
      </c>
      <c r="H4891" s="5" t="s">
        <v>776</v>
      </c>
      <c r="I4891" s="10">
        <f>IF(OR(D4891="", F4891=""), "", F4891 * VLOOKUP(D4891, Products!A:E, 5, FALSE) * (1 - G4891))</f>
        <v>7113.1825000000008</v>
      </c>
      <c r="J4891" s="10"/>
    </row>
    <row r="4892" spans="1:10" ht="15.75" customHeight="1" x14ac:dyDescent="0.3">
      <c r="A4892" s="5" t="s">
        <v>5759</v>
      </c>
      <c r="B4892" s="11">
        <v>45672</v>
      </c>
      <c r="C4892" s="5" t="s">
        <v>724</v>
      </c>
      <c r="D4892" s="5" t="s">
        <v>212</v>
      </c>
      <c r="E4892" s="5" t="s">
        <v>25</v>
      </c>
      <c r="F4892" s="5">
        <v>1</v>
      </c>
      <c r="G4892" s="19">
        <v>0</v>
      </c>
      <c r="H4892" s="5" t="s">
        <v>776</v>
      </c>
      <c r="I4892" s="10">
        <f>IF(OR(D4892="", F4892=""), "", F4892 * VLOOKUP(D4892, Products!A:E, 5, FALSE) * (1 - G4892))</f>
        <v>1798.97</v>
      </c>
      <c r="J4892" s="10"/>
    </row>
    <row r="4893" spans="1:10" ht="15.75" customHeight="1" x14ac:dyDescent="0.3">
      <c r="A4893" s="5" t="s">
        <v>5760</v>
      </c>
      <c r="B4893" s="11">
        <v>45685</v>
      </c>
      <c r="C4893" s="5" t="s">
        <v>676</v>
      </c>
      <c r="D4893" s="5" t="s">
        <v>128</v>
      </c>
      <c r="E4893" s="5" t="s">
        <v>29</v>
      </c>
      <c r="F4893" s="5">
        <v>2</v>
      </c>
      <c r="G4893" s="19">
        <v>0</v>
      </c>
      <c r="H4893" s="5" t="s">
        <v>776</v>
      </c>
      <c r="I4893" s="10">
        <f>IF(OR(D4893="", F4893=""), "", F4893 * VLOOKUP(D4893, Products!A:E, 5, FALSE) * (1 - G4893))</f>
        <v>647.84</v>
      </c>
      <c r="J4893" s="10"/>
    </row>
    <row r="4894" spans="1:10" ht="15.75" customHeight="1" x14ac:dyDescent="0.3">
      <c r="A4894" s="5" t="s">
        <v>5761</v>
      </c>
      <c r="B4894" s="11">
        <v>45306</v>
      </c>
      <c r="C4894" s="5" t="s">
        <v>357</v>
      </c>
      <c r="D4894" s="5" t="s">
        <v>193</v>
      </c>
      <c r="E4894" s="5" t="s">
        <v>25</v>
      </c>
      <c r="F4894" s="5">
        <v>4</v>
      </c>
      <c r="G4894" s="19">
        <v>0.15</v>
      </c>
      <c r="H4894" s="5" t="s">
        <v>776</v>
      </c>
      <c r="I4894" s="10">
        <f>IF(OR(D4894="", F4894=""), "", F4894 * VLOOKUP(D4894, Products!A:E, 5, FALSE) * (1 - G4894))</f>
        <v>99.415999999999997</v>
      </c>
      <c r="J4894" s="10"/>
    </row>
    <row r="4895" spans="1:10" ht="15.75" customHeight="1" x14ac:dyDescent="0.3">
      <c r="A4895" s="5" t="s">
        <v>5762</v>
      </c>
      <c r="B4895" s="11">
        <v>45240</v>
      </c>
      <c r="C4895" s="5" t="s">
        <v>223</v>
      </c>
      <c r="D4895" s="5" t="s">
        <v>119</v>
      </c>
      <c r="E4895" s="5" t="s">
        <v>29</v>
      </c>
      <c r="F4895" s="5">
        <v>5</v>
      </c>
      <c r="G4895" s="19">
        <v>0.1</v>
      </c>
      <c r="H4895" s="5" t="s">
        <v>454</v>
      </c>
      <c r="I4895" s="10">
        <f>IF(OR(D4895="", F4895=""), "", F4895 * VLOOKUP(D4895, Products!A:E, 5, FALSE) * (1 - G4895))</f>
        <v>4859.505000000001</v>
      </c>
      <c r="J4895" s="10"/>
    </row>
    <row r="4896" spans="1:10" ht="15.75" customHeight="1" x14ac:dyDescent="0.3">
      <c r="A4896" s="5" t="s">
        <v>5763</v>
      </c>
      <c r="B4896" s="11">
        <v>45780</v>
      </c>
      <c r="C4896" s="5" t="s">
        <v>695</v>
      </c>
      <c r="D4896" s="5" t="s">
        <v>188</v>
      </c>
      <c r="E4896" s="5" t="s">
        <v>21</v>
      </c>
      <c r="F4896" s="5">
        <v>3</v>
      </c>
      <c r="G4896" s="19">
        <v>0.05</v>
      </c>
      <c r="H4896" s="5" t="s">
        <v>637</v>
      </c>
      <c r="I4896" s="10">
        <f>IF(OR(D4896="", F4896=""), "", F4896 * VLOOKUP(D4896, Products!A:E, 5, FALSE) * (1 - G4896))</f>
        <v>4232.392499999999</v>
      </c>
      <c r="J4896" s="10"/>
    </row>
    <row r="4897" spans="1:10" ht="15.75" customHeight="1" x14ac:dyDescent="0.3">
      <c r="A4897" s="5" t="s">
        <v>5764</v>
      </c>
      <c r="B4897" s="11">
        <v>45404</v>
      </c>
      <c r="C4897" s="5" t="s">
        <v>397</v>
      </c>
      <c r="D4897" s="5" t="s">
        <v>119</v>
      </c>
      <c r="E4897" s="5" t="s">
        <v>25</v>
      </c>
      <c r="F4897" s="5">
        <v>1</v>
      </c>
      <c r="G4897" s="19">
        <v>0</v>
      </c>
      <c r="H4897" s="5" t="s">
        <v>637</v>
      </c>
      <c r="I4897" s="10">
        <f>IF(OR(D4897="", F4897=""), "", F4897 * VLOOKUP(D4897, Products!A:E, 5, FALSE) * (1 - G4897))</f>
        <v>1079.8900000000001</v>
      </c>
      <c r="J4897" s="10"/>
    </row>
    <row r="4898" spans="1:10" ht="15.75" customHeight="1" x14ac:dyDescent="0.3">
      <c r="A4898" s="5" t="s">
        <v>5765</v>
      </c>
      <c r="B4898" s="11">
        <v>45726</v>
      </c>
      <c r="C4898" s="5" t="s">
        <v>129</v>
      </c>
      <c r="D4898" s="5" t="s">
        <v>47</v>
      </c>
      <c r="E4898" s="5" t="s">
        <v>29</v>
      </c>
      <c r="F4898" s="5">
        <v>4</v>
      </c>
      <c r="G4898" s="19">
        <v>0.05</v>
      </c>
      <c r="H4898" s="5" t="s">
        <v>697</v>
      </c>
      <c r="I4898" s="10">
        <f>IF(OR(D4898="", F4898=""), "", F4898 * VLOOKUP(D4898, Products!A:E, 5, FALSE) * (1 - G4898))</f>
        <v>3111.288</v>
      </c>
      <c r="J4898" s="10"/>
    </row>
    <row r="4899" spans="1:10" ht="15.75" customHeight="1" x14ac:dyDescent="0.3">
      <c r="A4899" s="5" t="s">
        <v>5766</v>
      </c>
      <c r="B4899" s="11">
        <v>45725</v>
      </c>
      <c r="C4899" s="5" t="s">
        <v>100</v>
      </c>
      <c r="D4899" s="5" t="s">
        <v>200</v>
      </c>
      <c r="E4899" s="5" t="s">
        <v>29</v>
      </c>
      <c r="F4899" s="5">
        <v>2</v>
      </c>
      <c r="G4899" s="19">
        <v>0.15</v>
      </c>
      <c r="H4899" s="5" t="s">
        <v>776</v>
      </c>
      <c r="I4899" s="10">
        <f>IF(OR(D4899="", F4899=""), "", F4899 * VLOOKUP(D4899, Products!A:E, 5, FALSE) * (1 - G4899))</f>
        <v>1862.7239999999999</v>
      </c>
      <c r="J4899" s="10"/>
    </row>
    <row r="4900" spans="1:10" ht="15.75" customHeight="1" x14ac:dyDescent="0.3">
      <c r="A4900" s="5" t="s">
        <v>5767</v>
      </c>
      <c r="B4900" s="11">
        <v>45257</v>
      </c>
      <c r="C4900" s="5" t="s">
        <v>618</v>
      </c>
      <c r="D4900" s="5" t="s">
        <v>226</v>
      </c>
      <c r="E4900" s="5" t="s">
        <v>33</v>
      </c>
      <c r="F4900" s="5">
        <v>3</v>
      </c>
      <c r="G4900" s="19">
        <v>0.1</v>
      </c>
      <c r="H4900" s="5" t="s">
        <v>454</v>
      </c>
      <c r="I4900" s="10">
        <f>IF(OR(D4900="", F4900=""), "", F4900 * VLOOKUP(D4900, Products!A:E, 5, FALSE) * (1 - G4900))</f>
        <v>4053.942</v>
      </c>
      <c r="J4900" s="10"/>
    </row>
    <row r="4901" spans="1:10" ht="15.75" customHeight="1" x14ac:dyDescent="0.3">
      <c r="A4901" s="5" t="s">
        <v>5768</v>
      </c>
      <c r="B4901" s="11">
        <v>45322</v>
      </c>
      <c r="C4901" s="5" t="s">
        <v>450</v>
      </c>
      <c r="D4901" s="5" t="s">
        <v>70</v>
      </c>
      <c r="E4901" s="5" t="s">
        <v>33</v>
      </c>
      <c r="F4901" s="5">
        <v>1</v>
      </c>
      <c r="G4901" s="19">
        <v>0.05</v>
      </c>
      <c r="H4901" s="5" t="s">
        <v>697</v>
      </c>
      <c r="I4901" s="10">
        <f>IF(OR(D4901="", F4901=""), "", F4901 * VLOOKUP(D4901, Products!A:E, 5, FALSE) * (1 - G4901))</f>
        <v>117.03049999999999</v>
      </c>
      <c r="J4901" s="10"/>
    </row>
    <row r="4902" spans="1:10" ht="15.75" customHeight="1" x14ac:dyDescent="0.3">
      <c r="A4902" s="5" t="s">
        <v>5769</v>
      </c>
      <c r="B4902" s="11">
        <v>45848</v>
      </c>
      <c r="C4902" s="5" t="s">
        <v>197</v>
      </c>
      <c r="D4902" s="5" t="s">
        <v>226</v>
      </c>
      <c r="E4902" s="5" t="s">
        <v>33</v>
      </c>
      <c r="F4902" s="5">
        <v>1</v>
      </c>
      <c r="G4902" s="19">
        <v>0.1</v>
      </c>
      <c r="H4902" s="5" t="s">
        <v>637</v>
      </c>
      <c r="I4902" s="10">
        <f>IF(OR(D4902="", F4902=""), "", F4902 * VLOOKUP(D4902, Products!A:E, 5, FALSE) * (1 - G4902))</f>
        <v>1351.3140000000001</v>
      </c>
      <c r="J4902" s="10"/>
    </row>
    <row r="4903" spans="1:10" ht="15.75" customHeight="1" x14ac:dyDescent="0.3">
      <c r="A4903" s="5" t="s">
        <v>5770</v>
      </c>
      <c r="B4903" s="11">
        <v>45637</v>
      </c>
      <c r="C4903" s="5" t="s">
        <v>850</v>
      </c>
      <c r="D4903" s="5" t="s">
        <v>74</v>
      </c>
      <c r="E4903" s="5" t="s">
        <v>21</v>
      </c>
      <c r="F4903" s="5">
        <v>5</v>
      </c>
      <c r="G4903" s="19">
        <v>0.1</v>
      </c>
      <c r="H4903" s="5" t="s">
        <v>697</v>
      </c>
      <c r="I4903" s="10">
        <f>IF(OR(D4903="", F4903=""), "", F4903 * VLOOKUP(D4903, Products!A:E, 5, FALSE) * (1 - G4903))</f>
        <v>5373.54</v>
      </c>
      <c r="J4903" s="10"/>
    </row>
    <row r="4904" spans="1:10" ht="15.75" customHeight="1" x14ac:dyDescent="0.3">
      <c r="A4904" s="5" t="s">
        <v>5771</v>
      </c>
      <c r="B4904" s="11">
        <v>45726</v>
      </c>
      <c r="C4904" s="5" t="s">
        <v>708</v>
      </c>
      <c r="D4904" s="5" t="s">
        <v>70</v>
      </c>
      <c r="E4904" s="5" t="s">
        <v>29</v>
      </c>
      <c r="F4904" s="5">
        <v>4</v>
      </c>
      <c r="G4904" s="19">
        <v>0.15</v>
      </c>
      <c r="H4904" s="5" t="s">
        <v>637</v>
      </c>
      <c r="I4904" s="10">
        <f>IF(OR(D4904="", F4904=""), "", F4904 * VLOOKUP(D4904, Products!A:E, 5, FALSE) * (1 - G4904))</f>
        <v>418.846</v>
      </c>
      <c r="J4904" s="10"/>
    </row>
    <row r="4905" spans="1:10" ht="15.75" customHeight="1" x14ac:dyDescent="0.3">
      <c r="A4905" s="5" t="s">
        <v>5772</v>
      </c>
      <c r="B4905" s="11">
        <v>45458</v>
      </c>
      <c r="C4905" s="5" t="s">
        <v>557</v>
      </c>
      <c r="D4905" s="5" t="s">
        <v>280</v>
      </c>
      <c r="E4905" s="5" t="s">
        <v>25</v>
      </c>
      <c r="F4905" s="5">
        <v>4</v>
      </c>
      <c r="G4905" s="19">
        <v>0.05</v>
      </c>
      <c r="H4905" s="5" t="s">
        <v>697</v>
      </c>
      <c r="I4905" s="10">
        <f>IF(OR(D4905="", F4905=""), "", F4905 * VLOOKUP(D4905, Products!A:E, 5, FALSE) * (1 - G4905))</f>
        <v>4622.1679999999997</v>
      </c>
      <c r="J4905" s="10"/>
    </row>
    <row r="4906" spans="1:10" ht="15.75" customHeight="1" x14ac:dyDescent="0.3">
      <c r="A4906" s="5" t="s">
        <v>5773</v>
      </c>
      <c r="B4906" s="11">
        <v>45796</v>
      </c>
      <c r="C4906" s="5" t="s">
        <v>481</v>
      </c>
      <c r="D4906" s="5" t="s">
        <v>82</v>
      </c>
      <c r="E4906" s="5" t="s">
        <v>37</v>
      </c>
      <c r="F4906" s="5">
        <v>4</v>
      </c>
      <c r="G4906" s="19">
        <v>0</v>
      </c>
      <c r="H4906" s="5" t="s">
        <v>454</v>
      </c>
      <c r="I4906" s="10">
        <f>IF(OR(D4906="", F4906=""), "", F4906 * VLOOKUP(D4906, Products!A:E, 5, FALSE) * (1 - G4906))</f>
        <v>4772.3599999999997</v>
      </c>
      <c r="J4906" s="10"/>
    </row>
    <row r="4907" spans="1:10" ht="15.75" customHeight="1" x14ac:dyDescent="0.3">
      <c r="A4907" s="5" t="s">
        <v>5774</v>
      </c>
      <c r="B4907" s="11">
        <v>45603</v>
      </c>
      <c r="C4907" s="5" t="s">
        <v>389</v>
      </c>
      <c r="D4907" s="5" t="s">
        <v>226</v>
      </c>
      <c r="E4907" s="5" t="s">
        <v>21</v>
      </c>
      <c r="F4907" s="5">
        <v>2</v>
      </c>
      <c r="G4907" s="19">
        <v>0.15</v>
      </c>
      <c r="H4907" s="5" t="s">
        <v>776</v>
      </c>
      <c r="I4907" s="10">
        <f>IF(OR(D4907="", F4907=""), "", F4907 * VLOOKUP(D4907, Products!A:E, 5, FALSE) * (1 - G4907))</f>
        <v>2552.482</v>
      </c>
      <c r="J4907" s="10"/>
    </row>
    <row r="4908" spans="1:10" ht="15.75" customHeight="1" x14ac:dyDescent="0.3">
      <c r="A4908" s="5" t="s">
        <v>5775</v>
      </c>
      <c r="B4908" s="11">
        <v>45748</v>
      </c>
      <c r="C4908" s="5" t="s">
        <v>847</v>
      </c>
      <c r="D4908" s="5" t="s">
        <v>115</v>
      </c>
      <c r="E4908" s="5" t="s">
        <v>37</v>
      </c>
      <c r="F4908" s="5">
        <v>3</v>
      </c>
      <c r="G4908" s="19">
        <v>0</v>
      </c>
      <c r="H4908" s="5" t="s">
        <v>697</v>
      </c>
      <c r="I4908" s="10">
        <f>IF(OR(D4908="", F4908=""), "", F4908 * VLOOKUP(D4908, Products!A:E, 5, FALSE) * (1 - G4908))</f>
        <v>3738.33</v>
      </c>
      <c r="J4908" s="10"/>
    </row>
    <row r="4909" spans="1:10" ht="15.75" customHeight="1" x14ac:dyDescent="0.3">
      <c r="A4909" s="5" t="s">
        <v>5776</v>
      </c>
      <c r="B4909" s="11">
        <v>45565</v>
      </c>
      <c r="C4909" s="5" t="s">
        <v>526</v>
      </c>
      <c r="D4909" s="5" t="s">
        <v>188</v>
      </c>
      <c r="E4909" s="5" t="s">
        <v>33</v>
      </c>
      <c r="F4909" s="5">
        <v>5</v>
      </c>
      <c r="G4909" s="19">
        <v>0.15</v>
      </c>
      <c r="H4909" s="5" t="s">
        <v>776</v>
      </c>
      <c r="I4909" s="10">
        <f>IF(OR(D4909="", F4909=""), "", F4909 * VLOOKUP(D4909, Products!A:E, 5, FALSE) * (1 - G4909))</f>
        <v>6311.4624999999996</v>
      </c>
      <c r="J4909" s="10"/>
    </row>
    <row r="4910" spans="1:10" ht="15.75" customHeight="1" x14ac:dyDescent="0.3">
      <c r="A4910" s="5" t="s">
        <v>5777</v>
      </c>
      <c r="B4910" s="11">
        <v>45473</v>
      </c>
      <c r="C4910" s="5" t="s">
        <v>372</v>
      </c>
      <c r="D4910" s="5" t="s">
        <v>61</v>
      </c>
      <c r="E4910" s="5" t="s">
        <v>33</v>
      </c>
      <c r="F4910" s="5">
        <v>5</v>
      </c>
      <c r="G4910" s="19">
        <v>0.15</v>
      </c>
      <c r="H4910" s="5" t="s">
        <v>776</v>
      </c>
      <c r="I4910" s="10">
        <f>IF(OR(D4910="", F4910=""), "", F4910 * VLOOKUP(D4910, Products!A:E, 5, FALSE) * (1 - G4910))</f>
        <v>1351.7124999999999</v>
      </c>
      <c r="J4910" s="10"/>
    </row>
    <row r="4911" spans="1:10" ht="15.75" customHeight="1" x14ac:dyDescent="0.3">
      <c r="A4911" s="5" t="s">
        <v>5778</v>
      </c>
      <c r="B4911" s="11">
        <v>45365</v>
      </c>
      <c r="C4911" s="5" t="s">
        <v>484</v>
      </c>
      <c r="D4911" s="5" t="s">
        <v>188</v>
      </c>
      <c r="E4911" s="5" t="s">
        <v>21</v>
      </c>
      <c r="F4911" s="5">
        <v>4</v>
      </c>
      <c r="G4911" s="19">
        <v>0.05</v>
      </c>
      <c r="H4911" s="5" t="s">
        <v>776</v>
      </c>
      <c r="I4911" s="10">
        <f>IF(OR(D4911="", F4911=""), "", F4911 * VLOOKUP(D4911, Products!A:E, 5, FALSE) * (1 - G4911))</f>
        <v>5643.19</v>
      </c>
      <c r="J4911" s="10"/>
    </row>
    <row r="4912" spans="1:10" ht="15.75" customHeight="1" x14ac:dyDescent="0.3">
      <c r="A4912" s="5" t="s">
        <v>5779</v>
      </c>
      <c r="B4912" s="11">
        <v>45585</v>
      </c>
      <c r="C4912" s="5" t="s">
        <v>546</v>
      </c>
      <c r="D4912" s="5" t="s">
        <v>188</v>
      </c>
      <c r="E4912" s="5" t="s">
        <v>33</v>
      </c>
      <c r="F4912" s="5">
        <v>2</v>
      </c>
      <c r="G4912" s="19">
        <v>0.15</v>
      </c>
      <c r="H4912" s="5" t="s">
        <v>776</v>
      </c>
      <c r="I4912" s="10">
        <f>IF(OR(D4912="", F4912=""), "", F4912 * VLOOKUP(D4912, Products!A:E, 5, FALSE) * (1 - G4912))</f>
        <v>2524.585</v>
      </c>
      <c r="J4912" s="10"/>
    </row>
    <row r="4913" spans="1:10" ht="15.75" customHeight="1" x14ac:dyDescent="0.3">
      <c r="A4913" s="5" t="s">
        <v>5780</v>
      </c>
      <c r="B4913" s="11">
        <v>45297</v>
      </c>
      <c r="C4913" s="5" t="s">
        <v>522</v>
      </c>
      <c r="D4913" s="5" t="s">
        <v>122</v>
      </c>
      <c r="E4913" s="5" t="s">
        <v>21</v>
      </c>
      <c r="F4913" s="5">
        <v>2</v>
      </c>
      <c r="G4913" s="19">
        <v>0</v>
      </c>
      <c r="H4913" s="5" t="s">
        <v>637</v>
      </c>
      <c r="I4913" s="10">
        <f>IF(OR(D4913="", F4913=""), "", F4913 * VLOOKUP(D4913, Products!A:E, 5, FALSE) * (1 - G4913))</f>
        <v>3525.84</v>
      </c>
      <c r="J4913" s="10"/>
    </row>
    <row r="4914" spans="1:10" ht="15.75" customHeight="1" x14ac:dyDescent="0.3">
      <c r="A4914" s="5" t="s">
        <v>5781</v>
      </c>
      <c r="B4914" s="11">
        <v>45558</v>
      </c>
      <c r="C4914" s="5" t="s">
        <v>425</v>
      </c>
      <c r="D4914" s="5" t="s">
        <v>65</v>
      </c>
      <c r="E4914" s="5" t="s">
        <v>21</v>
      </c>
      <c r="F4914" s="5">
        <v>5</v>
      </c>
      <c r="G4914" s="19">
        <v>0</v>
      </c>
      <c r="H4914" s="5" t="s">
        <v>776</v>
      </c>
      <c r="I4914" s="10">
        <f>IF(OR(D4914="", F4914=""), "", F4914 * VLOOKUP(D4914, Products!A:E, 5, FALSE) * (1 - G4914))</f>
        <v>7370.5999999999995</v>
      </c>
      <c r="J4914" s="10"/>
    </row>
    <row r="4915" spans="1:10" ht="15.75" customHeight="1" x14ac:dyDescent="0.3">
      <c r="A4915" s="5" t="s">
        <v>5782</v>
      </c>
      <c r="B4915" s="11">
        <v>45786</v>
      </c>
      <c r="C4915" s="5" t="s">
        <v>372</v>
      </c>
      <c r="D4915" s="5" t="s">
        <v>267</v>
      </c>
      <c r="E4915" s="5" t="s">
        <v>37</v>
      </c>
      <c r="F4915" s="5">
        <v>1</v>
      </c>
      <c r="G4915" s="19">
        <v>0</v>
      </c>
      <c r="H4915" s="5" t="s">
        <v>697</v>
      </c>
      <c r="I4915" s="10">
        <f>IF(OR(D4915="", F4915=""), "", F4915 * VLOOKUP(D4915, Products!A:E, 5, FALSE) * (1 - G4915))</f>
        <v>1286.55</v>
      </c>
      <c r="J4915" s="10"/>
    </row>
    <row r="4916" spans="1:10" ht="15.75" customHeight="1" x14ac:dyDescent="0.3">
      <c r="A4916" s="5" t="s">
        <v>5783</v>
      </c>
      <c r="B4916" s="11">
        <v>45425</v>
      </c>
      <c r="C4916" s="5" t="s">
        <v>171</v>
      </c>
      <c r="D4916" s="5" t="s">
        <v>103</v>
      </c>
      <c r="E4916" s="5" t="s">
        <v>25</v>
      </c>
      <c r="F4916" s="5">
        <v>1</v>
      </c>
      <c r="G4916" s="19">
        <v>0.05</v>
      </c>
      <c r="H4916" s="5" t="s">
        <v>454</v>
      </c>
      <c r="I4916" s="10">
        <f>IF(OR(D4916="", F4916=""), "", F4916 * VLOOKUP(D4916, Products!A:E, 5, FALSE) * (1 - G4916))</f>
        <v>256.92749999999995</v>
      </c>
      <c r="J4916" s="10"/>
    </row>
    <row r="4917" spans="1:10" ht="15.75" customHeight="1" x14ac:dyDescent="0.3">
      <c r="A4917" s="5" t="s">
        <v>5784</v>
      </c>
      <c r="B4917" s="11">
        <v>45543</v>
      </c>
      <c r="C4917" s="5" t="s">
        <v>286</v>
      </c>
      <c r="D4917" s="5" t="s">
        <v>57</v>
      </c>
      <c r="E4917" s="5" t="s">
        <v>21</v>
      </c>
      <c r="F4917" s="5">
        <v>5</v>
      </c>
      <c r="G4917" s="19">
        <v>0.1</v>
      </c>
      <c r="H4917" s="5" t="s">
        <v>454</v>
      </c>
      <c r="I4917" s="10">
        <f>IF(OR(D4917="", F4917=""), "", F4917 * VLOOKUP(D4917, Products!A:E, 5, FALSE) * (1 - G4917))</f>
        <v>6282.9900000000007</v>
      </c>
      <c r="J4917" s="10"/>
    </row>
    <row r="4918" spans="1:10" ht="15.75" customHeight="1" x14ac:dyDescent="0.3">
      <c r="A4918" s="5" t="s">
        <v>5785</v>
      </c>
      <c r="B4918" s="11">
        <v>45534</v>
      </c>
      <c r="C4918" s="5" t="s">
        <v>312</v>
      </c>
      <c r="D4918" s="5" t="s">
        <v>162</v>
      </c>
      <c r="E4918" s="5" t="s">
        <v>25</v>
      </c>
      <c r="F4918" s="5">
        <v>4</v>
      </c>
      <c r="G4918" s="19">
        <v>0.1</v>
      </c>
      <c r="H4918" s="5" t="s">
        <v>637</v>
      </c>
      <c r="I4918" s="10">
        <f>IF(OR(D4918="", F4918=""), "", F4918 * VLOOKUP(D4918, Products!A:E, 5, FALSE) * (1 - G4918))</f>
        <v>1544.94</v>
      </c>
      <c r="J4918" s="10"/>
    </row>
    <row r="4919" spans="1:10" ht="15.75" customHeight="1" x14ac:dyDescent="0.3">
      <c r="A4919" s="5" t="s">
        <v>5786</v>
      </c>
      <c r="B4919" s="11">
        <v>45579</v>
      </c>
      <c r="C4919" s="5" t="s">
        <v>808</v>
      </c>
      <c r="D4919" s="5" t="s">
        <v>47</v>
      </c>
      <c r="E4919" s="5" t="s">
        <v>37</v>
      </c>
      <c r="F4919" s="5">
        <v>3</v>
      </c>
      <c r="G4919" s="19">
        <v>0.05</v>
      </c>
      <c r="H4919" s="5" t="s">
        <v>776</v>
      </c>
      <c r="I4919" s="10">
        <f>IF(OR(D4919="", F4919=""), "", F4919 * VLOOKUP(D4919, Products!A:E, 5, FALSE) * (1 - G4919))</f>
        <v>2333.4659999999994</v>
      </c>
      <c r="J4919" s="10"/>
    </row>
    <row r="4920" spans="1:10" ht="15.75" customHeight="1" x14ac:dyDescent="0.3">
      <c r="A4920" s="5" t="s">
        <v>5787</v>
      </c>
      <c r="B4920" s="11">
        <v>45715</v>
      </c>
      <c r="C4920" s="5" t="s">
        <v>708</v>
      </c>
      <c r="D4920" s="5" t="s">
        <v>77</v>
      </c>
      <c r="E4920" s="5" t="s">
        <v>25</v>
      </c>
      <c r="F4920" s="5">
        <v>4</v>
      </c>
      <c r="G4920" s="19">
        <v>0</v>
      </c>
      <c r="H4920" s="5" t="s">
        <v>776</v>
      </c>
      <c r="I4920" s="10">
        <f>IF(OR(D4920="", F4920=""), "", F4920 * VLOOKUP(D4920, Products!A:E, 5, FALSE) * (1 - G4920))</f>
        <v>994.28</v>
      </c>
      <c r="J4920" s="10"/>
    </row>
    <row r="4921" spans="1:10" ht="15.75" customHeight="1" x14ac:dyDescent="0.3">
      <c r="A4921" s="5" t="s">
        <v>5788</v>
      </c>
      <c r="B4921" s="11">
        <v>45431</v>
      </c>
      <c r="C4921" s="5" t="s">
        <v>402</v>
      </c>
      <c r="D4921" s="5" t="s">
        <v>95</v>
      </c>
      <c r="E4921" s="5" t="s">
        <v>37</v>
      </c>
      <c r="F4921" s="5">
        <v>4</v>
      </c>
      <c r="G4921" s="19">
        <v>0</v>
      </c>
      <c r="H4921" s="5" t="s">
        <v>697</v>
      </c>
      <c r="I4921" s="10">
        <f>IF(OR(D4921="", F4921=""), "", F4921 * VLOOKUP(D4921, Products!A:E, 5, FALSE) * (1 - G4921))</f>
        <v>5371</v>
      </c>
      <c r="J4921" s="10"/>
    </row>
    <row r="4922" spans="1:10" ht="15.75" customHeight="1" x14ac:dyDescent="0.3">
      <c r="A4922" s="5" t="s">
        <v>5789</v>
      </c>
      <c r="B4922" s="11">
        <v>45629</v>
      </c>
      <c r="C4922" s="5" t="s">
        <v>608</v>
      </c>
      <c r="D4922" s="5" t="s">
        <v>276</v>
      </c>
      <c r="E4922" s="5" t="s">
        <v>29</v>
      </c>
      <c r="F4922" s="5">
        <v>4</v>
      </c>
      <c r="G4922" s="19">
        <v>0.1</v>
      </c>
      <c r="H4922" s="5" t="s">
        <v>454</v>
      </c>
      <c r="I4922" s="10">
        <f>IF(OR(D4922="", F4922=""), "", F4922 * VLOOKUP(D4922, Products!A:E, 5, FALSE) * (1 - G4922))</f>
        <v>4309.848</v>
      </c>
      <c r="J4922" s="10"/>
    </row>
    <row r="4923" spans="1:10" ht="15.75" customHeight="1" x14ac:dyDescent="0.3">
      <c r="A4923" s="5" t="s">
        <v>5790</v>
      </c>
      <c r="B4923" s="11">
        <v>45420</v>
      </c>
      <c r="C4923" s="5" t="s">
        <v>412</v>
      </c>
      <c r="D4923" s="5" t="s">
        <v>200</v>
      </c>
      <c r="E4923" s="5" t="s">
        <v>29</v>
      </c>
      <c r="F4923" s="5">
        <v>5</v>
      </c>
      <c r="G4923" s="19">
        <v>0.05</v>
      </c>
      <c r="H4923" s="5" t="s">
        <v>776</v>
      </c>
      <c r="I4923" s="10">
        <f>IF(OR(D4923="", F4923=""), "", F4923 * VLOOKUP(D4923, Products!A:E, 5, FALSE) * (1 - G4923))</f>
        <v>5204.67</v>
      </c>
      <c r="J4923" s="10"/>
    </row>
    <row r="4924" spans="1:10" ht="15.75" customHeight="1" x14ac:dyDescent="0.3">
      <c r="A4924" s="5" t="s">
        <v>5791</v>
      </c>
      <c r="B4924" s="11">
        <v>45699</v>
      </c>
      <c r="C4924" s="5" t="s">
        <v>474</v>
      </c>
      <c r="D4924" s="5" t="s">
        <v>50</v>
      </c>
      <c r="E4924" s="5" t="s">
        <v>29</v>
      </c>
      <c r="F4924" s="5">
        <v>5</v>
      </c>
      <c r="G4924" s="19">
        <v>0.1</v>
      </c>
      <c r="H4924" s="5" t="s">
        <v>454</v>
      </c>
      <c r="I4924" s="10">
        <f>IF(OR(D4924="", F4924=""), "", F4924 * VLOOKUP(D4924, Products!A:E, 5, FALSE) * (1 - G4924))</f>
        <v>1519.335</v>
      </c>
      <c r="J4924" s="10"/>
    </row>
    <row r="4925" spans="1:10" ht="15.75" customHeight="1" x14ac:dyDescent="0.3">
      <c r="A4925" s="5" t="s">
        <v>5792</v>
      </c>
      <c r="B4925" s="11">
        <v>45896</v>
      </c>
      <c r="C4925" s="5" t="s">
        <v>484</v>
      </c>
      <c r="D4925" s="5" t="s">
        <v>82</v>
      </c>
      <c r="E4925" s="5" t="s">
        <v>25</v>
      </c>
      <c r="F4925" s="5">
        <v>5</v>
      </c>
      <c r="G4925" s="19">
        <v>0</v>
      </c>
      <c r="H4925" s="5" t="s">
        <v>776</v>
      </c>
      <c r="I4925" s="10">
        <f>IF(OR(D4925="", F4925=""), "", F4925 * VLOOKUP(D4925, Products!A:E, 5, FALSE) * (1 - G4925))</f>
        <v>5965.45</v>
      </c>
      <c r="J4925" s="10"/>
    </row>
    <row r="4926" spans="1:10" ht="15.75" customHeight="1" x14ac:dyDescent="0.3">
      <c r="A4926" s="5" t="s">
        <v>5793</v>
      </c>
      <c r="B4926" s="11">
        <v>45530</v>
      </c>
      <c r="C4926" s="5" t="s">
        <v>691</v>
      </c>
      <c r="D4926" s="5" t="s">
        <v>221</v>
      </c>
      <c r="E4926" s="5" t="s">
        <v>21</v>
      </c>
      <c r="F4926" s="5">
        <v>5</v>
      </c>
      <c r="G4926" s="19">
        <v>0</v>
      </c>
      <c r="H4926" s="5" t="s">
        <v>637</v>
      </c>
      <c r="I4926" s="10">
        <f>IF(OR(D4926="", F4926=""), "", F4926 * VLOOKUP(D4926, Products!A:E, 5, FALSE) * (1 - G4926))</f>
        <v>7812.1500000000005</v>
      </c>
      <c r="J4926" s="10"/>
    </row>
    <row r="4927" spans="1:10" ht="15.75" customHeight="1" x14ac:dyDescent="0.3">
      <c r="A4927" s="5" t="s">
        <v>5794</v>
      </c>
      <c r="B4927" s="11">
        <v>45631</v>
      </c>
      <c r="C4927" s="5" t="s">
        <v>503</v>
      </c>
      <c r="D4927" s="5" t="s">
        <v>232</v>
      </c>
      <c r="E4927" s="5" t="s">
        <v>29</v>
      </c>
      <c r="F4927" s="5">
        <v>5</v>
      </c>
      <c r="G4927" s="19">
        <v>0.05</v>
      </c>
      <c r="H4927" s="5" t="s">
        <v>454</v>
      </c>
      <c r="I4927" s="10">
        <f>IF(OR(D4927="", F4927=""), "", F4927 * VLOOKUP(D4927, Products!A:E, 5, FALSE) * (1 - G4927))</f>
        <v>9275.0874999999996</v>
      </c>
      <c r="J4927" s="10"/>
    </row>
    <row r="4928" spans="1:10" ht="15.75" customHeight="1" x14ac:dyDescent="0.3">
      <c r="A4928" s="5" t="s">
        <v>5795</v>
      </c>
      <c r="B4928" s="11">
        <v>45890</v>
      </c>
      <c r="C4928" s="5" t="s">
        <v>440</v>
      </c>
      <c r="D4928" s="5" t="s">
        <v>280</v>
      </c>
      <c r="E4928" s="5" t="s">
        <v>29</v>
      </c>
      <c r="F4928" s="5">
        <v>4</v>
      </c>
      <c r="G4928" s="19">
        <v>0.15</v>
      </c>
      <c r="H4928" s="5" t="s">
        <v>697</v>
      </c>
      <c r="I4928" s="10">
        <f>IF(OR(D4928="", F4928=""), "", F4928 * VLOOKUP(D4928, Products!A:E, 5, FALSE) * (1 - G4928))</f>
        <v>4135.6239999999998</v>
      </c>
      <c r="J4928" s="10"/>
    </row>
    <row r="4929" spans="1:10" ht="15.75" customHeight="1" x14ac:dyDescent="0.3">
      <c r="A4929" s="5" t="s">
        <v>5796</v>
      </c>
      <c r="B4929" s="11">
        <v>45779</v>
      </c>
      <c r="C4929" s="5" t="s">
        <v>322</v>
      </c>
      <c r="D4929" s="5" t="s">
        <v>272</v>
      </c>
      <c r="E4929" s="5" t="s">
        <v>37</v>
      </c>
      <c r="F4929" s="5">
        <v>3</v>
      </c>
      <c r="G4929" s="19">
        <v>0.05</v>
      </c>
      <c r="H4929" s="5" t="s">
        <v>776</v>
      </c>
      <c r="I4929" s="10">
        <f>IF(OR(D4929="", F4929=""), "", F4929 * VLOOKUP(D4929, Products!A:E, 5, FALSE) * (1 - G4929))</f>
        <v>3321.3044999999997</v>
      </c>
      <c r="J4929" s="10"/>
    </row>
    <row r="4930" spans="1:10" ht="15.75" customHeight="1" x14ac:dyDescent="0.3">
      <c r="A4930" s="5" t="s">
        <v>5797</v>
      </c>
      <c r="B4930" s="11">
        <v>45775</v>
      </c>
      <c r="C4930" s="5" t="s">
        <v>634</v>
      </c>
      <c r="D4930" s="5" t="s">
        <v>103</v>
      </c>
      <c r="E4930" s="5" t="s">
        <v>37</v>
      </c>
      <c r="F4930" s="5">
        <v>4</v>
      </c>
      <c r="G4930" s="19">
        <v>0</v>
      </c>
      <c r="H4930" s="5" t="s">
        <v>454</v>
      </c>
      <c r="I4930" s="10">
        <f>IF(OR(D4930="", F4930=""), "", F4930 * VLOOKUP(D4930, Products!A:E, 5, FALSE) * (1 - G4930))</f>
        <v>1081.8</v>
      </c>
      <c r="J4930" s="10"/>
    </row>
    <row r="4931" spans="1:10" ht="15.75" customHeight="1" x14ac:dyDescent="0.3">
      <c r="A4931" s="5" t="s">
        <v>5798</v>
      </c>
      <c r="B4931" s="11">
        <v>45416</v>
      </c>
      <c r="C4931" s="5" t="s">
        <v>811</v>
      </c>
      <c r="D4931" s="5" t="s">
        <v>50</v>
      </c>
      <c r="E4931" s="5" t="s">
        <v>33</v>
      </c>
      <c r="F4931" s="5">
        <v>4</v>
      </c>
      <c r="G4931" s="19">
        <v>0</v>
      </c>
      <c r="H4931" s="5" t="s">
        <v>697</v>
      </c>
      <c r="I4931" s="10">
        <f>IF(OR(D4931="", F4931=""), "", F4931 * VLOOKUP(D4931, Products!A:E, 5, FALSE) * (1 - G4931))</f>
        <v>1350.52</v>
      </c>
      <c r="J4931" s="10"/>
    </row>
    <row r="4932" spans="1:10" ht="15.75" customHeight="1" x14ac:dyDescent="0.3">
      <c r="A4932" s="5" t="s">
        <v>5799</v>
      </c>
      <c r="B4932" s="11">
        <v>45221</v>
      </c>
      <c r="C4932" s="5" t="s">
        <v>557</v>
      </c>
      <c r="D4932" s="5" t="s">
        <v>61</v>
      </c>
      <c r="E4932" s="5" t="s">
        <v>21</v>
      </c>
      <c r="F4932" s="5">
        <v>4</v>
      </c>
      <c r="G4932" s="19">
        <v>0.05</v>
      </c>
      <c r="H4932" s="5" t="s">
        <v>454</v>
      </c>
      <c r="I4932" s="10">
        <f>IF(OR(D4932="", F4932=""), "", F4932 * VLOOKUP(D4932, Products!A:E, 5, FALSE) * (1 - G4932))</f>
        <v>1208.5899999999999</v>
      </c>
      <c r="J4932" s="10"/>
    </row>
    <row r="4933" spans="1:10" ht="15.75" customHeight="1" x14ac:dyDescent="0.3">
      <c r="A4933" s="5" t="s">
        <v>5800</v>
      </c>
      <c r="B4933" s="11">
        <v>45483</v>
      </c>
      <c r="C4933" s="5" t="s">
        <v>676</v>
      </c>
      <c r="D4933" s="5" t="s">
        <v>70</v>
      </c>
      <c r="E4933" s="5" t="s">
        <v>33</v>
      </c>
      <c r="F4933" s="5">
        <v>1</v>
      </c>
      <c r="G4933" s="19">
        <v>0.15</v>
      </c>
      <c r="H4933" s="5" t="s">
        <v>776</v>
      </c>
      <c r="I4933" s="10">
        <f>IF(OR(D4933="", F4933=""), "", F4933 * VLOOKUP(D4933, Products!A:E, 5, FALSE) * (1 - G4933))</f>
        <v>104.7115</v>
      </c>
      <c r="J4933" s="10"/>
    </row>
    <row r="4934" spans="1:10" ht="15.75" customHeight="1" x14ac:dyDescent="0.3">
      <c r="A4934" s="5" t="s">
        <v>5801</v>
      </c>
      <c r="B4934" s="11">
        <v>45748</v>
      </c>
      <c r="C4934" s="5" t="s">
        <v>450</v>
      </c>
      <c r="D4934" s="5" t="s">
        <v>119</v>
      </c>
      <c r="E4934" s="5" t="s">
        <v>33</v>
      </c>
      <c r="F4934" s="5">
        <v>2</v>
      </c>
      <c r="G4934" s="19">
        <v>0.15</v>
      </c>
      <c r="H4934" s="5" t="s">
        <v>637</v>
      </c>
      <c r="I4934" s="10">
        <f>IF(OR(D4934="", F4934=""), "", F4934 * VLOOKUP(D4934, Products!A:E, 5, FALSE) * (1 - G4934))</f>
        <v>1835.8130000000001</v>
      </c>
      <c r="J4934" s="10"/>
    </row>
    <row r="4935" spans="1:10" ht="15.75" customHeight="1" x14ac:dyDescent="0.3">
      <c r="A4935" s="5" t="s">
        <v>5802</v>
      </c>
      <c r="B4935" s="11">
        <v>45313</v>
      </c>
      <c r="C4935" s="5" t="s">
        <v>100</v>
      </c>
      <c r="D4935" s="5" t="s">
        <v>162</v>
      </c>
      <c r="E4935" s="5" t="s">
        <v>25</v>
      </c>
      <c r="F4935" s="5">
        <v>2</v>
      </c>
      <c r="G4935" s="19">
        <v>0.1</v>
      </c>
      <c r="H4935" s="5" t="s">
        <v>776</v>
      </c>
      <c r="I4935" s="10">
        <f>IF(OR(D4935="", F4935=""), "", F4935 * VLOOKUP(D4935, Products!A:E, 5, FALSE) * (1 - G4935))</f>
        <v>772.47</v>
      </c>
      <c r="J4935" s="10"/>
    </row>
    <row r="4936" spans="1:10" ht="15.75" customHeight="1" x14ac:dyDescent="0.3">
      <c r="A4936" s="5" t="s">
        <v>5803</v>
      </c>
      <c r="B4936" s="11">
        <v>45712</v>
      </c>
      <c r="C4936" s="5" t="s">
        <v>519</v>
      </c>
      <c r="D4936" s="5" t="s">
        <v>262</v>
      </c>
      <c r="E4936" s="5" t="s">
        <v>37</v>
      </c>
      <c r="F4936" s="5">
        <v>3</v>
      </c>
      <c r="G4936" s="19">
        <v>0</v>
      </c>
      <c r="H4936" s="5" t="s">
        <v>776</v>
      </c>
      <c r="I4936" s="10">
        <f>IF(OR(D4936="", F4936=""), "", F4936 * VLOOKUP(D4936, Products!A:E, 5, FALSE) * (1 - G4936))</f>
        <v>1360.8600000000001</v>
      </c>
      <c r="J4936" s="10"/>
    </row>
    <row r="4937" spans="1:10" ht="15.75" customHeight="1" x14ac:dyDescent="0.3">
      <c r="A4937" s="5" t="s">
        <v>5804</v>
      </c>
      <c r="B4937" s="11">
        <v>45353</v>
      </c>
      <c r="C4937" s="5" t="s">
        <v>526</v>
      </c>
      <c r="D4937" s="5" t="s">
        <v>175</v>
      </c>
      <c r="E4937" s="5" t="s">
        <v>25</v>
      </c>
      <c r="F4937" s="5">
        <v>1</v>
      </c>
      <c r="G4937" s="19">
        <v>0</v>
      </c>
      <c r="H4937" s="5" t="s">
        <v>637</v>
      </c>
      <c r="I4937" s="10">
        <f>IF(OR(D4937="", F4937=""), "", F4937 * VLOOKUP(D4937, Products!A:E, 5, FALSE) * (1 - G4937))</f>
        <v>1272.23</v>
      </c>
      <c r="J4937" s="10"/>
    </row>
    <row r="4938" spans="1:10" ht="15.75" customHeight="1" x14ac:dyDescent="0.3">
      <c r="A4938" s="5" t="s">
        <v>5805</v>
      </c>
      <c r="B4938" s="11">
        <v>45523</v>
      </c>
      <c r="C4938" s="5" t="s">
        <v>387</v>
      </c>
      <c r="D4938" s="5" t="s">
        <v>115</v>
      </c>
      <c r="E4938" s="5" t="s">
        <v>21</v>
      </c>
      <c r="F4938" s="5">
        <v>4</v>
      </c>
      <c r="G4938" s="19">
        <v>0.15</v>
      </c>
      <c r="H4938" s="5" t="s">
        <v>776</v>
      </c>
      <c r="I4938" s="10">
        <f>IF(OR(D4938="", F4938=""), "", F4938 * VLOOKUP(D4938, Products!A:E, 5, FALSE) * (1 - G4938))</f>
        <v>4236.7739999999994</v>
      </c>
      <c r="J4938" s="10"/>
    </row>
    <row r="4939" spans="1:10" ht="15.75" customHeight="1" x14ac:dyDescent="0.3">
      <c r="A4939" s="5" t="s">
        <v>5806</v>
      </c>
      <c r="B4939" s="11">
        <v>45675</v>
      </c>
      <c r="C4939" s="5" t="s">
        <v>470</v>
      </c>
      <c r="D4939" s="5" t="s">
        <v>272</v>
      </c>
      <c r="E4939" s="5" t="s">
        <v>33</v>
      </c>
      <c r="F4939" s="5">
        <v>1</v>
      </c>
      <c r="G4939" s="19">
        <v>0.1</v>
      </c>
      <c r="H4939" s="5" t="s">
        <v>637</v>
      </c>
      <c r="I4939" s="10">
        <f>IF(OR(D4939="", F4939=""), "", F4939 * VLOOKUP(D4939, Products!A:E, 5, FALSE) * (1 - G4939))</f>
        <v>1048.8329999999999</v>
      </c>
      <c r="J4939" s="10"/>
    </row>
    <row r="4940" spans="1:10" ht="15.75" customHeight="1" x14ac:dyDescent="0.3">
      <c r="A4940" s="5" t="s">
        <v>5807</v>
      </c>
      <c r="B4940" s="11">
        <v>45556</v>
      </c>
      <c r="C4940" s="5" t="s">
        <v>705</v>
      </c>
      <c r="D4940" s="5" t="s">
        <v>134</v>
      </c>
      <c r="E4940" s="5" t="s">
        <v>21</v>
      </c>
      <c r="F4940" s="5">
        <v>3</v>
      </c>
      <c r="G4940" s="19">
        <v>0.05</v>
      </c>
      <c r="H4940" s="5" t="s">
        <v>697</v>
      </c>
      <c r="I4940" s="10">
        <f>IF(OR(D4940="", F4940=""), "", F4940 * VLOOKUP(D4940, Products!A:E, 5, FALSE) * (1 - G4940))</f>
        <v>3497.634</v>
      </c>
      <c r="J4940" s="10"/>
    </row>
    <row r="4941" spans="1:10" ht="15.75" customHeight="1" x14ac:dyDescent="0.3">
      <c r="A4941" s="5" t="s">
        <v>5808</v>
      </c>
      <c r="B4941" s="11">
        <v>45715</v>
      </c>
      <c r="C4941" s="5" t="s">
        <v>412</v>
      </c>
      <c r="D4941" s="5" t="s">
        <v>147</v>
      </c>
      <c r="E4941" s="5" t="s">
        <v>29</v>
      </c>
      <c r="F4941" s="5">
        <v>1</v>
      </c>
      <c r="G4941" s="19">
        <v>0.05</v>
      </c>
      <c r="H4941" s="5" t="s">
        <v>697</v>
      </c>
      <c r="I4941" s="10">
        <f>IF(OR(D4941="", F4941=""), "", F4941 * VLOOKUP(D4941, Products!A:E, 5, FALSE) * (1 - G4941))</f>
        <v>1784.5464999999999</v>
      </c>
      <c r="J4941" s="10"/>
    </row>
    <row r="4942" spans="1:10" ht="15.75" customHeight="1" x14ac:dyDescent="0.3">
      <c r="A4942" s="5" t="s">
        <v>5809</v>
      </c>
      <c r="B4942" s="11">
        <v>45667</v>
      </c>
      <c r="C4942" s="5" t="s">
        <v>722</v>
      </c>
      <c r="D4942" s="5" t="s">
        <v>180</v>
      </c>
      <c r="E4942" s="5" t="s">
        <v>29</v>
      </c>
      <c r="F4942" s="5">
        <v>3</v>
      </c>
      <c r="G4942" s="19">
        <v>0.15</v>
      </c>
      <c r="H4942" s="5" t="s">
        <v>454</v>
      </c>
      <c r="I4942" s="10">
        <f>IF(OR(D4942="", F4942=""), "", F4942 * VLOOKUP(D4942, Products!A:E, 5, FALSE) * (1 - G4942))</f>
        <v>1718.1389999999999</v>
      </c>
      <c r="J4942" s="10"/>
    </row>
    <row r="4943" spans="1:10" ht="15.75" customHeight="1" x14ac:dyDescent="0.3">
      <c r="A4943" s="5" t="s">
        <v>5810</v>
      </c>
      <c r="B4943" s="11">
        <v>45295</v>
      </c>
      <c r="C4943" s="5" t="s">
        <v>165</v>
      </c>
      <c r="D4943" s="5" t="s">
        <v>267</v>
      </c>
      <c r="E4943" s="5" t="s">
        <v>33</v>
      </c>
      <c r="F4943" s="5">
        <v>3</v>
      </c>
      <c r="G4943" s="19">
        <v>0.1</v>
      </c>
      <c r="H4943" s="5" t="s">
        <v>697</v>
      </c>
      <c r="I4943" s="10">
        <f>IF(OR(D4943="", F4943=""), "", F4943 * VLOOKUP(D4943, Products!A:E, 5, FALSE) * (1 - G4943))</f>
        <v>3473.6849999999999</v>
      </c>
      <c r="J4943" s="10"/>
    </row>
    <row r="4944" spans="1:10" ht="15.75" customHeight="1" x14ac:dyDescent="0.3">
      <c r="A4944" s="5" t="s">
        <v>5811</v>
      </c>
      <c r="B4944" s="11">
        <v>45283</v>
      </c>
      <c r="C4944" s="5" t="s">
        <v>223</v>
      </c>
      <c r="D4944" s="5" t="s">
        <v>180</v>
      </c>
      <c r="E4944" s="5" t="s">
        <v>29</v>
      </c>
      <c r="F4944" s="5">
        <v>4</v>
      </c>
      <c r="G4944" s="19">
        <v>0</v>
      </c>
      <c r="H4944" s="5" t="s">
        <v>454</v>
      </c>
      <c r="I4944" s="10">
        <f>IF(OR(D4944="", F4944=""), "", F4944 * VLOOKUP(D4944, Products!A:E, 5, FALSE) * (1 - G4944))</f>
        <v>2695.12</v>
      </c>
      <c r="J4944" s="10"/>
    </row>
    <row r="4945" spans="1:10" ht="15.75" customHeight="1" x14ac:dyDescent="0.3">
      <c r="A4945" s="5" t="s">
        <v>5812</v>
      </c>
      <c r="B4945" s="11">
        <v>45302</v>
      </c>
      <c r="C4945" s="5" t="s">
        <v>833</v>
      </c>
      <c r="D4945" s="5" t="s">
        <v>276</v>
      </c>
      <c r="E4945" s="5" t="s">
        <v>33</v>
      </c>
      <c r="F4945" s="5">
        <v>1</v>
      </c>
      <c r="G4945" s="19">
        <v>0</v>
      </c>
      <c r="H4945" s="5" t="s">
        <v>637</v>
      </c>
      <c r="I4945" s="10">
        <f>IF(OR(D4945="", F4945=""), "", F4945 * VLOOKUP(D4945, Products!A:E, 5, FALSE) * (1 - G4945))</f>
        <v>1197.18</v>
      </c>
      <c r="J4945" s="10"/>
    </row>
    <row r="4946" spans="1:10" ht="15.75" customHeight="1" x14ac:dyDescent="0.3">
      <c r="A4946" s="5" t="s">
        <v>5813</v>
      </c>
      <c r="B4946" s="11">
        <v>45242</v>
      </c>
      <c r="C4946" s="5" t="s">
        <v>583</v>
      </c>
      <c r="D4946" s="5" t="s">
        <v>232</v>
      </c>
      <c r="E4946" s="5" t="s">
        <v>29</v>
      </c>
      <c r="F4946" s="5">
        <v>4</v>
      </c>
      <c r="G4946" s="19">
        <v>0.05</v>
      </c>
      <c r="H4946" s="5" t="s">
        <v>637</v>
      </c>
      <c r="I4946" s="10">
        <f>IF(OR(D4946="", F4946=""), "", F4946 * VLOOKUP(D4946, Products!A:E, 5, FALSE) * (1 - G4946))</f>
        <v>7420.07</v>
      </c>
      <c r="J4946" s="10"/>
    </row>
    <row r="4947" spans="1:10" ht="15.75" customHeight="1" x14ac:dyDescent="0.3">
      <c r="A4947" s="5" t="s">
        <v>5814</v>
      </c>
      <c r="B4947" s="11">
        <v>45653</v>
      </c>
      <c r="C4947" s="5" t="s">
        <v>484</v>
      </c>
      <c r="D4947" s="5" t="s">
        <v>265</v>
      </c>
      <c r="E4947" s="5" t="s">
        <v>33</v>
      </c>
      <c r="F4947" s="5">
        <v>1</v>
      </c>
      <c r="G4947" s="19">
        <v>0.05</v>
      </c>
      <c r="H4947" s="5" t="s">
        <v>697</v>
      </c>
      <c r="I4947" s="10">
        <f>IF(OR(D4947="", F4947=""), "", F4947 * VLOOKUP(D4947, Products!A:E, 5, FALSE) * (1 - G4947))</f>
        <v>536.19899999999996</v>
      </c>
      <c r="J4947" s="10"/>
    </row>
    <row r="4948" spans="1:10" ht="15.75" customHeight="1" x14ac:dyDescent="0.3">
      <c r="A4948" s="5" t="s">
        <v>5815</v>
      </c>
      <c r="B4948" s="11">
        <v>45899</v>
      </c>
      <c r="C4948" s="5" t="s">
        <v>477</v>
      </c>
      <c r="D4948" s="5" t="s">
        <v>89</v>
      </c>
      <c r="E4948" s="5" t="s">
        <v>37</v>
      </c>
      <c r="F4948" s="5">
        <v>4</v>
      </c>
      <c r="G4948" s="19">
        <v>0.1</v>
      </c>
      <c r="H4948" s="5" t="s">
        <v>637</v>
      </c>
      <c r="I4948" s="10">
        <f>IF(OR(D4948="", F4948=""), "", F4948 * VLOOKUP(D4948, Products!A:E, 5, FALSE) * (1 - G4948))</f>
        <v>4085.2799999999997</v>
      </c>
      <c r="J4948" s="10"/>
    </row>
    <row r="4949" spans="1:10" ht="15.75" customHeight="1" x14ac:dyDescent="0.3">
      <c r="A4949" s="5" t="s">
        <v>5816</v>
      </c>
      <c r="B4949" s="11">
        <v>45681</v>
      </c>
      <c r="C4949" s="5" t="s">
        <v>546</v>
      </c>
      <c r="D4949" s="5" t="s">
        <v>109</v>
      </c>
      <c r="E4949" s="5" t="s">
        <v>37</v>
      </c>
      <c r="F4949" s="5">
        <v>1</v>
      </c>
      <c r="G4949" s="19">
        <v>0.1</v>
      </c>
      <c r="H4949" s="5" t="s">
        <v>637</v>
      </c>
      <c r="I4949" s="10">
        <f>IF(OR(D4949="", F4949=""), "", F4949 * VLOOKUP(D4949, Products!A:E, 5, FALSE) * (1 - G4949))</f>
        <v>1672.875</v>
      </c>
      <c r="J4949" s="10"/>
    </row>
    <row r="4950" spans="1:10" ht="15.75" customHeight="1" x14ac:dyDescent="0.3">
      <c r="A4950" s="5" t="s">
        <v>5817</v>
      </c>
      <c r="B4950" s="11">
        <v>45422</v>
      </c>
      <c r="C4950" s="5" t="s">
        <v>155</v>
      </c>
      <c r="D4950" s="5" t="s">
        <v>43</v>
      </c>
      <c r="E4950" s="5" t="s">
        <v>25</v>
      </c>
      <c r="F4950" s="5">
        <v>2</v>
      </c>
      <c r="G4950" s="19">
        <v>0.15</v>
      </c>
      <c r="H4950" s="5" t="s">
        <v>637</v>
      </c>
      <c r="I4950" s="10">
        <f>IF(OR(D4950="", F4950=""), "", F4950 * VLOOKUP(D4950, Products!A:E, 5, FALSE) * (1 - G4950))</f>
        <v>2845.2730000000001</v>
      </c>
      <c r="J4950" s="10"/>
    </row>
    <row r="4951" spans="1:10" ht="15.75" customHeight="1" x14ac:dyDescent="0.3">
      <c r="A4951" s="5" t="s">
        <v>5818</v>
      </c>
      <c r="B4951" s="11">
        <v>45606</v>
      </c>
      <c r="C4951" s="5" t="s">
        <v>840</v>
      </c>
      <c r="D4951" s="5" t="s">
        <v>103</v>
      </c>
      <c r="E4951" s="5" t="s">
        <v>21</v>
      </c>
      <c r="F4951" s="5">
        <v>5</v>
      </c>
      <c r="G4951" s="19">
        <v>0.1</v>
      </c>
      <c r="H4951" s="5" t="s">
        <v>697</v>
      </c>
      <c r="I4951" s="10">
        <f>IF(OR(D4951="", F4951=""), "", F4951 * VLOOKUP(D4951, Products!A:E, 5, FALSE) * (1 - G4951))</f>
        <v>1217.0250000000001</v>
      </c>
      <c r="J4951" s="10"/>
    </row>
    <row r="4952" spans="1:10" ht="15.75" customHeight="1" x14ac:dyDescent="0.3">
      <c r="A4952" s="5" t="s">
        <v>5819</v>
      </c>
      <c r="B4952" s="11">
        <v>45331</v>
      </c>
      <c r="C4952" s="5" t="s">
        <v>69</v>
      </c>
      <c r="D4952" s="5" t="s">
        <v>140</v>
      </c>
      <c r="E4952" s="5" t="s">
        <v>21</v>
      </c>
      <c r="F4952" s="5">
        <v>5</v>
      </c>
      <c r="G4952" s="19">
        <v>0.05</v>
      </c>
      <c r="H4952" s="5" t="s">
        <v>697</v>
      </c>
      <c r="I4952" s="10">
        <f>IF(OR(D4952="", F4952=""), "", F4952 * VLOOKUP(D4952, Products!A:E, 5, FALSE) * (1 - G4952))</f>
        <v>121.4575</v>
      </c>
      <c r="J4952" s="10"/>
    </row>
    <row r="4953" spans="1:10" ht="15.75" customHeight="1" x14ac:dyDescent="0.3">
      <c r="A4953" s="5" t="s">
        <v>5820</v>
      </c>
      <c r="B4953" s="11">
        <v>45286</v>
      </c>
      <c r="C4953" s="5" t="s">
        <v>113</v>
      </c>
      <c r="D4953" s="5" t="s">
        <v>54</v>
      </c>
      <c r="E4953" s="5" t="s">
        <v>37</v>
      </c>
      <c r="F4953" s="5">
        <v>3</v>
      </c>
      <c r="G4953" s="19">
        <v>0.15</v>
      </c>
      <c r="H4953" s="5" t="s">
        <v>637</v>
      </c>
      <c r="I4953" s="10">
        <f>IF(OR(D4953="", F4953=""), "", F4953 * VLOOKUP(D4953, Products!A:E, 5, FALSE) * (1 - G4953))</f>
        <v>4727.1134999999995</v>
      </c>
      <c r="J4953" s="10"/>
    </row>
    <row r="4954" spans="1:10" ht="15.75" customHeight="1" x14ac:dyDescent="0.3">
      <c r="A4954" s="5" t="s">
        <v>5821</v>
      </c>
      <c r="B4954" s="11">
        <v>45690</v>
      </c>
      <c r="C4954" s="5" t="s">
        <v>397</v>
      </c>
      <c r="D4954" s="5" t="s">
        <v>272</v>
      </c>
      <c r="E4954" s="5" t="s">
        <v>25</v>
      </c>
      <c r="F4954" s="5">
        <v>2</v>
      </c>
      <c r="G4954" s="19">
        <v>0.05</v>
      </c>
      <c r="H4954" s="5" t="s">
        <v>637</v>
      </c>
      <c r="I4954" s="10">
        <f>IF(OR(D4954="", F4954=""), "", F4954 * VLOOKUP(D4954, Products!A:E, 5, FALSE) * (1 - G4954))</f>
        <v>2214.2029999999995</v>
      </c>
      <c r="J4954" s="10"/>
    </row>
    <row r="4955" spans="1:10" ht="15.75" customHeight="1" x14ac:dyDescent="0.3">
      <c r="A4955" s="5" t="s">
        <v>5822</v>
      </c>
      <c r="B4955" s="11">
        <v>45295</v>
      </c>
      <c r="C4955" s="5" t="s">
        <v>368</v>
      </c>
      <c r="D4955" s="5" t="s">
        <v>180</v>
      </c>
      <c r="E4955" s="5" t="s">
        <v>25</v>
      </c>
      <c r="F4955" s="5">
        <v>2</v>
      </c>
      <c r="G4955" s="19">
        <v>0.15</v>
      </c>
      <c r="H4955" s="5" t="s">
        <v>454</v>
      </c>
      <c r="I4955" s="10">
        <f>IF(OR(D4955="", F4955=""), "", F4955 * VLOOKUP(D4955, Products!A:E, 5, FALSE) * (1 - G4955))</f>
        <v>1145.4259999999999</v>
      </c>
      <c r="J4955" s="10"/>
    </row>
    <row r="4956" spans="1:10" ht="15.75" customHeight="1" x14ac:dyDescent="0.3">
      <c r="A4956" s="5" t="s">
        <v>5823</v>
      </c>
      <c r="B4956" s="11">
        <v>45378</v>
      </c>
      <c r="C4956" s="5" t="s">
        <v>416</v>
      </c>
      <c r="D4956" s="5" t="s">
        <v>162</v>
      </c>
      <c r="E4956" s="5" t="s">
        <v>21</v>
      </c>
      <c r="F4956" s="5">
        <v>2</v>
      </c>
      <c r="G4956" s="19">
        <v>0.05</v>
      </c>
      <c r="H4956" s="5" t="s">
        <v>454</v>
      </c>
      <c r="I4956" s="10">
        <f>IF(OR(D4956="", F4956=""), "", F4956 * VLOOKUP(D4956, Products!A:E, 5, FALSE) * (1 - G4956))</f>
        <v>815.38499999999988</v>
      </c>
      <c r="J4956" s="10"/>
    </row>
    <row r="4957" spans="1:10" ht="15.75" customHeight="1" x14ac:dyDescent="0.3">
      <c r="A4957" s="5" t="s">
        <v>5824</v>
      </c>
      <c r="B4957" s="11">
        <v>45317</v>
      </c>
      <c r="C4957" s="5" t="s">
        <v>397</v>
      </c>
      <c r="D4957" s="5" t="s">
        <v>217</v>
      </c>
      <c r="E4957" s="5" t="s">
        <v>25</v>
      </c>
      <c r="F4957" s="5">
        <v>4</v>
      </c>
      <c r="G4957" s="19">
        <v>0.15</v>
      </c>
      <c r="H4957" s="5" t="s">
        <v>637</v>
      </c>
      <c r="I4957" s="10">
        <f>IF(OR(D4957="", F4957=""), "", F4957 * VLOOKUP(D4957, Products!A:E, 5, FALSE) * (1 - G4957))</f>
        <v>1455.37</v>
      </c>
      <c r="J4957" s="10"/>
    </row>
    <row r="4958" spans="1:10" ht="15.75" customHeight="1" x14ac:dyDescent="0.3">
      <c r="A4958" s="5" t="s">
        <v>5825</v>
      </c>
      <c r="B4958" s="11">
        <v>45227</v>
      </c>
      <c r="C4958" s="5" t="s">
        <v>744</v>
      </c>
      <c r="D4958" s="5" t="s">
        <v>200</v>
      </c>
      <c r="E4958" s="5" t="s">
        <v>37</v>
      </c>
      <c r="F4958" s="5">
        <v>2</v>
      </c>
      <c r="G4958" s="19">
        <v>0.1</v>
      </c>
      <c r="H4958" s="5" t="s">
        <v>697</v>
      </c>
      <c r="I4958" s="10">
        <f>IF(OR(D4958="", F4958=""), "", F4958 * VLOOKUP(D4958, Products!A:E, 5, FALSE) * (1 - G4958))</f>
        <v>1972.296</v>
      </c>
      <c r="J4958" s="10"/>
    </row>
    <row r="4959" spans="1:10" ht="15.75" customHeight="1" x14ac:dyDescent="0.3">
      <c r="A4959" s="5" t="s">
        <v>5826</v>
      </c>
      <c r="B4959" s="11">
        <v>45554</v>
      </c>
      <c r="C4959" s="5" t="s">
        <v>586</v>
      </c>
      <c r="D4959" s="5" t="s">
        <v>122</v>
      </c>
      <c r="E4959" s="5" t="s">
        <v>33</v>
      </c>
      <c r="F4959" s="5">
        <v>2</v>
      </c>
      <c r="G4959" s="19">
        <v>0.05</v>
      </c>
      <c r="H4959" s="5" t="s">
        <v>697</v>
      </c>
      <c r="I4959" s="10">
        <f>IF(OR(D4959="", F4959=""), "", F4959 * VLOOKUP(D4959, Products!A:E, 5, FALSE) * (1 - G4959))</f>
        <v>3349.5479999999998</v>
      </c>
      <c r="J4959" s="10"/>
    </row>
    <row r="4960" spans="1:10" ht="15.75" customHeight="1" x14ac:dyDescent="0.3">
      <c r="A4960" s="5" t="s">
        <v>5827</v>
      </c>
      <c r="B4960" s="11">
        <v>45881</v>
      </c>
      <c r="C4960" s="5" t="s">
        <v>829</v>
      </c>
      <c r="D4960" s="5" t="s">
        <v>217</v>
      </c>
      <c r="E4960" s="5" t="s">
        <v>37</v>
      </c>
      <c r="F4960" s="5">
        <v>3</v>
      </c>
      <c r="G4960" s="19">
        <v>0.05</v>
      </c>
      <c r="H4960" s="5" t="s">
        <v>776</v>
      </c>
      <c r="I4960" s="10">
        <f>IF(OR(D4960="", F4960=""), "", F4960 * VLOOKUP(D4960, Products!A:E, 5, FALSE) * (1 - G4960))</f>
        <v>1219.9425000000001</v>
      </c>
      <c r="J4960" s="10"/>
    </row>
    <row r="4961" spans="1:10" ht="15.75" customHeight="1" x14ac:dyDescent="0.3">
      <c r="A4961" s="5" t="s">
        <v>5828</v>
      </c>
      <c r="B4961" s="11">
        <v>45372</v>
      </c>
      <c r="C4961" s="5" t="s">
        <v>286</v>
      </c>
      <c r="D4961" s="5" t="s">
        <v>54</v>
      </c>
      <c r="E4961" s="5" t="s">
        <v>25</v>
      </c>
      <c r="F4961" s="5">
        <v>2</v>
      </c>
      <c r="G4961" s="19">
        <v>0</v>
      </c>
      <c r="H4961" s="5" t="s">
        <v>776</v>
      </c>
      <c r="I4961" s="10">
        <f>IF(OR(D4961="", F4961=""), "", F4961 * VLOOKUP(D4961, Products!A:E, 5, FALSE) * (1 - G4961))</f>
        <v>3707.54</v>
      </c>
      <c r="J4961" s="10"/>
    </row>
    <row r="4962" spans="1:10" ht="15.75" customHeight="1" x14ac:dyDescent="0.3">
      <c r="A4962" s="5" t="s">
        <v>5829</v>
      </c>
      <c r="B4962" s="11">
        <v>45766</v>
      </c>
      <c r="C4962" s="5" t="s">
        <v>409</v>
      </c>
      <c r="D4962" s="5" t="s">
        <v>134</v>
      </c>
      <c r="E4962" s="5" t="s">
        <v>21</v>
      </c>
      <c r="F4962" s="5">
        <v>1</v>
      </c>
      <c r="G4962" s="19">
        <v>0.15</v>
      </c>
      <c r="H4962" s="5" t="s">
        <v>697</v>
      </c>
      <c r="I4962" s="10">
        <f>IF(OR(D4962="", F4962=""), "", F4962 * VLOOKUP(D4962, Products!A:E, 5, FALSE) * (1 - G4962))</f>
        <v>1043.154</v>
      </c>
      <c r="J4962" s="10"/>
    </row>
    <row r="4963" spans="1:10" ht="15.75" customHeight="1" x14ac:dyDescent="0.3">
      <c r="A4963" s="5" t="s">
        <v>5830</v>
      </c>
      <c r="B4963" s="11">
        <v>45844</v>
      </c>
      <c r="C4963" s="5" t="s">
        <v>387</v>
      </c>
      <c r="D4963" s="5" t="s">
        <v>70</v>
      </c>
      <c r="E4963" s="5" t="s">
        <v>25</v>
      </c>
      <c r="F4963" s="5">
        <v>5</v>
      </c>
      <c r="G4963" s="19">
        <v>0.1</v>
      </c>
      <c r="H4963" s="5" t="s">
        <v>454</v>
      </c>
      <c r="I4963" s="10">
        <f>IF(OR(D4963="", F4963=""), "", F4963 * VLOOKUP(D4963, Products!A:E, 5, FALSE) * (1 - G4963))</f>
        <v>554.35500000000002</v>
      </c>
      <c r="J4963" s="10"/>
    </row>
    <row r="4964" spans="1:10" ht="15.75" customHeight="1" x14ac:dyDescent="0.3">
      <c r="A4964" s="5" t="s">
        <v>5831</v>
      </c>
      <c r="B4964" s="11">
        <v>45621</v>
      </c>
      <c r="C4964" s="5" t="s">
        <v>292</v>
      </c>
      <c r="D4964" s="5" t="s">
        <v>265</v>
      </c>
      <c r="E4964" s="5" t="s">
        <v>25</v>
      </c>
      <c r="F4964" s="5">
        <v>3</v>
      </c>
      <c r="G4964" s="19">
        <v>0.15</v>
      </c>
      <c r="H4964" s="5" t="s">
        <v>776</v>
      </c>
      <c r="I4964" s="10">
        <f>IF(OR(D4964="", F4964=""), "", F4964 * VLOOKUP(D4964, Products!A:E, 5, FALSE) * (1 - G4964))</f>
        <v>1439.2709999999997</v>
      </c>
      <c r="J4964" s="10"/>
    </row>
    <row r="4965" spans="1:10" ht="15.75" customHeight="1" x14ac:dyDescent="0.3">
      <c r="A4965" s="5" t="s">
        <v>5832</v>
      </c>
      <c r="B4965" s="11">
        <v>45755</v>
      </c>
      <c r="C4965" s="5" t="s">
        <v>729</v>
      </c>
      <c r="D4965" s="5" t="s">
        <v>74</v>
      </c>
      <c r="E4965" s="5" t="s">
        <v>37</v>
      </c>
      <c r="F4965" s="5">
        <v>5</v>
      </c>
      <c r="G4965" s="19">
        <v>0.05</v>
      </c>
      <c r="H4965" s="5" t="s">
        <v>776</v>
      </c>
      <c r="I4965" s="10">
        <f>IF(OR(D4965="", F4965=""), "", F4965 * VLOOKUP(D4965, Products!A:E, 5, FALSE) * (1 - G4965))</f>
        <v>5672.0699999999988</v>
      </c>
      <c r="J4965" s="10"/>
    </row>
    <row r="4966" spans="1:10" ht="15.75" customHeight="1" x14ac:dyDescent="0.3">
      <c r="A4966" s="5" t="s">
        <v>5833</v>
      </c>
      <c r="B4966" s="11">
        <v>45760</v>
      </c>
      <c r="C4966" s="5" t="s">
        <v>789</v>
      </c>
      <c r="D4966" s="5" t="s">
        <v>89</v>
      </c>
      <c r="E4966" s="5" t="s">
        <v>33</v>
      </c>
      <c r="F4966" s="5">
        <v>3</v>
      </c>
      <c r="G4966" s="19">
        <v>0.1</v>
      </c>
      <c r="H4966" s="5" t="s">
        <v>776</v>
      </c>
      <c r="I4966" s="10">
        <f>IF(OR(D4966="", F4966=""), "", F4966 * VLOOKUP(D4966, Products!A:E, 5, FALSE) * (1 - G4966))</f>
        <v>3063.9599999999996</v>
      </c>
      <c r="J4966" s="10"/>
    </row>
    <row r="4967" spans="1:10" ht="15.75" customHeight="1" x14ac:dyDescent="0.3">
      <c r="A4967" s="5" t="s">
        <v>5834</v>
      </c>
      <c r="B4967" s="11">
        <v>45255</v>
      </c>
      <c r="C4967" s="5" t="s">
        <v>484</v>
      </c>
      <c r="D4967" s="5" t="s">
        <v>147</v>
      </c>
      <c r="E4967" s="5" t="s">
        <v>29</v>
      </c>
      <c r="F4967" s="5">
        <v>3</v>
      </c>
      <c r="G4967" s="19">
        <v>0.05</v>
      </c>
      <c r="H4967" s="5" t="s">
        <v>637</v>
      </c>
      <c r="I4967" s="10">
        <f>IF(OR(D4967="", F4967=""), "", F4967 * VLOOKUP(D4967, Products!A:E, 5, FALSE) * (1 - G4967))</f>
        <v>5353.6394999999993</v>
      </c>
      <c r="J4967" s="10"/>
    </row>
    <row r="4968" spans="1:10" ht="15.75" customHeight="1" x14ac:dyDescent="0.3">
      <c r="A4968" s="5" t="s">
        <v>5835</v>
      </c>
      <c r="B4968" s="11">
        <v>45781</v>
      </c>
      <c r="C4968" s="5" t="s">
        <v>165</v>
      </c>
      <c r="D4968" s="5" t="s">
        <v>153</v>
      </c>
      <c r="E4968" s="5" t="s">
        <v>33</v>
      </c>
      <c r="F4968" s="5">
        <v>3</v>
      </c>
      <c r="G4968" s="19">
        <v>0.15</v>
      </c>
      <c r="H4968" s="5" t="s">
        <v>776</v>
      </c>
      <c r="I4968" s="10">
        <f>IF(OR(D4968="", F4968=""), "", F4968 * VLOOKUP(D4968, Products!A:E, 5, FALSE) * (1 - G4968))</f>
        <v>3792.8955000000001</v>
      </c>
      <c r="J4968" s="10"/>
    </row>
    <row r="4969" spans="1:10" ht="15.75" customHeight="1" x14ac:dyDescent="0.3">
      <c r="A4969" s="5" t="s">
        <v>5836</v>
      </c>
      <c r="B4969" s="11">
        <v>45281</v>
      </c>
      <c r="C4969" s="5" t="s">
        <v>357</v>
      </c>
      <c r="D4969" s="5" t="s">
        <v>82</v>
      </c>
      <c r="E4969" s="5" t="s">
        <v>37</v>
      </c>
      <c r="F4969" s="5">
        <v>2</v>
      </c>
      <c r="G4969" s="19">
        <v>0</v>
      </c>
      <c r="H4969" s="5" t="s">
        <v>776</v>
      </c>
      <c r="I4969" s="10">
        <f>IF(OR(D4969="", F4969=""), "", F4969 * VLOOKUP(D4969, Products!A:E, 5, FALSE) * (1 - G4969))</f>
        <v>2386.1799999999998</v>
      </c>
      <c r="J4969" s="10"/>
    </row>
    <row r="4970" spans="1:10" ht="15.75" customHeight="1" x14ac:dyDescent="0.3">
      <c r="A4970" s="5" t="s">
        <v>5837</v>
      </c>
      <c r="B4970" s="11">
        <v>45403</v>
      </c>
      <c r="C4970" s="5" t="s">
        <v>16</v>
      </c>
      <c r="D4970" s="5" t="s">
        <v>47</v>
      </c>
      <c r="E4970" s="5" t="s">
        <v>33</v>
      </c>
      <c r="F4970" s="5">
        <v>3</v>
      </c>
      <c r="G4970" s="19">
        <v>0.05</v>
      </c>
      <c r="H4970" s="5" t="s">
        <v>697</v>
      </c>
      <c r="I4970" s="10">
        <f>IF(OR(D4970="", F4970=""), "", F4970 * VLOOKUP(D4970, Products!A:E, 5, FALSE) * (1 - G4970))</f>
        <v>2333.4659999999994</v>
      </c>
      <c r="J4970" s="10"/>
    </row>
    <row r="4971" spans="1:10" ht="15.75" customHeight="1" x14ac:dyDescent="0.3">
      <c r="A4971" s="5" t="s">
        <v>5838</v>
      </c>
      <c r="B4971" s="11">
        <v>45414</v>
      </c>
      <c r="C4971" s="5" t="s">
        <v>789</v>
      </c>
      <c r="D4971" s="5" t="s">
        <v>122</v>
      </c>
      <c r="E4971" s="5" t="s">
        <v>25</v>
      </c>
      <c r="F4971" s="5">
        <v>2</v>
      </c>
      <c r="G4971" s="19">
        <v>0.15</v>
      </c>
      <c r="H4971" s="5" t="s">
        <v>697</v>
      </c>
      <c r="I4971" s="10">
        <f>IF(OR(D4971="", F4971=""), "", F4971 * VLOOKUP(D4971, Products!A:E, 5, FALSE) * (1 - G4971))</f>
        <v>2996.9639999999999</v>
      </c>
      <c r="J4971" s="10"/>
    </row>
    <row r="4972" spans="1:10" ht="15.75" customHeight="1" x14ac:dyDescent="0.3">
      <c r="A4972" s="5" t="s">
        <v>5839</v>
      </c>
      <c r="B4972" s="11">
        <v>45552</v>
      </c>
      <c r="C4972" s="5" t="s">
        <v>274</v>
      </c>
      <c r="D4972" s="5" t="s">
        <v>269</v>
      </c>
      <c r="E4972" s="5" t="s">
        <v>33</v>
      </c>
      <c r="F4972" s="5">
        <v>4</v>
      </c>
      <c r="G4972" s="19">
        <v>0.15</v>
      </c>
      <c r="H4972" s="5" t="s">
        <v>637</v>
      </c>
      <c r="I4972" s="10">
        <f>IF(OR(D4972="", F4972=""), "", F4972 * VLOOKUP(D4972, Products!A:E, 5, FALSE) * (1 - G4972))</f>
        <v>6388.8719999999994</v>
      </c>
      <c r="J4972" s="10"/>
    </row>
    <row r="4973" spans="1:10" ht="15.75" customHeight="1" x14ac:dyDescent="0.3">
      <c r="A4973" s="5" t="s">
        <v>5840</v>
      </c>
      <c r="B4973" s="11">
        <v>45389</v>
      </c>
      <c r="C4973" s="5" t="s">
        <v>372</v>
      </c>
      <c r="D4973" s="5" t="s">
        <v>54</v>
      </c>
      <c r="E4973" s="5" t="s">
        <v>25</v>
      </c>
      <c r="F4973" s="5">
        <v>1</v>
      </c>
      <c r="G4973" s="19">
        <v>0.15</v>
      </c>
      <c r="H4973" s="5" t="s">
        <v>776</v>
      </c>
      <c r="I4973" s="10">
        <f>IF(OR(D4973="", F4973=""), "", F4973 * VLOOKUP(D4973, Products!A:E, 5, FALSE) * (1 - G4973))</f>
        <v>1575.7045000000001</v>
      </c>
      <c r="J4973" s="10"/>
    </row>
    <row r="4974" spans="1:10" ht="15.75" customHeight="1" x14ac:dyDescent="0.3">
      <c r="A4974" s="5" t="s">
        <v>5841</v>
      </c>
      <c r="B4974" s="11">
        <v>45842</v>
      </c>
      <c r="C4974" s="5" t="s">
        <v>546</v>
      </c>
      <c r="D4974" s="5" t="s">
        <v>272</v>
      </c>
      <c r="E4974" s="5" t="s">
        <v>33</v>
      </c>
      <c r="F4974" s="5">
        <v>3</v>
      </c>
      <c r="G4974" s="19">
        <v>0.15</v>
      </c>
      <c r="H4974" s="5" t="s">
        <v>776</v>
      </c>
      <c r="I4974" s="10">
        <f>IF(OR(D4974="", F4974=""), "", F4974 * VLOOKUP(D4974, Products!A:E, 5, FALSE) * (1 - G4974))</f>
        <v>2971.6934999999999</v>
      </c>
      <c r="J4974" s="10"/>
    </row>
    <row r="4975" spans="1:10" ht="15.75" customHeight="1" x14ac:dyDescent="0.3">
      <c r="A4975" s="5" t="s">
        <v>5842</v>
      </c>
      <c r="B4975" s="11">
        <v>45586</v>
      </c>
      <c r="C4975" s="5" t="s">
        <v>590</v>
      </c>
      <c r="D4975" s="5" t="s">
        <v>243</v>
      </c>
      <c r="E4975" s="5" t="s">
        <v>21</v>
      </c>
      <c r="F4975" s="5">
        <v>2</v>
      </c>
      <c r="G4975" s="19">
        <v>0.1</v>
      </c>
      <c r="H4975" s="5" t="s">
        <v>776</v>
      </c>
      <c r="I4975" s="10">
        <f>IF(OR(D4975="", F4975=""), "", F4975 * VLOOKUP(D4975, Products!A:E, 5, FALSE) * (1 - G4975))</f>
        <v>973.69200000000012</v>
      </c>
      <c r="J4975" s="10"/>
    </row>
    <row r="4976" spans="1:10" ht="15.75" customHeight="1" x14ac:dyDescent="0.3">
      <c r="A4976" s="5" t="s">
        <v>5843</v>
      </c>
      <c r="B4976" s="11">
        <v>45485</v>
      </c>
      <c r="C4976" s="5" t="s">
        <v>393</v>
      </c>
      <c r="D4976" s="5" t="s">
        <v>74</v>
      </c>
      <c r="E4976" s="5" t="s">
        <v>33</v>
      </c>
      <c r="F4976" s="5">
        <v>1</v>
      </c>
      <c r="G4976" s="19">
        <v>0.1</v>
      </c>
      <c r="H4976" s="5" t="s">
        <v>454</v>
      </c>
      <c r="I4976" s="10">
        <f>IF(OR(D4976="", F4976=""), "", F4976 * VLOOKUP(D4976, Products!A:E, 5, FALSE) * (1 - G4976))</f>
        <v>1074.7079999999999</v>
      </c>
      <c r="J4976" s="10"/>
    </row>
    <row r="4977" spans="1:10" ht="15.75" customHeight="1" x14ac:dyDescent="0.3">
      <c r="A4977" s="5" t="s">
        <v>5844</v>
      </c>
      <c r="B4977" s="11">
        <v>45313</v>
      </c>
      <c r="C4977" s="5" t="s">
        <v>326</v>
      </c>
      <c r="D4977" s="5" t="s">
        <v>206</v>
      </c>
      <c r="E4977" s="5" t="s">
        <v>37</v>
      </c>
      <c r="F4977" s="5">
        <v>5</v>
      </c>
      <c r="G4977" s="19">
        <v>0.1</v>
      </c>
      <c r="H4977" s="5" t="s">
        <v>697</v>
      </c>
      <c r="I4977" s="10">
        <f>IF(OR(D4977="", F4977=""), "", F4977 * VLOOKUP(D4977, Products!A:E, 5, FALSE) * (1 - G4977))</f>
        <v>1371.1949999999999</v>
      </c>
      <c r="J4977" s="10"/>
    </row>
    <row r="4978" spans="1:10" ht="15.75" customHeight="1" x14ac:dyDescent="0.3">
      <c r="A4978" s="5" t="s">
        <v>5845</v>
      </c>
      <c r="B4978" s="11">
        <v>45329</v>
      </c>
      <c r="C4978" s="5" t="s">
        <v>752</v>
      </c>
      <c r="D4978" s="5" t="s">
        <v>77</v>
      </c>
      <c r="E4978" s="5" t="s">
        <v>29</v>
      </c>
      <c r="F4978" s="5">
        <v>1</v>
      </c>
      <c r="G4978" s="19">
        <v>0</v>
      </c>
      <c r="H4978" s="5" t="s">
        <v>637</v>
      </c>
      <c r="I4978" s="10">
        <f>IF(OR(D4978="", F4978=""), "", F4978 * VLOOKUP(D4978, Products!A:E, 5, FALSE) * (1 - G4978))</f>
        <v>248.57</v>
      </c>
      <c r="J4978" s="10"/>
    </row>
    <row r="4979" spans="1:10" ht="15.75" customHeight="1" x14ac:dyDescent="0.3">
      <c r="A4979" s="5" t="s">
        <v>5846</v>
      </c>
      <c r="B4979" s="11">
        <v>45591</v>
      </c>
      <c r="C4979" s="5" t="s">
        <v>819</v>
      </c>
      <c r="D4979" s="5" t="s">
        <v>237</v>
      </c>
      <c r="E4979" s="5" t="s">
        <v>29</v>
      </c>
      <c r="F4979" s="5">
        <v>1</v>
      </c>
      <c r="G4979" s="19">
        <v>0.05</v>
      </c>
      <c r="H4979" s="5" t="s">
        <v>637</v>
      </c>
      <c r="I4979" s="10">
        <f>IF(OR(D4979="", F4979=""), "", F4979 * VLOOKUP(D4979, Products!A:E, 5, FALSE) * (1 - G4979))</f>
        <v>348.58350000000002</v>
      </c>
      <c r="J4979" s="10"/>
    </row>
    <row r="4980" spans="1:10" ht="15.75" customHeight="1" x14ac:dyDescent="0.3">
      <c r="A4980" s="5" t="s">
        <v>5847</v>
      </c>
      <c r="B4980" s="11">
        <v>45699</v>
      </c>
      <c r="C4980" s="5" t="s">
        <v>429</v>
      </c>
      <c r="D4980" s="5" t="s">
        <v>89</v>
      </c>
      <c r="E4980" s="5" t="s">
        <v>21</v>
      </c>
      <c r="F4980" s="5">
        <v>4</v>
      </c>
      <c r="G4980" s="19">
        <v>0.15</v>
      </c>
      <c r="H4980" s="5" t="s">
        <v>454</v>
      </c>
      <c r="I4980" s="10">
        <f>IF(OR(D4980="", F4980=""), "", F4980 * VLOOKUP(D4980, Products!A:E, 5, FALSE) * (1 - G4980))</f>
        <v>3858.3199999999997</v>
      </c>
      <c r="J4980" s="10"/>
    </row>
    <row r="4981" spans="1:10" ht="15.75" customHeight="1" x14ac:dyDescent="0.3">
      <c r="A4981" s="5" t="s">
        <v>5848</v>
      </c>
      <c r="B4981" s="11">
        <v>45854</v>
      </c>
      <c r="C4981" s="5" t="s">
        <v>645</v>
      </c>
      <c r="D4981" s="5" t="s">
        <v>43</v>
      </c>
      <c r="E4981" s="5" t="s">
        <v>25</v>
      </c>
      <c r="F4981" s="5">
        <v>4</v>
      </c>
      <c r="G4981" s="19">
        <v>0.15</v>
      </c>
      <c r="H4981" s="5" t="s">
        <v>637</v>
      </c>
      <c r="I4981" s="10">
        <f>IF(OR(D4981="", F4981=""), "", F4981 * VLOOKUP(D4981, Products!A:E, 5, FALSE) * (1 - G4981))</f>
        <v>5690.5460000000003</v>
      </c>
      <c r="J4981" s="10"/>
    </row>
    <row r="4982" spans="1:10" ht="15.75" customHeight="1" x14ac:dyDescent="0.3">
      <c r="A4982" s="5" t="s">
        <v>5849</v>
      </c>
      <c r="B4982" s="11">
        <v>45535</v>
      </c>
      <c r="C4982" s="5" t="s">
        <v>292</v>
      </c>
      <c r="D4982" s="5" t="s">
        <v>140</v>
      </c>
      <c r="E4982" s="5" t="s">
        <v>29</v>
      </c>
      <c r="F4982" s="5">
        <v>5</v>
      </c>
      <c r="G4982" s="19">
        <v>0</v>
      </c>
      <c r="H4982" s="5" t="s">
        <v>637</v>
      </c>
      <c r="I4982" s="10">
        <f>IF(OR(D4982="", F4982=""), "", F4982 * VLOOKUP(D4982, Products!A:E, 5, FALSE) * (1 - G4982))</f>
        <v>127.85</v>
      </c>
      <c r="J4982" s="10"/>
    </row>
    <row r="4983" spans="1:10" ht="15.75" customHeight="1" x14ac:dyDescent="0.3">
      <c r="A4983" s="5" t="s">
        <v>5850</v>
      </c>
      <c r="B4983" s="11">
        <v>45816</v>
      </c>
      <c r="C4983" s="5" t="s">
        <v>312</v>
      </c>
      <c r="D4983" s="5" t="s">
        <v>232</v>
      </c>
      <c r="E4983" s="5" t="s">
        <v>21</v>
      </c>
      <c r="F4983" s="5">
        <v>1</v>
      </c>
      <c r="G4983" s="19">
        <v>0.05</v>
      </c>
      <c r="H4983" s="5" t="s">
        <v>637</v>
      </c>
      <c r="I4983" s="10">
        <f>IF(OR(D4983="", F4983=""), "", F4983 * VLOOKUP(D4983, Products!A:E, 5, FALSE) * (1 - G4983))</f>
        <v>1855.0174999999999</v>
      </c>
      <c r="J4983" s="10"/>
    </row>
    <row r="4984" spans="1:10" ht="15.75" customHeight="1" x14ac:dyDescent="0.3">
      <c r="A4984" s="5" t="s">
        <v>5851</v>
      </c>
      <c r="B4984" s="11">
        <v>45908</v>
      </c>
      <c r="C4984" s="5" t="s">
        <v>346</v>
      </c>
      <c r="D4984" s="5" t="s">
        <v>193</v>
      </c>
      <c r="E4984" s="5" t="s">
        <v>37</v>
      </c>
      <c r="F4984" s="5">
        <v>3</v>
      </c>
      <c r="G4984" s="19">
        <v>0.15</v>
      </c>
      <c r="H4984" s="5" t="s">
        <v>454</v>
      </c>
      <c r="I4984" s="10">
        <f>IF(OR(D4984="", F4984=""), "", F4984 * VLOOKUP(D4984, Products!A:E, 5, FALSE) * (1 - G4984))</f>
        <v>74.561999999999998</v>
      </c>
      <c r="J4984" s="10"/>
    </row>
    <row r="4985" spans="1:10" ht="15.75" customHeight="1" x14ac:dyDescent="0.3">
      <c r="A4985" s="5" t="s">
        <v>5852</v>
      </c>
      <c r="B4985" s="11">
        <v>45262</v>
      </c>
      <c r="C4985" s="5" t="s">
        <v>560</v>
      </c>
      <c r="D4985" s="5" t="s">
        <v>162</v>
      </c>
      <c r="E4985" s="5" t="s">
        <v>21</v>
      </c>
      <c r="F4985" s="5">
        <v>3</v>
      </c>
      <c r="G4985" s="19">
        <v>0.15</v>
      </c>
      <c r="H4985" s="5" t="s">
        <v>454</v>
      </c>
      <c r="I4985" s="10">
        <f>IF(OR(D4985="", F4985=""), "", F4985 * VLOOKUP(D4985, Products!A:E, 5, FALSE) * (1 - G4985))</f>
        <v>1094.3324999999998</v>
      </c>
      <c r="J4985" s="10"/>
    </row>
    <row r="4986" spans="1:10" ht="15.75" customHeight="1" x14ac:dyDescent="0.3">
      <c r="A4986" s="5" t="s">
        <v>5853</v>
      </c>
      <c r="B4986" s="11">
        <v>45561</v>
      </c>
      <c r="C4986" s="5" t="s">
        <v>470</v>
      </c>
      <c r="D4986" s="5" t="s">
        <v>61</v>
      </c>
      <c r="E4986" s="5" t="s">
        <v>37</v>
      </c>
      <c r="F4986" s="5">
        <v>4</v>
      </c>
      <c r="G4986" s="19">
        <v>0.05</v>
      </c>
      <c r="H4986" s="5" t="s">
        <v>776</v>
      </c>
      <c r="I4986" s="10">
        <f>IF(OR(D4986="", F4986=""), "", F4986 * VLOOKUP(D4986, Products!A:E, 5, FALSE) * (1 - G4986))</f>
        <v>1208.5899999999999</v>
      </c>
      <c r="J4986" s="10"/>
    </row>
    <row r="4987" spans="1:10" ht="15.75" customHeight="1" x14ac:dyDescent="0.3">
      <c r="A4987" s="5" t="s">
        <v>5854</v>
      </c>
      <c r="B4987" s="11">
        <v>45190</v>
      </c>
      <c r="C4987" s="5" t="s">
        <v>661</v>
      </c>
      <c r="D4987" s="5" t="s">
        <v>243</v>
      </c>
      <c r="E4987" s="5" t="s">
        <v>25</v>
      </c>
      <c r="F4987" s="5">
        <v>5</v>
      </c>
      <c r="G4987" s="19">
        <v>0.15</v>
      </c>
      <c r="H4987" s="5" t="s">
        <v>454</v>
      </c>
      <c r="I4987" s="10">
        <f>IF(OR(D4987="", F4987=""), "", F4987 * VLOOKUP(D4987, Products!A:E, 5, FALSE) * (1 - G4987))</f>
        <v>2298.9950000000003</v>
      </c>
      <c r="J4987" s="10"/>
    </row>
    <row r="4988" spans="1:10" ht="15.75" customHeight="1" x14ac:dyDescent="0.3">
      <c r="A4988" s="5" t="s">
        <v>5855</v>
      </c>
      <c r="B4988" s="11">
        <v>45541</v>
      </c>
      <c r="C4988" s="5" t="s">
        <v>727</v>
      </c>
      <c r="D4988" s="5" t="s">
        <v>43</v>
      </c>
      <c r="E4988" s="5" t="s">
        <v>21</v>
      </c>
      <c r="F4988" s="5">
        <v>3</v>
      </c>
      <c r="G4988" s="19">
        <v>0.15</v>
      </c>
      <c r="H4988" s="5" t="s">
        <v>776</v>
      </c>
      <c r="I4988" s="10">
        <f>IF(OR(D4988="", F4988=""), "", F4988 * VLOOKUP(D4988, Products!A:E, 5, FALSE) * (1 - G4988))</f>
        <v>4267.9094999999998</v>
      </c>
      <c r="J4988" s="10"/>
    </row>
    <row r="4989" spans="1:10" ht="15.75" customHeight="1" x14ac:dyDescent="0.3">
      <c r="A4989" s="5" t="s">
        <v>5856</v>
      </c>
      <c r="B4989" s="11">
        <v>45189</v>
      </c>
      <c r="C4989" s="5" t="s">
        <v>718</v>
      </c>
      <c r="D4989" s="5" t="s">
        <v>147</v>
      </c>
      <c r="E4989" s="5" t="s">
        <v>37</v>
      </c>
      <c r="F4989" s="5">
        <v>3</v>
      </c>
      <c r="G4989" s="19">
        <v>0.1</v>
      </c>
      <c r="H4989" s="5" t="s">
        <v>776</v>
      </c>
      <c r="I4989" s="10">
        <f>IF(OR(D4989="", F4989=""), "", F4989 * VLOOKUP(D4989, Products!A:E, 5, FALSE) * (1 - G4989))</f>
        <v>5071.8689999999997</v>
      </c>
      <c r="J4989" s="10"/>
    </row>
    <row r="4990" spans="1:10" ht="15.75" customHeight="1" x14ac:dyDescent="0.3">
      <c r="A4990" s="5" t="s">
        <v>5857</v>
      </c>
      <c r="B4990" s="11">
        <v>45331</v>
      </c>
      <c r="C4990" s="5" t="s">
        <v>440</v>
      </c>
      <c r="D4990" s="5" t="s">
        <v>221</v>
      </c>
      <c r="E4990" s="5" t="s">
        <v>37</v>
      </c>
      <c r="F4990" s="5">
        <v>2</v>
      </c>
      <c r="G4990" s="19">
        <v>0.05</v>
      </c>
      <c r="H4990" s="5" t="s">
        <v>637</v>
      </c>
      <c r="I4990" s="10">
        <f>IF(OR(D4990="", F4990=""), "", F4990 * VLOOKUP(D4990, Products!A:E, 5, FALSE) * (1 - G4990))</f>
        <v>2968.6170000000002</v>
      </c>
      <c r="J4990" s="10"/>
    </row>
    <row r="4991" spans="1:10" ht="15.75" customHeight="1" x14ac:dyDescent="0.3">
      <c r="A4991" s="5" t="s">
        <v>5858</v>
      </c>
      <c r="B4991" s="11">
        <v>45533</v>
      </c>
      <c r="C4991" s="5" t="s">
        <v>876</v>
      </c>
      <c r="D4991" s="5" t="s">
        <v>226</v>
      </c>
      <c r="E4991" s="5" t="s">
        <v>33</v>
      </c>
      <c r="F4991" s="5">
        <v>3</v>
      </c>
      <c r="G4991" s="19">
        <v>0.05</v>
      </c>
      <c r="H4991" s="5" t="s">
        <v>697</v>
      </c>
      <c r="I4991" s="10">
        <f>IF(OR(D4991="", F4991=""), "", F4991 * VLOOKUP(D4991, Products!A:E, 5, FALSE) * (1 - G4991))</f>
        <v>4279.1610000000001</v>
      </c>
      <c r="J4991" s="10"/>
    </row>
    <row r="4992" spans="1:10" ht="15.75" customHeight="1" x14ac:dyDescent="0.3">
      <c r="A4992" s="5" t="s">
        <v>5859</v>
      </c>
      <c r="B4992" s="11">
        <v>45826</v>
      </c>
      <c r="C4992" s="5" t="s">
        <v>281</v>
      </c>
      <c r="D4992" s="5" t="s">
        <v>70</v>
      </c>
      <c r="E4992" s="5" t="s">
        <v>25</v>
      </c>
      <c r="F4992" s="5">
        <v>5</v>
      </c>
      <c r="G4992" s="19">
        <v>0.1</v>
      </c>
      <c r="H4992" s="5" t="s">
        <v>637</v>
      </c>
      <c r="I4992" s="10">
        <f>IF(OR(D4992="", F4992=""), "", F4992 * VLOOKUP(D4992, Products!A:E, 5, FALSE) * (1 - G4992))</f>
        <v>554.35500000000002</v>
      </c>
      <c r="J4992" s="10"/>
    </row>
    <row r="4993" spans="1:10" ht="15.75" customHeight="1" x14ac:dyDescent="0.3">
      <c r="A4993" s="5" t="s">
        <v>5860</v>
      </c>
      <c r="B4993" s="11">
        <v>45552</v>
      </c>
      <c r="C4993" s="5" t="s">
        <v>229</v>
      </c>
      <c r="D4993" s="5" t="s">
        <v>249</v>
      </c>
      <c r="E4993" s="5" t="s">
        <v>25</v>
      </c>
      <c r="F4993" s="5">
        <v>1</v>
      </c>
      <c r="G4993" s="19">
        <v>0.05</v>
      </c>
      <c r="H4993" s="5" t="s">
        <v>776</v>
      </c>
      <c r="I4993" s="10">
        <f>IF(OR(D4993="", F4993=""), "", F4993 * VLOOKUP(D4993, Products!A:E, 5, FALSE) * (1 - G4993))</f>
        <v>1658.3294999999998</v>
      </c>
      <c r="J4993" s="10"/>
    </row>
    <row r="4994" spans="1:10" ht="15.75" customHeight="1" x14ac:dyDescent="0.3">
      <c r="A4994" s="5" t="s">
        <v>5861</v>
      </c>
      <c r="B4994" s="11">
        <v>45475</v>
      </c>
      <c r="C4994" s="5" t="s">
        <v>779</v>
      </c>
      <c r="D4994" s="5" t="s">
        <v>249</v>
      </c>
      <c r="E4994" s="5" t="s">
        <v>21</v>
      </c>
      <c r="F4994" s="5">
        <v>3</v>
      </c>
      <c r="G4994" s="19">
        <v>0.1</v>
      </c>
      <c r="H4994" s="5" t="s">
        <v>454</v>
      </c>
      <c r="I4994" s="10">
        <f>IF(OR(D4994="", F4994=""), "", F4994 * VLOOKUP(D4994, Products!A:E, 5, FALSE) * (1 - G4994))</f>
        <v>4713.1469999999999</v>
      </c>
      <c r="J4994" s="10"/>
    </row>
    <row r="4995" spans="1:10" ht="15.75" customHeight="1" x14ac:dyDescent="0.3">
      <c r="A4995" s="5" t="s">
        <v>5862</v>
      </c>
      <c r="B4995" s="11">
        <v>45498</v>
      </c>
      <c r="C4995" s="5" t="s">
        <v>387</v>
      </c>
      <c r="D4995" s="5" t="s">
        <v>54</v>
      </c>
      <c r="E4995" s="5" t="s">
        <v>29</v>
      </c>
      <c r="F4995" s="5">
        <v>1</v>
      </c>
      <c r="G4995" s="19">
        <v>0</v>
      </c>
      <c r="H4995" s="5" t="s">
        <v>776</v>
      </c>
      <c r="I4995" s="10">
        <f>IF(OR(D4995="", F4995=""), "", F4995 * VLOOKUP(D4995, Products!A:E, 5, FALSE) * (1 - G4995))</f>
        <v>1853.77</v>
      </c>
      <c r="J4995" s="10"/>
    </row>
    <row r="4996" spans="1:10" ht="15.75" customHeight="1" x14ac:dyDescent="0.3">
      <c r="A4996" s="5" t="s">
        <v>5863</v>
      </c>
      <c r="B4996" s="11">
        <v>45754</v>
      </c>
      <c r="C4996" s="5" t="s">
        <v>338</v>
      </c>
      <c r="D4996" s="5" t="s">
        <v>206</v>
      </c>
      <c r="E4996" s="5" t="s">
        <v>33</v>
      </c>
      <c r="F4996" s="5">
        <v>4</v>
      </c>
      <c r="G4996" s="19">
        <v>0.05</v>
      </c>
      <c r="H4996" s="5" t="s">
        <v>697</v>
      </c>
      <c r="I4996" s="10">
        <f>IF(OR(D4996="", F4996=""), "", F4996 * VLOOKUP(D4996, Products!A:E, 5, FALSE) * (1 - G4996))</f>
        <v>1157.8979999999999</v>
      </c>
      <c r="J4996" s="10"/>
    </row>
    <row r="4997" spans="1:10" ht="15.75" customHeight="1" x14ac:dyDescent="0.3">
      <c r="A4997" s="5" t="s">
        <v>5864</v>
      </c>
      <c r="B4997" s="11">
        <v>45883</v>
      </c>
      <c r="C4997" s="5" t="s">
        <v>350</v>
      </c>
      <c r="D4997" s="5" t="s">
        <v>243</v>
      </c>
      <c r="E4997" s="5" t="s">
        <v>37</v>
      </c>
      <c r="F4997" s="5">
        <v>5</v>
      </c>
      <c r="G4997" s="19">
        <v>0.1</v>
      </c>
      <c r="H4997" s="5" t="s">
        <v>637</v>
      </c>
      <c r="I4997" s="10">
        <f>IF(OR(D4997="", F4997=""), "", F4997 * VLOOKUP(D4997, Products!A:E, 5, FALSE) * (1 - G4997))</f>
        <v>2434.2300000000005</v>
      </c>
      <c r="J4997" s="10"/>
    </row>
    <row r="4998" spans="1:10" ht="15.75" customHeight="1" x14ac:dyDescent="0.3">
      <c r="A4998" s="5" t="s">
        <v>5865</v>
      </c>
      <c r="B4998" s="11">
        <v>45620</v>
      </c>
      <c r="C4998" s="5" t="s">
        <v>455</v>
      </c>
      <c r="D4998" s="5" t="s">
        <v>134</v>
      </c>
      <c r="E4998" s="5" t="s">
        <v>25</v>
      </c>
      <c r="F4998" s="5">
        <v>2</v>
      </c>
      <c r="G4998" s="19">
        <v>0.1</v>
      </c>
      <c r="H4998" s="5" t="s">
        <v>637</v>
      </c>
      <c r="I4998" s="10">
        <f>IF(OR(D4998="", F4998=""), "", F4998 * VLOOKUP(D4998, Products!A:E, 5, FALSE) * (1 - G4998))</f>
        <v>2209.0320000000002</v>
      </c>
      <c r="J4998" s="10"/>
    </row>
    <row r="4999" spans="1:10" ht="15.75" customHeight="1" x14ac:dyDescent="0.3">
      <c r="A4999" s="5" t="s">
        <v>5866</v>
      </c>
      <c r="B4999" s="11">
        <v>45877</v>
      </c>
      <c r="C4999" s="5" t="s">
        <v>826</v>
      </c>
      <c r="D4999" s="5" t="s">
        <v>57</v>
      </c>
      <c r="E4999" s="5" t="s">
        <v>33</v>
      </c>
      <c r="F4999" s="5">
        <v>5</v>
      </c>
      <c r="G4999" s="19">
        <v>0.15</v>
      </c>
      <c r="H4999" s="5" t="s">
        <v>776</v>
      </c>
      <c r="I4999" s="10">
        <f>IF(OR(D4999="", F4999=""), "", F4999 * VLOOKUP(D4999, Products!A:E, 5, FALSE) * (1 - G4999))</f>
        <v>5933.9350000000004</v>
      </c>
      <c r="J4999" s="10"/>
    </row>
    <row r="5000" spans="1:10" ht="15.75" customHeight="1" x14ac:dyDescent="0.3">
      <c r="A5000" s="5" t="s">
        <v>5867</v>
      </c>
      <c r="B5000" s="11">
        <v>45365</v>
      </c>
      <c r="C5000" s="5" t="s">
        <v>652</v>
      </c>
      <c r="D5000" s="5" t="s">
        <v>54</v>
      </c>
      <c r="E5000" s="5" t="s">
        <v>37</v>
      </c>
      <c r="F5000" s="5">
        <v>5</v>
      </c>
      <c r="G5000" s="19">
        <v>0.05</v>
      </c>
      <c r="H5000" s="5" t="s">
        <v>697</v>
      </c>
      <c r="I5000" s="10">
        <f>IF(OR(D5000="", F5000=""), "", F5000 * VLOOKUP(D5000, Products!A:E, 5, FALSE) * (1 - G5000))</f>
        <v>8805.4074999999993</v>
      </c>
      <c r="J5000" s="10"/>
    </row>
    <row r="5001" spans="1:10" ht="15.75" customHeight="1" x14ac:dyDescent="0.3">
      <c r="A5001" s="5" t="s">
        <v>5868</v>
      </c>
      <c r="B5001" s="11">
        <v>45489</v>
      </c>
      <c r="C5001" s="5" t="s">
        <v>361</v>
      </c>
      <c r="D5001" s="5" t="s">
        <v>217</v>
      </c>
      <c r="E5001" s="5" t="s">
        <v>33</v>
      </c>
      <c r="F5001" s="5">
        <v>5</v>
      </c>
      <c r="G5001" s="19">
        <v>0.15</v>
      </c>
      <c r="H5001" s="5" t="s">
        <v>776</v>
      </c>
      <c r="I5001" s="10">
        <f>IF(OR(D5001="", F5001=""), "", F5001 * VLOOKUP(D5001, Products!A:E, 5, FALSE) * (1 - G5001))</f>
        <v>1819.2124999999999</v>
      </c>
      <c r="J5001" s="10"/>
    </row>
  </sheetData>
  <sheetProtection algorithmName="SHA-512" hashValue="tiBFsvfm/2QqTmYEM6iwUucHoujgbchqObiypYA/fQKnx0LPWUEfWdSvSJjMabEIcL4cgZjlPLkWJaR6jFPxDg==" saltValue="qHfgsQKvRqLA8O1fgpUFhg==" spinCount="100000" sheet="1" objects="1" scenarios="1"/>
  <dataValidations count="2">
    <dataValidation type="list" allowBlank="1" showErrorMessage="1" sqref="H2:H5001" xr:uid="{00000000-0002-0000-0300-000000000000}">
      <formula1>"Bank Transfer,Cash,Credit Card,Mobile Money"</formula1>
    </dataValidation>
    <dataValidation type="list" allowBlank="1" showErrorMessage="1" sqref="B2:B5001" xr:uid="{00000000-0002-0000-0300-000001000000}">
      <formula1>"1/1/2024,1/1/2025,1/10/2024,1/10/2025,1/11/2024,1/11/2025,1/12/2024,1/12/2025,1/13/2024,1/13/2025,1/14/2024,1/14/2025,1/15/2024,1/15/2025,1/16/2024,1/16/2025,1/17/2024,1/17/2025,1/18/2024,1/18/2025,1/19/2024,1/19/2025,1/2/2024,1/2/2025,1/20/2024,1/20/2025"&amp;",1/21/2024,1/21/2025,1/22/2024,1/22/2025,1/23/2024,1/23/2025,1/24/2024,1/24/2025,1/25/2024,1/25/2025,1/26/2024,1/26/2025,1/27/2024,1/27/2025,1/28/2024,1/28/2025,1/29/2024,1/29/2025,1/3/2024,1/3/2025,1/30/2024,1/30/2025,1/31/2024,1/31/2025,1/4/2024,1/4/202"&amp;"5,1/5/2024,1/5/2025,1/6/2024,1/6/2025,1/7/2024,1/7/2025,1/8/2024,1/8/2025,1/9/2024,1/9/2025,10/1/2023,10/1/2024,10/10/2023,10/10/2024,10/11/2023,10/11/2024,10/12/2023,10/12/2024,10/13/2023,10/13/2024,10/14/2023,10/14/2024,10/15/2023,10/15/2024,10/16/2023,"&amp;"10/16/2024,10/17/2023,10/17/2024,10/18/2023,10/18/2024,10/19/2023,10/19/2024,10/2/2023,10/2/2024,10/20/2023,10/20/2024,10/21/2023,10/21/2024,10/22/2023,10/22/2024,10/23/2023,10/23/2024,10/24/2023,10/24/2024,10/25/2023,10/25/2024,10/26/2023,10/26/2024,10/2"&amp;"7/2023,10/27/2024,10/28/2023,10/28/2024,10/29/2023,10/29/2024,10/3/2023,10/3/2024,10/30/2023,10/30/2024,10/31/2023,10/31/2024,10/4/2023,10/4/2024,10/5/2023,10/5/2024,10/6/2023,10/6/2024,10/7/2023,10/7/2024,10/8/2023,10/8/2024,10/9/2023,10/9/2024,11/1/2023"&amp;",11/1/2024,11/10/2023,11/10/2024,11/11/2023,11/11/2024,11/12/2023,11/12/2024,11/13/2023,11/13/2024,11/14/2023,11/14/2024,11/15/2023,11/15/2024,11/16/2023,11/16/2024,11/17/2023,11/17/2024,11/18/2023,11/18/2024,11/19/2023,11/19/2024,11/2/2023,11/2/2024,11/2"&amp;"0/2023,11/20/2024,11/21/2023,11/21/2024,11/22/2023,11/22/2024,11/23/2023,11/23/2024,11/24/2023,11/24/2024,11/25/2023,11/25/2024,11/26/2023,11/26/2024,11/27/2023,11/27/2024,11/28/2023,11/28/2024,11/29/2023,11/29/2024,11/3/2023,11/3/2024,11/30/2023,11/30/20"&amp;"24,11/4/2023,11/4/2024,11/5/2023,11/5/2024,11/6/2023,11/6/2024,11/7/2023,11/7/2024,11/8/2023,11/8/2024,11/9/2023,11/9/2024,12/1/2023,12/1/2024,12/10/2023,12/10/2024,12/11/2023,12/11/2024,12/12/2023,12/12/2024,12/13/2023,12/13/2024,12/14/2023,12/14/2024,12"&amp;"/15/2023,12/15/2024,12/16/2023,12/16/2024,12/17/2023,12/17/2024,12/18/2023,12/18/2024,12/19/2023,12/19/2024,12/2/2023,12/2/2024,12/20/2023,12/20/2024,12/21/2023,12/21/2024,12/22/2023,12/22/2024,12/23/2023,12/23/2024,12/24/2023,12/24/2024,12/25/2023,12/25/"&amp;"2024,12/26/2023,12/26/2024,12/27/2023,12/27/2024,12/28/2023,12/28/2024,12/29/2023,12/29/2024,12/3/2023,12/3/2024,12/30/2023,12/30/2024,12/31/2023,12/31/2024,12/4/2023,12/4/2024,12/5/2023,12/5/2024,12/6/2023,12/6/2024,12/7/2023,12/7/2024,12/8/2023,12/8/202"&amp;"4,12/9/2023,12/9/2024,2/1/2024,2/1/2025,2/10/2024,2/10/2025,2/11/2024,2/11/2025,2/12/2024,2/12/2025,2/13/2024,2/13/2025,2/14/2024,2/14/2025,2/15/2024,2/15/2025,2/16/2024,2/16/2025,2/17/2024,2/17/2025,2/18/2024,2/18/2025,2/19/2024,2/19/2025,2/2/2024,2/2/20"&amp;"25,2/20/2024,2/20/2025,2/21/2024,2/21/2025,2/22/2024,2/22/2025,2/23/2024,2/23/2025,2/24/2024,2/24/2025,2/25/2024,2/25/2025,2/26/2024,2/26/2025,2/27/2024,2/27/2025,2/28/2024,2/28/2025,2/29/2024,2/3/2024,2/3/2025,2/4/2024,2/4/2025,2/5/2024,2/5/2025,2/6/2024"&amp;",2/6/2025,2/7/2024,2/7/2025,2/8/2024,2/8/2025,2/9/2024,2/9/2025,3/1/2024,3/1/2025,3/10/2024,3/10/2025,3/11/2024,3/11/2025,3/12/2024,3/12/2025,3/13/2024,3/13/2025,3/14/2024,3/14/2025,3/15/2024,3/15/2025,3/16/2024,3/16/2025,3/17/2024,3/17/2025,3/18/2024,3/1"&amp;"8/2025,3/19/2024,3/19/2025,3/2/2024,3/2/2025,3/20/2024,3/20/2025,3/21/2024,3/21/2025,3/22/2024,3/22/2025,3/23/2024,3/23/2025,3/24/2024,3/24/2025,3/25/2024,3/25/2025,3/26/2024,3/26/2025,3/27/2024,3/27/2025,3/28/2024,3/28/2025,3/29/2024,3/29/2025,3/3/2024,3"&amp;"/3/2025,3/30/2024,3/30/2025,3/31/2024,3/31/2025,3/4/2024,3/4/2025,3/5/2024,3/5/2025,3/6/2024,3/6/2025,3/7/2024,3/7/2025,3/8/2024,3/8/2025,3/9/2024,3/9/2025,4/1/2024,4/1/2025,4/10/2024,4/10/2025,4/11/2024,4/11/2025,4/12/2024,4/12/2025,4/13/2024,4/13/2025,4"&amp;"/14/2024,4/14/2025,4/15/2024,4/15/2025,4/16/2024,4/16/2025,4/17/2024,4/17/2025,4/18/2024,4/18/2025,4/19/2024,4/19/2025,4/2/2024,4/2/2025,4/20/2024,4/20/2025,4/21/2024,4/21/2025,4/22/2024,4/22/2025,4/23/2024,4/23/2025,4/24/2024,4/24/2025,4/25/2024,4/25/202"&amp;"5,4/26/2024,4/26/2025,4/27/2024,4/27/2025,4/28/2024,4/28/2025,4/29/2024,4/29/2025,4/3/2024,4/3/2025,4/30/2024,4/30/2025,4/4/2024,4/4/2025,4/5/2024,4/5/2025,4/6/2024,4/6/2025,4/7/2024,4/7/2025,4/8/2024,4/8/2025,4/9/2024,4/9/2025,5/1/2024,5/1/2025,5/10/2024"&amp;",5/10/2025,5/11/2024,5/11/2025,5/12/2024,5/12/2025,5/13/2024,5/13/2025,5/14/2024,5/14/2025,5/15/2024,5/15/2025,5/16/2024,5/16/2025,5/17/2024,5/17/2025,5/18/2024,5/18/2025,5/19/2024,5/19/2025,5/2/2024,5/2/2025,5/20/2024,5/20/2025,5/21/2024,5/21/2025,5/22/2"&amp;"024,5/22/2025,5/23/2024,5/23/2025,5/24/2024,5/24/2025,5/25/2024,5/25/2025,5/26/2024,5/26/2025,5/27/2024,5/27/2025,5/28/2024,5/28/2025,5/29/2024,5/29/2025,5/3/2024,5/3/2025,5/30/2024,5/30/2025,5/31/2024,5/31/2025,5/4/2024,5/4/2025,5/5/2024,5/5/2025,5/6/202"&amp;"4,5/6/2025,5/7/2024,5/7/2025,5/8/2024,5/8/2025,5/9/2024,5/9/2025,6/1/2024,6/1/2025,6/10/2024,6/10/2025,6/11/2024,6/11/2025,6/12/2024,6/12/2025,6/13/2024,6/13/2025,6/14/2024,6/14/2025,6/15/2024"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2000000}">
          <x14:formula1>
            <xm:f>Products!$A$2:$A$51</xm:f>
          </x14:formula1>
          <xm:sqref>D2:D5001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3"/>
  <sheetViews>
    <sheetView tabSelected="1" workbookViewId="0"/>
  </sheetViews>
  <sheetFormatPr defaultColWidth="14.44140625" defaultRowHeight="15" customHeight="1" x14ac:dyDescent="0.3"/>
  <cols>
    <col min="1" max="1" width="28.88671875" customWidth="1"/>
    <col min="2" max="2" width="29.33203125" customWidth="1"/>
    <col min="3" max="3" width="29.44140625" customWidth="1"/>
  </cols>
  <sheetData>
    <row r="1" spans="1:3" x14ac:dyDescent="0.3">
      <c r="A1" s="15" t="s">
        <v>303</v>
      </c>
      <c r="B1" s="6"/>
      <c r="C1" s="6"/>
    </row>
    <row r="2" spans="1:3" x14ac:dyDescent="0.3">
      <c r="A2" s="16" t="s">
        <v>316</v>
      </c>
      <c r="B2" s="16" t="s">
        <v>320</v>
      </c>
    </row>
    <row r="3" spans="1:3" x14ac:dyDescent="0.3">
      <c r="A3" s="17">
        <v>45461</v>
      </c>
      <c r="B3" s="18">
        <f>SUMIF(Transactions!B:B, A3, Transactions!I:I)</f>
        <v>13058.175999999999</v>
      </c>
    </row>
    <row r="5" spans="1:3" x14ac:dyDescent="0.3">
      <c r="A5" s="15" t="s">
        <v>379</v>
      </c>
      <c r="B5" s="6"/>
      <c r="C5" s="6"/>
    </row>
    <row r="6" spans="1:3" x14ac:dyDescent="0.3">
      <c r="A6" s="16" t="s">
        <v>383</v>
      </c>
      <c r="B6" s="16" t="s">
        <v>384</v>
      </c>
      <c r="C6" s="16" t="s">
        <v>385</v>
      </c>
    </row>
    <row r="7" spans="1:3" x14ac:dyDescent="0.3">
      <c r="A7" s="17">
        <v>45459</v>
      </c>
      <c r="B7" s="17">
        <v>45465</v>
      </c>
      <c r="C7" s="18">
        <f>SUMIFS(Transactions!I:I, Transactions!B:B, "&gt;="&amp;A7, Transactions!B:B, "&lt;="&amp;B7)</f>
        <v>150499.52950000003</v>
      </c>
    </row>
    <row r="9" spans="1:3" x14ac:dyDescent="0.3">
      <c r="A9" s="15" t="s">
        <v>400</v>
      </c>
      <c r="B9" s="6"/>
      <c r="C9" s="6"/>
    </row>
    <row r="10" spans="1:3" x14ac:dyDescent="0.3">
      <c r="A10" s="16" t="s">
        <v>383</v>
      </c>
      <c r="B10" s="16" t="s">
        <v>384</v>
      </c>
      <c r="C10" s="16" t="s">
        <v>403</v>
      </c>
    </row>
    <row r="11" spans="1:3" x14ac:dyDescent="0.3">
      <c r="A11" s="17">
        <v>45444</v>
      </c>
      <c r="B11" s="17">
        <v>45473</v>
      </c>
      <c r="C11" s="18">
        <f>SUMIFS(Transactions!I:I, Transactions!B:B, "&gt;="&amp;A11, Transactions!B:B, "&lt;="&amp;B11)</f>
        <v>634753.77100000018</v>
      </c>
    </row>
    <row r="12" spans="1:3" x14ac:dyDescent="0.3">
      <c r="A12" s="15" t="s">
        <v>424</v>
      </c>
      <c r="B12" s="6"/>
      <c r="C12" s="6"/>
    </row>
    <row r="13" spans="1:3" x14ac:dyDescent="0.3">
      <c r="A13" s="10">
        <f>SUM(Transactions!I:I)</f>
        <v>14301903.14750004</v>
      </c>
    </row>
  </sheetData>
  <sheetProtection algorithmName="SHA-512" hashValue="hPC7M1nJuPB84Dv6AmXcAagV96wGoVoRImJUakTgI6rjaHTztaw3RoHXexTFqazUdNvhpvfokJ9pX13e6EKqtA==" saltValue="wr4jgg7NY+w5kobf4X9vv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Transactions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Shamim Abdulhai Ansari</cp:lastModifiedBy>
  <dcterms:modified xsi:type="dcterms:W3CDTF">2026-09-15T15:54:54Z</dcterms:modified>
  <cp:contentStatus/>
</cp:coreProperties>
</file>